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3.xml" ContentType="application/vnd.openxmlformats-officedocument.drawing+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drawings/drawing5.xml" ContentType="application/vnd.openxmlformats-officedocument.drawing+xml"/>
  <Override PartName="/xl/ctrlProps/ctrlProp21.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22.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3.xml" ContentType="application/vnd.ms-excel.controlproperties+xml"/>
  <Override PartName="/xl/drawings/drawing8.xml" ContentType="application/vnd.openxmlformats-officedocument.drawing+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drawings/drawing11.xml" ContentType="application/vnd.openxmlformats-officedocument.drawing+xml"/>
  <Override PartName="/xl/ctrlProps/ctrlProp27.xml" ContentType="application/vnd.ms-excel.controlproperties+xml"/>
  <Override PartName="/xl/drawings/drawing1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8.xml" ContentType="application/vnd.ms-excel.controlproperties+xml"/>
  <Override PartName="/xl/drawings/drawing13.xml" ContentType="application/vnd.openxmlformats-officedocument.drawing+xml"/>
  <Override PartName="/xl/ctrlProps/ctrlProp29.xml" ContentType="application/vnd.ms-excel.controlproperties+xml"/>
  <Override PartName="/xl/drawings/drawing14.xml" ContentType="application/vnd.openxmlformats-officedocument.drawing+xml"/>
  <Override PartName="/xl/ctrlProps/ctrlProp30.xml" ContentType="application/vnd.ms-excel.controlproperties+xml"/>
  <Override PartName="/xl/drawings/drawing15.xml" ContentType="application/vnd.openxmlformats-officedocument.drawing+xml"/>
  <Override PartName="/xl/ctrlProps/ctrlProp31.xml" ContentType="application/vnd.ms-excel.controlproperti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6.xml" ContentType="application/vnd.openxmlformats-officedocument.drawing+xml"/>
  <Override PartName="/xl/ctrlProps/ctrlProp32.xml" ContentType="application/vnd.ms-excel.controlproperties+xml"/>
  <Override PartName="/xl/charts/chart7.xml" ContentType="application/vnd.openxmlformats-officedocument.drawingml.chart+xml"/>
  <Override PartName="/xl/drawings/drawing17.xml" ContentType="application/vnd.openxmlformats-officedocument.drawing+xml"/>
  <Override PartName="/xl/ctrlProps/ctrlProp33.xml" ContentType="application/vnd.ms-excel.controlproperties+xml"/>
  <Override PartName="/xl/charts/chart8.xml" ContentType="application/vnd.openxmlformats-officedocument.drawingml.chart+xml"/>
  <Override PartName="/xl/drawings/drawing18.xml" ContentType="application/vnd.openxmlformats-officedocument.drawing+xml"/>
  <Override PartName="/xl/drawings/drawing19.xml" ContentType="application/vnd.openxmlformats-officedocument.drawing+xml"/>
  <Override PartName="/xl/ctrlProps/ctrlProp34.xml" ContentType="application/vnd.ms-excel.controlproperties+xml"/>
  <Override PartName="/xl/charts/chart9.xml" ContentType="application/vnd.openxmlformats-officedocument.drawingml.chart+xml"/>
  <Override PartName="/xl/drawings/drawing20.xml" ContentType="application/vnd.openxmlformats-officedocument.drawing+xml"/>
  <Override PartName="/xl/charts/chart10.xml" ContentType="application/vnd.openxmlformats-officedocument.drawingml.chart+xml"/>
  <Override PartName="/xl/drawings/drawing21.xml" ContentType="application/vnd.openxmlformats-officedocument.drawing+xml"/>
  <Override PartName="/xl/ctrlProps/ctrlProp35.xml" ContentType="application/vnd.ms-excel.controlproperties+xml"/>
  <Override PartName="/xl/charts/chart11.xml" ContentType="application/vnd.openxmlformats-officedocument.drawingml.chart+xml"/>
  <Override PartName="/xl/drawings/drawing22.xml" ContentType="application/vnd.openxmlformats-officedocument.drawing+xml"/>
  <Override PartName="/xl/ctrlProps/ctrlProp36.xml" ContentType="application/vnd.ms-excel.controlproperties+xml"/>
  <Override PartName="/xl/charts/chart12.xml" ContentType="application/vnd.openxmlformats-officedocument.drawingml.chart+xml"/>
  <Override PartName="/xl/drawings/drawing23.xml" ContentType="application/vnd.openxmlformats-officedocument.drawing+xml"/>
  <Override PartName="/xl/ctrlProps/ctrlProp37.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4.xml" ContentType="application/vnd.openxmlformats-officedocument.drawing+xml"/>
  <Override PartName="/xl/ctrlProps/ctrlProp38.xml" ContentType="application/vnd.ms-excel.controlproperties+xml"/>
  <Override PartName="/xl/drawings/drawing25.xml" ContentType="application/vnd.openxmlformats-officedocument.drawing+xml"/>
  <Override PartName="/xl/ctrlProps/ctrlProp3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5" windowWidth="14400" windowHeight="12795"/>
  </bookViews>
  <sheets>
    <sheet name="Notes" sheetId="54" r:id="rId1"/>
    <sheet name="TOC" sheetId="12" r:id="rId2"/>
    <sheet name="Units" sheetId="2" r:id="rId3"/>
    <sheet name="Resource Links" sheetId="55" r:id="rId4"/>
    <sheet name="FRC Motors" sheetId="17" r:id="rId5"/>
    <sheet name="Motor Performance" sheetId="18" r:id="rId6"/>
    <sheet name="Motor Equations" sheetId="51" r:id="rId7"/>
    <sheet name="Bimba" sheetId="14" r:id="rId8"/>
    <sheet name="Sprocket Sizes" sheetId="33" r:id="rId9"/>
    <sheet name="Sprocket Distance Calculator" sheetId="9" r:id="rId10"/>
    <sheet name="Gear Calculations" sheetId="16" r:id="rId11"/>
    <sheet name="Drive train forces" sheetId="1" r:id="rId12"/>
    <sheet name="JVN - DT" sheetId="28" r:id="rId13"/>
    <sheet name="JVN - DT 2 speed" sheetId="36" r:id="rId14"/>
    <sheet name="JeeseK_DT_Model" sheetId="38" r:id="rId15"/>
    <sheet name="JesseK_Conversions" sheetId="39" state="hidden" r:id="rId16"/>
    <sheet name="Linear Device Motor Selector" sheetId="29" r:id="rId17"/>
    <sheet name="Cascade Elevator Motor Selector" sheetId="44" r:id="rId18"/>
    <sheet name="Cascade Elevator" sheetId="47" r:id="rId19"/>
    <sheet name="Rotating Device Motor Selector" sheetId="23" r:id="rId20"/>
    <sheet name="validation" sheetId="19" state="hidden" r:id="rId21"/>
    <sheet name="variable gear efficiency" sheetId="6" state="hidden" r:id="rId22"/>
    <sheet name="Rotating Arm" sheetId="8" r:id="rId23"/>
    <sheet name="Toggle Linkage" sheetId="21" r:id="rId24"/>
    <sheet name="COG Tool" sheetId="27" state="hidden" r:id="rId25"/>
    <sheet name="JVN - Linear" sheetId="26" r:id="rId26"/>
    <sheet name="JVN - Rotary" sheetId="25" r:id="rId27"/>
  </sheets>
  <definedNames>
    <definedName name="_xlnm._FilterDatabase" localSheetId="4" hidden="1">'FRC Motors'!$A$3:$Q$20</definedName>
    <definedName name="distance_list">validation!$H$2:$H$4</definedName>
    <definedName name="dX">'COG Tool'!$F$8:$F$19</definedName>
    <definedName name="dY">'COG Tool'!$G$8:$G$19</definedName>
    <definedName name="dZ">'COG Tool'!$H$8:$H$19</definedName>
    <definedName name="energy_list">validation!$F$2:$F$6</definedName>
    <definedName name="Example" localSheetId="3">'Resource Links'!$H$20</definedName>
    <definedName name="force_list">validation!$A$2:$A$5</definedName>
    <definedName name="motor_list">'FRC Motors'!$A$4:$A$22</definedName>
    <definedName name="power_list">validation!$D$2:$D$8</definedName>
    <definedName name="System_Name">'COG Tool'!$B$8:$B$19</definedName>
    <definedName name="teeth25">'Sprocket Sizes'!$A$8:$A$60</definedName>
    <definedName name="teeth35">'Sprocket Sizes'!$F$8:$F$65</definedName>
    <definedName name="torque_list">validation!$B$2:$B$6</definedName>
    <definedName name="Weight">'COG Tool'!$I$8:$I$19</definedName>
    <definedName name="X">'COG Tool'!$C$8:$C$19</definedName>
    <definedName name="Y">'COG Tool'!$D$8:$D$19</definedName>
    <definedName name="Z">'COG Tool'!$E$8:$E$19</definedName>
  </definedNames>
  <calcPr calcId="145621"/>
</workbook>
</file>

<file path=xl/calcChain.xml><?xml version="1.0" encoding="utf-8"?>
<calcChain xmlns="http://schemas.openxmlformats.org/spreadsheetml/2006/main">
  <c r="E7" i="17" l="1"/>
  <c r="E8" i="17"/>
  <c r="E9" i="17"/>
  <c r="K9" i="1" l="1"/>
  <c r="K13" i="1" s="1"/>
  <c r="K8" i="1"/>
  <c r="K12" i="1" s="1"/>
  <c r="P34" i="28"/>
  <c r="I14" i="28"/>
  <c r="F9" i="1"/>
  <c r="F8" i="1"/>
  <c r="A10" i="17" l="1"/>
  <c r="G10" i="17"/>
  <c r="L10" i="17" s="1"/>
  <c r="P10" i="17" s="1"/>
  <c r="N10" i="17"/>
  <c r="O10" i="17"/>
  <c r="A11" i="17"/>
  <c r="M10" i="17" l="1"/>
  <c r="K14" i="29"/>
  <c r="J14" i="29"/>
  <c r="K13" i="29"/>
  <c r="J13" i="29"/>
  <c r="I61" i="33"/>
  <c r="I62" i="33"/>
  <c r="I63" i="33"/>
  <c r="I64" i="33"/>
  <c r="I65" i="33"/>
  <c r="I60" i="33"/>
  <c r="I59" i="33"/>
  <c r="I58" i="33"/>
  <c r="I57" i="33"/>
  <c r="I56" i="33"/>
  <c r="I55" i="33"/>
  <c r="I54" i="33"/>
  <c r="I53" i="33"/>
  <c r="I52" i="33"/>
  <c r="I51" i="33"/>
  <c r="I50" i="33"/>
  <c r="I49" i="33"/>
  <c r="I48" i="33"/>
  <c r="I47" i="33"/>
  <c r="I46" i="33"/>
  <c r="I45" i="33"/>
  <c r="I44" i="33"/>
  <c r="I43" i="33"/>
  <c r="I42" i="33"/>
  <c r="I41" i="33"/>
  <c r="I40" i="33"/>
  <c r="I39" i="33"/>
  <c r="I38" i="33"/>
  <c r="I37" i="33"/>
  <c r="I36" i="33"/>
  <c r="I35" i="33"/>
  <c r="I34" i="33"/>
  <c r="I33" i="33"/>
  <c r="I32" i="33"/>
  <c r="I31" i="33"/>
  <c r="I30" i="33"/>
  <c r="I29" i="33"/>
  <c r="I28" i="33"/>
  <c r="I27" i="33"/>
  <c r="I26" i="33"/>
  <c r="I25" i="33"/>
  <c r="I24" i="33"/>
  <c r="I23" i="33"/>
  <c r="I22" i="33"/>
  <c r="I21" i="33"/>
  <c r="I20" i="33"/>
  <c r="I19" i="33"/>
  <c r="I18" i="33"/>
  <c r="I17" i="33"/>
  <c r="I16" i="33"/>
  <c r="I15" i="33"/>
  <c r="I14" i="33"/>
  <c r="I13" i="33"/>
  <c r="I12" i="33"/>
  <c r="I11" i="33"/>
  <c r="I10" i="33"/>
  <c r="I9" i="33"/>
  <c r="I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8" i="33"/>
  <c r="F5" i="17"/>
  <c r="A4" i="17"/>
  <c r="A5" i="17"/>
  <c r="A6" i="17"/>
  <c r="O5" i="17"/>
  <c r="N5" i="17"/>
  <c r="L5" i="17"/>
  <c r="P5" i="17" s="1"/>
  <c r="F22" i="17"/>
  <c r="L22" i="17"/>
  <c r="P22" i="17" s="1"/>
  <c r="A22" i="17"/>
  <c r="N22" i="17"/>
  <c r="O22" i="17"/>
  <c r="O4" i="17"/>
  <c r="O6" i="17"/>
  <c r="O7" i="17"/>
  <c r="O8" i="17"/>
  <c r="O9" i="17"/>
  <c r="O11" i="17"/>
  <c r="O14" i="17"/>
  <c r="O15" i="17"/>
  <c r="O16" i="17"/>
  <c r="O17" i="17"/>
  <c r="O18" i="17"/>
  <c r="O19" i="17"/>
  <c r="O20" i="17"/>
  <c r="O21" i="17"/>
  <c r="N4" i="17"/>
  <c r="N6" i="17"/>
  <c r="N7" i="17"/>
  <c r="N8" i="17"/>
  <c r="N9" i="17"/>
  <c r="N11" i="17"/>
  <c r="N14" i="17"/>
  <c r="N15" i="17"/>
  <c r="N16" i="17"/>
  <c r="N17" i="17"/>
  <c r="N18" i="17"/>
  <c r="N19" i="17"/>
  <c r="N20" i="17"/>
  <c r="N21" i="17"/>
  <c r="F11" i="17"/>
  <c r="G11" i="17" s="1"/>
  <c r="L11" i="17" s="1"/>
  <c r="P11" i="17" s="1"/>
  <c r="K13" i="44"/>
  <c r="K14" i="44"/>
  <c r="B8" i="47"/>
  <c r="B12" i="47"/>
  <c r="O7" i="44"/>
  <c r="E16" i="44"/>
  <c r="C14" i="44"/>
  <c r="AB22" i="44"/>
  <c r="H8" i="44"/>
  <c r="AD1" i="44"/>
  <c r="AB7" i="44"/>
  <c r="AB11" i="44"/>
  <c r="AB16" i="44"/>
  <c r="AB5" i="44"/>
  <c r="AB13" i="44"/>
  <c r="AB24" i="44"/>
  <c r="AB6" i="44"/>
  <c r="AB9" i="44"/>
  <c r="AB4" i="44"/>
  <c r="AB12" i="44"/>
  <c r="AB15" i="44"/>
  <c r="AB19" i="44"/>
  <c r="AB20" i="44"/>
  <c r="AB23" i="44"/>
  <c r="AB8" i="44"/>
  <c r="AB10" i="44"/>
  <c r="AB17" i="44"/>
  <c r="AB21" i="44"/>
  <c r="AB14" i="44"/>
  <c r="AB18" i="44"/>
  <c r="H16" i="39"/>
  <c r="I15" i="39"/>
  <c r="I16" i="39"/>
  <c r="K14" i="39"/>
  <c r="G17" i="39"/>
  <c r="E4" i="39"/>
  <c r="I5" i="39"/>
  <c r="K16" i="39"/>
  <c r="I17" i="39"/>
  <c r="E5" i="39"/>
  <c r="J15" i="39"/>
  <c r="J16" i="39"/>
  <c r="G18" i="39"/>
  <c r="H17" i="39"/>
  <c r="J17" i="39"/>
  <c r="K17" i="39"/>
  <c r="J18" i="39"/>
  <c r="H18" i="39"/>
  <c r="K18" i="39"/>
  <c r="G19" i="39"/>
  <c r="I18" i="39"/>
  <c r="J19" i="39"/>
  <c r="I19" i="39"/>
  <c r="G20" i="39"/>
  <c r="H19" i="39"/>
  <c r="I20" i="39"/>
  <c r="G21" i="39"/>
  <c r="H20" i="39"/>
  <c r="K20" i="39"/>
  <c r="J20" i="39"/>
  <c r="K19" i="39"/>
  <c r="G22" i="39"/>
  <c r="H21" i="39"/>
  <c r="I21" i="39"/>
  <c r="J21" i="39"/>
  <c r="K21" i="39"/>
  <c r="J22" i="39"/>
  <c r="G23" i="39"/>
  <c r="H22" i="39"/>
  <c r="I22" i="39"/>
  <c r="J23" i="39"/>
  <c r="I23" i="39"/>
  <c r="H23" i="39"/>
  <c r="K23" i="39"/>
  <c r="G24" i="39"/>
  <c r="K22" i="39"/>
  <c r="I24" i="39"/>
  <c r="G25" i="39"/>
  <c r="H24" i="39"/>
  <c r="J24" i="39"/>
  <c r="K24" i="39"/>
  <c r="G26" i="39"/>
  <c r="H25" i="39"/>
  <c r="K25" i="39"/>
  <c r="I25" i="39"/>
  <c r="J25" i="39"/>
  <c r="J26" i="39"/>
  <c r="H26" i="39"/>
  <c r="I26" i="39"/>
  <c r="G27" i="39"/>
  <c r="K26" i="39"/>
  <c r="J27" i="39"/>
  <c r="I27" i="39"/>
  <c r="H27" i="39"/>
  <c r="G28" i="39"/>
  <c r="I28" i="39"/>
  <c r="G29" i="39"/>
  <c r="H28" i="39"/>
  <c r="K28" i="39"/>
  <c r="J28" i="39"/>
  <c r="K27" i="39"/>
  <c r="G30" i="39"/>
  <c r="H29" i="39"/>
  <c r="I29" i="39"/>
  <c r="J29" i="39"/>
  <c r="K29" i="39"/>
  <c r="J30" i="39"/>
  <c r="G31" i="39"/>
  <c r="I30" i="39"/>
  <c r="H30" i="39"/>
  <c r="J31" i="39"/>
  <c r="I31" i="39"/>
  <c r="H31" i="39"/>
  <c r="K31" i="39"/>
  <c r="G32" i="39"/>
  <c r="K30" i="39"/>
  <c r="I32" i="39"/>
  <c r="G33" i="39"/>
  <c r="H32" i="39"/>
  <c r="K32" i="39"/>
  <c r="J32" i="39"/>
  <c r="G34" i="39"/>
  <c r="H33" i="39"/>
  <c r="J33" i="39"/>
  <c r="I33" i="39"/>
  <c r="K33" i="39"/>
  <c r="J34" i="39"/>
  <c r="H34" i="39"/>
  <c r="I34" i="39"/>
  <c r="G35" i="39"/>
  <c r="K34" i="39"/>
  <c r="J35" i="39"/>
  <c r="I35" i="39"/>
  <c r="H35" i="39"/>
  <c r="G36" i="39"/>
  <c r="I36" i="39"/>
  <c r="G37" i="39"/>
  <c r="H36" i="39"/>
  <c r="K36" i="39"/>
  <c r="J36" i="39"/>
  <c r="K35" i="39"/>
  <c r="G38" i="39"/>
  <c r="H37" i="39"/>
  <c r="I37" i="39"/>
  <c r="J37" i="39"/>
  <c r="K37" i="39"/>
  <c r="J38" i="39"/>
  <c r="G39" i="39"/>
  <c r="I38" i="39"/>
  <c r="H38" i="39"/>
  <c r="J39" i="39"/>
  <c r="I39" i="39"/>
  <c r="G40" i="39"/>
  <c r="H39" i="39"/>
  <c r="K39" i="39"/>
  <c r="K38" i="39"/>
  <c r="I40" i="39"/>
  <c r="G41" i="39"/>
  <c r="H40" i="39"/>
  <c r="J40" i="39"/>
  <c r="K40" i="39"/>
  <c r="G42" i="39"/>
  <c r="H41" i="39"/>
  <c r="J41" i="39"/>
  <c r="I41" i="39"/>
  <c r="K41" i="39"/>
  <c r="J42" i="39"/>
  <c r="H42" i="39"/>
  <c r="K42" i="39"/>
  <c r="G43" i="39"/>
  <c r="I42" i="39"/>
  <c r="J43" i="39"/>
  <c r="I43" i="39"/>
  <c r="G44" i="39"/>
  <c r="H43" i="39"/>
  <c r="K43" i="39"/>
  <c r="I44" i="39"/>
  <c r="G45" i="39"/>
  <c r="H44" i="39"/>
  <c r="J44" i="39"/>
  <c r="K44" i="39"/>
  <c r="G46" i="39"/>
  <c r="H45" i="39"/>
  <c r="I45" i="39"/>
  <c r="J45" i="39"/>
  <c r="K45" i="39"/>
  <c r="J46" i="39"/>
  <c r="G47" i="39"/>
  <c r="I46" i="39"/>
  <c r="H46" i="39"/>
  <c r="J47" i="39"/>
  <c r="I47" i="39"/>
  <c r="H47" i="39"/>
  <c r="K47" i="39"/>
  <c r="G48" i="39"/>
  <c r="K46" i="39"/>
  <c r="I48" i="39"/>
  <c r="G49" i="39"/>
  <c r="H48" i="39"/>
  <c r="K48" i="39"/>
  <c r="J48" i="39"/>
  <c r="G50" i="39"/>
  <c r="H49" i="39"/>
  <c r="J49" i="39"/>
  <c r="I49" i="39"/>
  <c r="K49" i="39"/>
  <c r="J50" i="39"/>
  <c r="H50" i="39"/>
  <c r="I50" i="39"/>
  <c r="G51" i="39"/>
  <c r="K50" i="39"/>
  <c r="J51" i="39"/>
  <c r="I51" i="39"/>
  <c r="G52" i="39"/>
  <c r="H51" i="39"/>
  <c r="K51" i="39"/>
  <c r="I52" i="39"/>
  <c r="G53" i="39"/>
  <c r="H52" i="39"/>
  <c r="K52" i="39"/>
  <c r="J52" i="39"/>
  <c r="G54" i="39"/>
  <c r="H53" i="39"/>
  <c r="K53" i="39"/>
  <c r="I53" i="39"/>
  <c r="J53" i="39"/>
  <c r="J54" i="39"/>
  <c r="G55" i="39"/>
  <c r="I54" i="39"/>
  <c r="H54" i="39"/>
  <c r="K54" i="39"/>
  <c r="J55" i="39"/>
  <c r="I55" i="39"/>
  <c r="H55" i="39"/>
  <c r="G56" i="39"/>
  <c r="K55" i="39"/>
  <c r="I56" i="39"/>
  <c r="G57" i="39"/>
  <c r="H56" i="39"/>
  <c r="J56" i="39"/>
  <c r="G58" i="39"/>
  <c r="H57" i="39"/>
  <c r="J57" i="39"/>
  <c r="I57" i="39"/>
  <c r="K56" i="39"/>
  <c r="K57" i="39"/>
  <c r="J58" i="39"/>
  <c r="H58" i="39"/>
  <c r="K58" i="39"/>
  <c r="I58" i="39"/>
  <c r="G59" i="39"/>
  <c r="J59" i="39"/>
  <c r="I59" i="39"/>
  <c r="H59" i="39"/>
  <c r="K59" i="39"/>
  <c r="G60" i="39"/>
  <c r="I60" i="39"/>
  <c r="G61" i="39"/>
  <c r="H60" i="39"/>
  <c r="K60" i="39"/>
  <c r="J60" i="39"/>
  <c r="G62" i="39"/>
  <c r="H61" i="39"/>
  <c r="I61" i="39"/>
  <c r="J61" i="39"/>
  <c r="K61" i="39"/>
  <c r="J62" i="39"/>
  <c r="G63" i="39"/>
  <c r="I62" i="39"/>
  <c r="H62" i="39"/>
  <c r="K62" i="39"/>
  <c r="J63" i="39"/>
  <c r="I63" i="39"/>
  <c r="H63" i="39"/>
  <c r="K63" i="39"/>
  <c r="G64" i="39"/>
  <c r="I64" i="39"/>
  <c r="G65" i="39"/>
  <c r="H64" i="39"/>
  <c r="K64" i="39"/>
  <c r="J64" i="39"/>
  <c r="G66" i="39"/>
  <c r="H65" i="39"/>
  <c r="J65" i="39"/>
  <c r="I65" i="39"/>
  <c r="J66" i="39"/>
  <c r="H66" i="39"/>
  <c r="G67" i="39"/>
  <c r="I66" i="39"/>
  <c r="K65" i="39"/>
  <c r="J67" i="39"/>
  <c r="I67" i="39"/>
  <c r="G68" i="39"/>
  <c r="H67" i="39"/>
  <c r="K66" i="39"/>
  <c r="K67" i="39"/>
  <c r="I68" i="39"/>
  <c r="G69" i="39"/>
  <c r="H68" i="39"/>
  <c r="J68" i="39"/>
  <c r="K68" i="39"/>
  <c r="G70" i="39"/>
  <c r="H69" i="39"/>
  <c r="K69" i="39"/>
  <c r="I69" i="39"/>
  <c r="J69" i="39"/>
  <c r="J70" i="39"/>
  <c r="G71" i="39"/>
  <c r="I70" i="39"/>
  <c r="H70" i="39"/>
  <c r="K70" i="39"/>
  <c r="J71" i="39"/>
  <c r="I71" i="39"/>
  <c r="G72" i="39"/>
  <c r="H71" i="39"/>
  <c r="K71" i="39"/>
  <c r="I72" i="39"/>
  <c r="G73" i="39"/>
  <c r="H72" i="39"/>
  <c r="J72" i="39"/>
  <c r="K72" i="39"/>
  <c r="G74" i="39"/>
  <c r="H73" i="39"/>
  <c r="K73" i="39"/>
  <c r="J73" i="39"/>
  <c r="I73" i="39"/>
  <c r="J74" i="39"/>
  <c r="H74" i="39"/>
  <c r="K74" i="39"/>
  <c r="G75" i="39"/>
  <c r="I74" i="39"/>
  <c r="J75" i="39"/>
  <c r="I75" i="39"/>
  <c r="G76" i="39"/>
  <c r="H75" i="39"/>
  <c r="I76" i="39"/>
  <c r="G77" i="39"/>
  <c r="H76" i="39"/>
  <c r="K76" i="39"/>
  <c r="J76" i="39"/>
  <c r="K75" i="39"/>
  <c r="G78" i="39"/>
  <c r="H77" i="39"/>
  <c r="I77" i="39"/>
  <c r="J77" i="39"/>
  <c r="J78" i="39"/>
  <c r="G79" i="39"/>
  <c r="I78" i="39"/>
  <c r="H78" i="39"/>
  <c r="K78" i="39"/>
  <c r="K77" i="39"/>
  <c r="J79" i="39"/>
  <c r="I79" i="39"/>
  <c r="H79" i="39"/>
  <c r="G80" i="39"/>
  <c r="I80" i="39"/>
  <c r="G81" i="39"/>
  <c r="H80" i="39"/>
  <c r="K80" i="39"/>
  <c r="J80" i="39"/>
  <c r="K79" i="39"/>
  <c r="G82" i="39"/>
  <c r="H81" i="39"/>
  <c r="J81" i="39"/>
  <c r="I81" i="39"/>
  <c r="K81" i="39"/>
  <c r="J82" i="39"/>
  <c r="H82" i="39"/>
  <c r="I82" i="39"/>
  <c r="G83" i="39"/>
  <c r="K82" i="39"/>
  <c r="J83" i="39"/>
  <c r="I83" i="39"/>
  <c r="H83" i="39"/>
  <c r="K83" i="39"/>
  <c r="G84" i="39"/>
  <c r="I84" i="39"/>
  <c r="G85" i="39"/>
  <c r="H84" i="39"/>
  <c r="J84" i="39"/>
  <c r="K84" i="39"/>
  <c r="G86" i="39"/>
  <c r="H85" i="39"/>
  <c r="K85" i="39"/>
  <c r="I85" i="39"/>
  <c r="J85" i="39"/>
  <c r="J86" i="39"/>
  <c r="G87" i="39"/>
  <c r="I86" i="39"/>
  <c r="H86" i="39"/>
  <c r="K86" i="39"/>
  <c r="J87" i="39"/>
  <c r="I87" i="39"/>
  <c r="H87" i="39"/>
  <c r="G88" i="39"/>
  <c r="K87" i="39"/>
  <c r="I88" i="39"/>
  <c r="G89" i="39"/>
  <c r="H88" i="39"/>
  <c r="J88" i="39"/>
  <c r="G90" i="39"/>
  <c r="H89" i="39"/>
  <c r="J89" i="39"/>
  <c r="I89" i="39"/>
  <c r="K88" i="39"/>
  <c r="K89" i="39"/>
  <c r="J90" i="39"/>
  <c r="H90" i="39"/>
  <c r="K90" i="39"/>
  <c r="I90" i="39"/>
  <c r="G91" i="39"/>
  <c r="J91" i="39"/>
  <c r="I91" i="39"/>
  <c r="H91" i="39"/>
  <c r="G92" i="39"/>
  <c r="I92" i="39"/>
  <c r="G93" i="39"/>
  <c r="H92" i="39"/>
  <c r="K92" i="39"/>
  <c r="J92" i="39"/>
  <c r="K91" i="39"/>
  <c r="G94" i="39"/>
  <c r="H93" i="39"/>
  <c r="I93" i="39"/>
  <c r="J93" i="39"/>
  <c r="J94" i="39"/>
  <c r="G95" i="39"/>
  <c r="I94" i="39"/>
  <c r="H94" i="39"/>
  <c r="K94" i="39"/>
  <c r="K93" i="39"/>
  <c r="J95" i="39"/>
  <c r="I95" i="39"/>
  <c r="G96" i="39"/>
  <c r="H95" i="39"/>
  <c r="K95" i="39"/>
  <c r="I96" i="39"/>
  <c r="G97" i="39"/>
  <c r="H96" i="39"/>
  <c r="K96" i="39"/>
  <c r="J96" i="39"/>
  <c r="G98" i="39"/>
  <c r="H97" i="39"/>
  <c r="J97" i="39"/>
  <c r="I97" i="39"/>
  <c r="K97" i="39"/>
  <c r="J98" i="39"/>
  <c r="H98" i="39"/>
  <c r="G99" i="39"/>
  <c r="I98" i="39"/>
  <c r="J99" i="39"/>
  <c r="I99" i="39"/>
  <c r="G100" i="39"/>
  <c r="H99" i="39"/>
  <c r="K98" i="39"/>
  <c r="K99" i="39"/>
  <c r="I100" i="39"/>
  <c r="G101" i="39"/>
  <c r="H100" i="39"/>
  <c r="J100" i="39"/>
  <c r="K100" i="39"/>
  <c r="G102" i="39"/>
  <c r="H101" i="39"/>
  <c r="I101" i="39"/>
  <c r="J101" i="39"/>
  <c r="K101" i="39"/>
  <c r="J102" i="39"/>
  <c r="G103" i="39"/>
  <c r="I102" i="39"/>
  <c r="H102" i="39"/>
  <c r="K102" i="39"/>
  <c r="J103" i="39"/>
  <c r="I103" i="39"/>
  <c r="H103" i="39"/>
  <c r="G104" i="39"/>
  <c r="I104" i="39"/>
  <c r="G105" i="39"/>
  <c r="H104" i="39"/>
  <c r="J104" i="39"/>
  <c r="K103" i="39"/>
  <c r="K104" i="39"/>
  <c r="G106" i="39"/>
  <c r="H105" i="39"/>
  <c r="J105" i="39"/>
  <c r="I105" i="39"/>
  <c r="K105" i="39"/>
  <c r="J106" i="39"/>
  <c r="H106" i="39"/>
  <c r="K106" i="39"/>
  <c r="I106" i="39"/>
  <c r="G107" i="39"/>
  <c r="J107" i="39"/>
  <c r="I107" i="39"/>
  <c r="H107" i="39"/>
  <c r="K107" i="39"/>
  <c r="G108" i="39"/>
  <c r="I108" i="39"/>
  <c r="G109" i="39"/>
  <c r="H108" i="39"/>
  <c r="K108" i="39"/>
  <c r="J108" i="39"/>
  <c r="G110" i="39"/>
  <c r="H109" i="39"/>
  <c r="I109" i="39"/>
  <c r="J109" i="39"/>
  <c r="K109" i="39"/>
  <c r="J110" i="39"/>
  <c r="G111" i="39"/>
  <c r="I110" i="39"/>
  <c r="H110" i="39"/>
  <c r="J111" i="39"/>
  <c r="I111" i="39"/>
  <c r="G112" i="39"/>
  <c r="H111" i="39"/>
  <c r="K111" i="39"/>
  <c r="K110" i="39"/>
  <c r="I112" i="39"/>
  <c r="G113" i="39"/>
  <c r="H112" i="39"/>
  <c r="K112" i="39"/>
  <c r="J112" i="39"/>
  <c r="G114" i="39"/>
  <c r="H113" i="39"/>
  <c r="J113" i="39"/>
  <c r="I113" i="39"/>
  <c r="K113" i="39"/>
  <c r="J114" i="39"/>
  <c r="H114" i="39"/>
  <c r="K114" i="39"/>
  <c r="G115" i="39"/>
  <c r="I114" i="39"/>
  <c r="J115" i="39"/>
  <c r="I115" i="39"/>
  <c r="H115" i="39"/>
  <c r="K115" i="39"/>
  <c r="G116" i="39"/>
  <c r="I116" i="39"/>
  <c r="G117" i="39"/>
  <c r="H116" i="39"/>
  <c r="J116" i="39"/>
  <c r="K116" i="39"/>
  <c r="G118" i="39"/>
  <c r="H117" i="39"/>
  <c r="K117" i="39"/>
  <c r="I117" i="39"/>
  <c r="J117" i="39"/>
  <c r="J118" i="39"/>
  <c r="G119" i="39"/>
  <c r="I118" i="39"/>
  <c r="H118" i="39"/>
  <c r="K118" i="39"/>
  <c r="J119" i="39"/>
  <c r="I119" i="39"/>
  <c r="G120" i="39"/>
  <c r="H119" i="39"/>
  <c r="K119" i="39"/>
  <c r="I120" i="39"/>
  <c r="G121" i="39"/>
  <c r="H120" i="39"/>
  <c r="J120" i="39"/>
  <c r="G122" i="39"/>
  <c r="H121" i="39"/>
  <c r="J121" i="39"/>
  <c r="I121" i="39"/>
  <c r="K120" i="39"/>
  <c r="K121" i="39"/>
  <c r="J122" i="39"/>
  <c r="H122" i="39"/>
  <c r="G123" i="39"/>
  <c r="I122" i="39"/>
  <c r="J123" i="39"/>
  <c r="I123" i="39"/>
  <c r="G124" i="39"/>
  <c r="H123" i="39"/>
  <c r="K123" i="39"/>
  <c r="K122" i="39"/>
  <c r="I124" i="39"/>
  <c r="G125" i="39"/>
  <c r="H124" i="39"/>
  <c r="J124" i="39"/>
  <c r="K124" i="39"/>
  <c r="G126" i="39"/>
  <c r="H125" i="39"/>
  <c r="I125" i="39"/>
  <c r="J125" i="39"/>
  <c r="J126" i="39"/>
  <c r="G127" i="39"/>
  <c r="I126" i="39"/>
  <c r="H126" i="39"/>
  <c r="K126" i="39"/>
  <c r="K125" i="39"/>
  <c r="J127" i="39"/>
  <c r="I127" i="39"/>
  <c r="H127" i="39"/>
  <c r="K127" i="39"/>
  <c r="G128" i="39"/>
  <c r="I128" i="39"/>
  <c r="G129" i="39"/>
  <c r="H128" i="39"/>
  <c r="J128" i="39"/>
  <c r="G130" i="39"/>
  <c r="H129" i="39"/>
  <c r="J129" i="39"/>
  <c r="I129" i="39"/>
  <c r="K128" i="39"/>
  <c r="K129" i="39"/>
  <c r="J130" i="39"/>
  <c r="H130" i="39"/>
  <c r="K130" i="39"/>
  <c r="I130" i="39"/>
  <c r="G131" i="39"/>
  <c r="J131" i="39"/>
  <c r="I131" i="39"/>
  <c r="H131" i="39"/>
  <c r="K131" i="39"/>
  <c r="G132" i="39"/>
  <c r="I132" i="39"/>
  <c r="G133" i="39"/>
  <c r="H132" i="39"/>
  <c r="K132" i="39"/>
  <c r="J132" i="39"/>
  <c r="G134" i="39"/>
  <c r="H133" i="39"/>
  <c r="I133" i="39"/>
  <c r="J133" i="39"/>
  <c r="K133" i="39"/>
  <c r="J134" i="39"/>
  <c r="G135" i="39"/>
  <c r="I134" i="39"/>
  <c r="H134" i="39"/>
  <c r="J135" i="39"/>
  <c r="I135" i="39"/>
  <c r="H135" i="39"/>
  <c r="K135" i="39"/>
  <c r="G136" i="39"/>
  <c r="K134" i="39"/>
  <c r="I136" i="39"/>
  <c r="G137" i="39"/>
  <c r="H136" i="39"/>
  <c r="K136" i="39"/>
  <c r="J136" i="39"/>
  <c r="G138" i="39"/>
  <c r="H137" i="39"/>
  <c r="J137" i="39"/>
  <c r="I137" i="39"/>
  <c r="K137" i="39"/>
  <c r="J138" i="39"/>
  <c r="H138" i="39"/>
  <c r="K138" i="39"/>
  <c r="I138" i="39"/>
  <c r="G139" i="39"/>
  <c r="J139" i="39"/>
  <c r="I139" i="39"/>
  <c r="H139" i="39"/>
  <c r="K139" i="39"/>
  <c r="G140" i="39"/>
  <c r="I140" i="39"/>
  <c r="G141" i="39"/>
  <c r="H140" i="39"/>
  <c r="K140" i="39"/>
  <c r="J140" i="39"/>
  <c r="G142" i="39"/>
  <c r="H141" i="39"/>
  <c r="I141" i="39"/>
  <c r="J141" i="39"/>
  <c r="K141" i="39"/>
  <c r="J142" i="39"/>
  <c r="G143" i="39"/>
  <c r="I142" i="39"/>
  <c r="H142" i="39"/>
  <c r="J143" i="39"/>
  <c r="I143" i="39"/>
  <c r="H143" i="39"/>
  <c r="K143" i="39"/>
  <c r="G144" i="39"/>
  <c r="K142" i="39"/>
  <c r="I144" i="39"/>
  <c r="G145" i="39"/>
  <c r="H144" i="39"/>
  <c r="K144" i="39"/>
  <c r="J144" i="39"/>
  <c r="G146" i="39"/>
  <c r="H145" i="39"/>
  <c r="J145" i="39"/>
  <c r="I145" i="39"/>
  <c r="K145" i="39"/>
  <c r="J146" i="39"/>
  <c r="H146" i="39"/>
  <c r="K146" i="39"/>
  <c r="G147" i="39"/>
  <c r="I146" i="39"/>
  <c r="J147" i="39"/>
  <c r="I147" i="39"/>
  <c r="G148" i="39"/>
  <c r="H147" i="39"/>
  <c r="K147" i="39"/>
  <c r="I148" i="39"/>
  <c r="G149" i="39"/>
  <c r="H148" i="39"/>
  <c r="J148" i="39"/>
  <c r="K148" i="39"/>
  <c r="G150" i="39"/>
  <c r="H149" i="39"/>
  <c r="I149" i="39"/>
  <c r="J149" i="39"/>
  <c r="J150" i="39"/>
  <c r="G151" i="39"/>
  <c r="I150" i="39"/>
  <c r="H150" i="39"/>
  <c r="K150" i="39"/>
  <c r="K149" i="39"/>
  <c r="J151" i="39"/>
  <c r="I151" i="39"/>
  <c r="H151" i="39"/>
  <c r="K151" i="39"/>
  <c r="G152" i="39"/>
  <c r="I152" i="39"/>
  <c r="G153" i="39"/>
  <c r="H152" i="39"/>
  <c r="J152" i="39"/>
  <c r="K152" i="39"/>
  <c r="G154" i="39"/>
  <c r="H153" i="39"/>
  <c r="J153" i="39"/>
  <c r="I153" i="39"/>
  <c r="J154" i="39"/>
  <c r="H154" i="39"/>
  <c r="K154" i="39"/>
  <c r="I154" i="39"/>
  <c r="G155" i="39"/>
  <c r="K153" i="39"/>
  <c r="J155" i="39"/>
  <c r="I155" i="39"/>
  <c r="H155" i="39"/>
  <c r="K155" i="39"/>
  <c r="G156" i="39"/>
  <c r="I156" i="39"/>
  <c r="G157" i="39"/>
  <c r="H156" i="39"/>
  <c r="J156" i="39"/>
  <c r="G158" i="39"/>
  <c r="H157" i="39"/>
  <c r="I157" i="39"/>
  <c r="J157" i="39"/>
  <c r="K156" i="39"/>
  <c r="K157" i="39"/>
  <c r="J158" i="39"/>
  <c r="G159" i="39"/>
  <c r="I158" i="39"/>
  <c r="H158" i="39"/>
  <c r="J159" i="39"/>
  <c r="I159" i="39"/>
  <c r="H159" i="39"/>
  <c r="G160" i="39"/>
  <c r="K158" i="39"/>
  <c r="I160" i="39"/>
  <c r="G161" i="39"/>
  <c r="H160" i="39"/>
  <c r="J160" i="39"/>
  <c r="K159" i="39"/>
  <c r="G162" i="39"/>
  <c r="H161" i="39"/>
  <c r="J161" i="39"/>
  <c r="I161" i="39"/>
  <c r="K160" i="39"/>
  <c r="K161" i="39"/>
  <c r="J162" i="39"/>
  <c r="H162" i="39"/>
  <c r="G163" i="39"/>
  <c r="I162" i="39"/>
  <c r="J163" i="39"/>
  <c r="I163" i="39"/>
  <c r="G164" i="39"/>
  <c r="H163" i="39"/>
  <c r="K163" i="39"/>
  <c r="K162" i="39"/>
  <c r="I164" i="39"/>
  <c r="G165" i="39"/>
  <c r="H164" i="39"/>
  <c r="K164" i="39"/>
  <c r="J164" i="39"/>
  <c r="G166" i="39"/>
  <c r="H165" i="39"/>
  <c r="I165" i="39"/>
  <c r="J165" i="39"/>
  <c r="K165" i="39"/>
  <c r="J166" i="39"/>
  <c r="G167" i="39"/>
  <c r="I166" i="39"/>
  <c r="H166" i="39"/>
  <c r="J167" i="39"/>
  <c r="I167" i="39"/>
  <c r="G168" i="39"/>
  <c r="H167" i="39"/>
  <c r="K167" i="39"/>
  <c r="K166" i="39"/>
  <c r="I168" i="39"/>
  <c r="G169" i="39"/>
  <c r="H168" i="39"/>
  <c r="K168" i="39"/>
  <c r="J168" i="39"/>
  <c r="G170" i="39"/>
  <c r="H169" i="39"/>
  <c r="J169" i="39"/>
  <c r="I169" i="39"/>
  <c r="K169" i="39"/>
  <c r="J170" i="39"/>
  <c r="H170" i="39"/>
  <c r="K170" i="39"/>
  <c r="G171" i="39"/>
  <c r="I170" i="39"/>
  <c r="J171" i="39"/>
  <c r="I171" i="39"/>
  <c r="G172" i="39"/>
  <c r="H171" i="39"/>
  <c r="K171" i="39"/>
  <c r="I172" i="39"/>
  <c r="G173" i="39"/>
  <c r="H172" i="39"/>
  <c r="J172" i="39"/>
  <c r="G174" i="39"/>
  <c r="H173" i="39"/>
  <c r="I173" i="39"/>
  <c r="J173" i="39"/>
  <c r="K172" i="39"/>
  <c r="K173" i="39"/>
  <c r="J174" i="39"/>
  <c r="G175" i="39"/>
  <c r="I174" i="39"/>
  <c r="H174" i="39"/>
  <c r="J175" i="39"/>
  <c r="I175" i="39"/>
  <c r="H175" i="39"/>
  <c r="G176" i="39"/>
  <c r="K174" i="39"/>
  <c r="I176" i="39"/>
  <c r="G177" i="39"/>
  <c r="H176" i="39"/>
  <c r="J176" i="39"/>
  <c r="K175" i="39"/>
  <c r="G178" i="39"/>
  <c r="H177" i="39"/>
  <c r="J177" i="39"/>
  <c r="I177" i="39"/>
  <c r="K176" i="39"/>
  <c r="K177" i="39"/>
  <c r="J178" i="39"/>
  <c r="H178" i="39"/>
  <c r="K178" i="39"/>
  <c r="I178" i="39"/>
  <c r="G179" i="39"/>
  <c r="J179" i="39"/>
  <c r="I179" i="39"/>
  <c r="H179" i="39"/>
  <c r="G180" i="39"/>
  <c r="I180" i="39"/>
  <c r="G181" i="39"/>
  <c r="H180" i="39"/>
  <c r="J180" i="39"/>
  <c r="K179" i="39"/>
  <c r="G182" i="39"/>
  <c r="H181" i="39"/>
  <c r="I181" i="39"/>
  <c r="J181" i="39"/>
  <c r="K180" i="39"/>
  <c r="K181" i="39"/>
  <c r="J182" i="39"/>
  <c r="G183" i="39"/>
  <c r="I182" i="39"/>
  <c r="H182" i="39"/>
  <c r="J183" i="39"/>
  <c r="I183" i="39"/>
  <c r="G184" i="39"/>
  <c r="H183" i="39"/>
  <c r="K183" i="39"/>
  <c r="K182" i="39"/>
  <c r="I184" i="39"/>
  <c r="G185" i="39"/>
  <c r="H184" i="39"/>
  <c r="J184" i="39"/>
  <c r="G186" i="39"/>
  <c r="H185" i="39"/>
  <c r="J185" i="39"/>
  <c r="I185" i="39"/>
  <c r="K184" i="39"/>
  <c r="K185" i="39"/>
  <c r="J186" i="39"/>
  <c r="H186" i="39"/>
  <c r="K186" i="39"/>
  <c r="G187" i="39"/>
  <c r="I186" i="39"/>
  <c r="J187" i="39"/>
  <c r="G188" i="39"/>
  <c r="I187" i="39"/>
  <c r="H187" i="39"/>
  <c r="K187" i="39"/>
  <c r="I188" i="39"/>
  <c r="G189" i="39"/>
  <c r="H188" i="39"/>
  <c r="J188" i="39"/>
  <c r="K188" i="39"/>
  <c r="G190" i="39"/>
  <c r="H189" i="39"/>
  <c r="J189" i="39"/>
  <c r="I189" i="39"/>
  <c r="J190" i="39"/>
  <c r="I190" i="39"/>
  <c r="G191" i="39"/>
  <c r="H190" i="39"/>
  <c r="K190" i="39"/>
  <c r="K189" i="39"/>
  <c r="J191" i="39"/>
  <c r="H191" i="39"/>
  <c r="I191" i="39"/>
  <c r="G192" i="39"/>
  <c r="I192" i="39"/>
  <c r="G193" i="39"/>
  <c r="H192" i="39"/>
  <c r="J192" i="39"/>
  <c r="K191" i="39"/>
  <c r="G194" i="39"/>
  <c r="H193" i="39"/>
  <c r="J193" i="39"/>
  <c r="I193" i="39"/>
  <c r="K192" i="39"/>
  <c r="K193" i="39"/>
  <c r="I194" i="39"/>
  <c r="J194" i="39"/>
  <c r="G195" i="39"/>
  <c r="H194" i="39"/>
  <c r="J195" i="39"/>
  <c r="G196" i="39"/>
  <c r="I195" i="39"/>
  <c r="H195" i="39"/>
  <c r="K195" i="39"/>
  <c r="K194" i="39"/>
  <c r="I196" i="39"/>
  <c r="G197" i="39"/>
  <c r="H196" i="39"/>
  <c r="K196" i="39"/>
  <c r="J196" i="39"/>
  <c r="G198" i="39"/>
  <c r="H197" i="39"/>
  <c r="J197" i="39"/>
  <c r="I197" i="39"/>
  <c r="K197" i="39"/>
  <c r="J198" i="39"/>
  <c r="I198" i="39"/>
  <c r="H198" i="39"/>
  <c r="K198" i="39"/>
  <c r="G199" i="39"/>
  <c r="J199" i="39"/>
  <c r="H199" i="39"/>
  <c r="I199" i="39"/>
  <c r="G200" i="39"/>
  <c r="I200" i="39"/>
  <c r="G201" i="39"/>
  <c r="H200" i="39"/>
  <c r="J200" i="39"/>
  <c r="K199" i="39"/>
  <c r="G202" i="39"/>
  <c r="H201" i="39"/>
  <c r="J201" i="39"/>
  <c r="I201" i="39"/>
  <c r="K200" i="39"/>
  <c r="K201" i="39"/>
  <c r="I202" i="39"/>
  <c r="J202" i="39"/>
  <c r="G203" i="39"/>
  <c r="H202" i="39"/>
  <c r="J203" i="39"/>
  <c r="G204" i="39"/>
  <c r="I203" i="39"/>
  <c r="H203" i="39"/>
  <c r="K203" i="39"/>
  <c r="K202" i="39"/>
  <c r="I204" i="39"/>
  <c r="G205" i="39"/>
  <c r="H204" i="39"/>
  <c r="K204" i="39"/>
  <c r="J204" i="39"/>
  <c r="G206" i="39"/>
  <c r="H205" i="39"/>
  <c r="J205" i="39"/>
  <c r="I205" i="39"/>
  <c r="K205" i="39"/>
  <c r="J206" i="39"/>
  <c r="I206" i="39"/>
  <c r="G207" i="39"/>
  <c r="H206" i="39"/>
  <c r="J207" i="39"/>
  <c r="H207" i="39"/>
  <c r="K207" i="39"/>
  <c r="I207" i="39"/>
  <c r="G208" i="39"/>
  <c r="K206" i="39"/>
  <c r="I208" i="39"/>
  <c r="G209" i="39"/>
  <c r="H208" i="39"/>
  <c r="J208" i="39"/>
  <c r="K208" i="39"/>
  <c r="G210" i="39"/>
  <c r="H209" i="39"/>
  <c r="J209" i="39"/>
  <c r="I209" i="39"/>
  <c r="I210" i="39"/>
  <c r="J210" i="39"/>
  <c r="G211" i="39"/>
  <c r="H210" i="39"/>
  <c r="K210" i="39"/>
  <c r="K209" i="39"/>
  <c r="J211" i="39"/>
  <c r="I211" i="39"/>
  <c r="G212" i="39"/>
  <c r="H211" i="39"/>
  <c r="K211" i="39"/>
  <c r="I212" i="39"/>
  <c r="G213" i="39"/>
  <c r="H212" i="39"/>
  <c r="J212" i="39"/>
  <c r="G214" i="39"/>
  <c r="H213" i="39"/>
  <c r="J213" i="39"/>
  <c r="I213" i="39"/>
  <c r="K212" i="39"/>
  <c r="K213" i="39"/>
  <c r="I214" i="39"/>
  <c r="J214" i="39"/>
  <c r="H214" i="39"/>
  <c r="G215" i="39"/>
  <c r="K214" i="39"/>
  <c r="J215" i="39"/>
  <c r="G216" i="39"/>
  <c r="I215" i="39"/>
  <c r="H215" i="39"/>
  <c r="I216" i="39"/>
  <c r="G217" i="39"/>
  <c r="H216" i="39"/>
  <c r="J216" i="39"/>
  <c r="K215" i="39"/>
  <c r="G218" i="39"/>
  <c r="H217" i="39"/>
  <c r="J217" i="39"/>
  <c r="I217" i="39"/>
  <c r="K216" i="39"/>
  <c r="K217" i="39"/>
  <c r="J218" i="39"/>
  <c r="I218" i="39"/>
  <c r="G219" i="39"/>
  <c r="H218" i="39"/>
  <c r="J219" i="39"/>
  <c r="H219" i="39"/>
  <c r="K219" i="39"/>
  <c r="I219" i="39"/>
  <c r="G220" i="39"/>
  <c r="K218" i="39"/>
  <c r="I220" i="39"/>
  <c r="G221" i="39"/>
  <c r="H220" i="39"/>
  <c r="K220" i="39"/>
  <c r="J220" i="39"/>
  <c r="G222" i="39"/>
  <c r="H221" i="39"/>
  <c r="J221" i="39"/>
  <c r="I221" i="39"/>
  <c r="K221" i="39"/>
  <c r="I222" i="39"/>
  <c r="J222" i="39"/>
  <c r="G223" i="39"/>
  <c r="H222" i="39"/>
  <c r="J223" i="39"/>
  <c r="G224" i="39"/>
  <c r="I223" i="39"/>
  <c r="H223" i="39"/>
  <c r="K223" i="39"/>
  <c r="K222" i="39"/>
  <c r="I224" i="39"/>
  <c r="G225" i="39"/>
  <c r="H224" i="39"/>
  <c r="J224" i="39"/>
  <c r="K224" i="39"/>
  <c r="G226" i="39"/>
  <c r="H225" i="39"/>
  <c r="J225" i="39"/>
  <c r="I225" i="39"/>
  <c r="J226" i="39"/>
  <c r="I226" i="39"/>
  <c r="G227" i="39"/>
  <c r="H226" i="39"/>
  <c r="K226" i="39"/>
  <c r="K225" i="39"/>
  <c r="J227" i="39"/>
  <c r="H227" i="39"/>
  <c r="I227" i="39"/>
  <c r="G228" i="39"/>
  <c r="I228" i="39"/>
  <c r="G229" i="39"/>
  <c r="H228" i="39"/>
  <c r="J228" i="39"/>
  <c r="K227" i="39"/>
  <c r="G230" i="39"/>
  <c r="H229" i="39"/>
  <c r="J229" i="39"/>
  <c r="I229" i="39"/>
  <c r="K228" i="39"/>
  <c r="K229" i="39"/>
  <c r="I230" i="39"/>
  <c r="J230" i="39"/>
  <c r="H230" i="39"/>
  <c r="K230" i="39"/>
  <c r="G231" i="39"/>
  <c r="J231" i="39"/>
  <c r="G232" i="39"/>
  <c r="I231" i="39"/>
  <c r="H231" i="39"/>
  <c r="K231" i="39"/>
  <c r="I232" i="39"/>
  <c r="G233" i="39"/>
  <c r="H232" i="39"/>
  <c r="K232" i="39"/>
  <c r="J232" i="39"/>
  <c r="G234" i="39"/>
  <c r="H233" i="39"/>
  <c r="J233" i="39"/>
  <c r="I233" i="39"/>
  <c r="K233" i="39"/>
  <c r="J234" i="39"/>
  <c r="I234" i="39"/>
  <c r="G235" i="39"/>
  <c r="H234" i="39"/>
  <c r="J235" i="39"/>
  <c r="H235" i="39"/>
  <c r="K235" i="39"/>
  <c r="I235" i="39"/>
  <c r="G236" i="39"/>
  <c r="K234" i="39"/>
  <c r="I236" i="39"/>
  <c r="G237" i="39"/>
  <c r="H236" i="39"/>
  <c r="J236" i="39"/>
  <c r="K236" i="39"/>
  <c r="G238" i="39"/>
  <c r="H237" i="39"/>
  <c r="J237" i="39"/>
  <c r="I237" i="39"/>
  <c r="I238" i="39"/>
  <c r="J238" i="39"/>
  <c r="G239" i="39"/>
  <c r="H238" i="39"/>
  <c r="K238" i="39"/>
  <c r="K237" i="39"/>
  <c r="J239" i="39"/>
  <c r="G240" i="39"/>
  <c r="I239" i="39"/>
  <c r="H239" i="39"/>
  <c r="K239" i="39"/>
  <c r="I240" i="39"/>
  <c r="G241" i="39"/>
  <c r="H240" i="39"/>
  <c r="K240" i="39"/>
  <c r="J240" i="39"/>
  <c r="G242" i="39"/>
  <c r="H241" i="39"/>
  <c r="J241" i="39"/>
  <c r="I241" i="39"/>
  <c r="K241" i="39"/>
  <c r="J242" i="39"/>
  <c r="I242" i="39"/>
  <c r="G243" i="39"/>
  <c r="H242" i="39"/>
  <c r="J243" i="39"/>
  <c r="H243" i="39"/>
  <c r="K243" i="39"/>
  <c r="I243" i="39"/>
  <c r="G244" i="39"/>
  <c r="K242" i="39"/>
  <c r="I244" i="39"/>
  <c r="G245" i="39"/>
  <c r="H244" i="39"/>
  <c r="J244" i="39"/>
  <c r="K244" i="39"/>
  <c r="G246" i="39"/>
  <c r="H245" i="39"/>
  <c r="J245" i="39"/>
  <c r="I245" i="39"/>
  <c r="I246" i="39"/>
  <c r="J246" i="39"/>
  <c r="H246" i="39"/>
  <c r="G247" i="39"/>
  <c r="K245" i="39"/>
  <c r="J247" i="39"/>
  <c r="G248" i="39"/>
  <c r="I247" i="39"/>
  <c r="H247" i="39"/>
  <c r="K246" i="39"/>
  <c r="K247" i="39"/>
  <c r="I248" i="39"/>
  <c r="G249" i="39"/>
  <c r="H248" i="39"/>
  <c r="J248" i="39"/>
  <c r="K248" i="39"/>
  <c r="G250" i="39"/>
  <c r="H249" i="39"/>
  <c r="J249" i="39"/>
  <c r="I249" i="39"/>
  <c r="K249" i="39"/>
  <c r="J250" i="39"/>
  <c r="I250" i="39"/>
  <c r="H250" i="39"/>
  <c r="K250" i="39"/>
  <c r="G251" i="39"/>
  <c r="J251" i="39"/>
  <c r="H251" i="39"/>
  <c r="I251" i="39"/>
  <c r="G252" i="39"/>
  <c r="I252" i="39"/>
  <c r="G253" i="39"/>
  <c r="H252" i="39"/>
  <c r="J252" i="39"/>
  <c r="K251" i="39"/>
  <c r="K252" i="39"/>
  <c r="G254" i="39"/>
  <c r="H253" i="39"/>
  <c r="J253" i="39"/>
  <c r="I253" i="39"/>
  <c r="K253" i="39"/>
  <c r="I254" i="39"/>
  <c r="J254" i="39"/>
  <c r="G255" i="39"/>
  <c r="H254" i="39"/>
  <c r="K254" i="39"/>
  <c r="J255" i="39"/>
  <c r="G256" i="39"/>
  <c r="I255" i="39"/>
  <c r="H255" i="39"/>
  <c r="K255" i="39"/>
  <c r="I256" i="39"/>
  <c r="G257" i="39"/>
  <c r="H256" i="39"/>
  <c r="J256" i="39"/>
  <c r="K256" i="39"/>
  <c r="G258" i="39"/>
  <c r="H257" i="39"/>
  <c r="J257" i="39"/>
  <c r="I257" i="39"/>
  <c r="K257" i="39"/>
  <c r="J258" i="39"/>
  <c r="I258" i="39"/>
  <c r="G259" i="39"/>
  <c r="H258" i="39"/>
  <c r="K258" i="39"/>
  <c r="J259" i="39"/>
  <c r="H259" i="39"/>
  <c r="I259" i="39"/>
  <c r="G260" i="39"/>
  <c r="I260" i="39"/>
  <c r="G261" i="39"/>
  <c r="H260" i="39"/>
  <c r="J260" i="39"/>
  <c r="K259" i="39"/>
  <c r="K260" i="39"/>
  <c r="G262" i="39"/>
  <c r="H261" i="39"/>
  <c r="K261" i="39"/>
  <c r="J261" i="39"/>
  <c r="I261" i="39"/>
  <c r="I262" i="39"/>
  <c r="J262" i="39"/>
  <c r="H262" i="39"/>
  <c r="G263" i="39"/>
  <c r="J263" i="39"/>
  <c r="G264" i="39"/>
  <c r="I263" i="39"/>
  <c r="H263" i="39"/>
  <c r="K262" i="39"/>
  <c r="K263" i="39"/>
  <c r="I264" i="39"/>
  <c r="G265" i="39"/>
  <c r="H264" i="39"/>
  <c r="J264" i="39"/>
  <c r="K264" i="39"/>
  <c r="G266" i="39"/>
  <c r="H265" i="39"/>
  <c r="J265" i="39"/>
  <c r="I265" i="39"/>
  <c r="K265" i="39"/>
  <c r="J266" i="39"/>
  <c r="I266" i="39"/>
  <c r="H266" i="39"/>
  <c r="K266" i="39"/>
  <c r="G267" i="39"/>
  <c r="J267" i="39"/>
  <c r="H267" i="39"/>
  <c r="K267" i="39"/>
  <c r="I267" i="39"/>
  <c r="G268" i="39"/>
  <c r="I268" i="39"/>
  <c r="G269" i="39"/>
  <c r="H268" i="39"/>
  <c r="J268" i="39"/>
  <c r="G270" i="39"/>
  <c r="H269" i="39"/>
  <c r="I269" i="39"/>
  <c r="J269" i="39"/>
  <c r="K268" i="39"/>
  <c r="K269" i="39"/>
  <c r="I270" i="39"/>
  <c r="G271" i="39"/>
  <c r="H270" i="39"/>
  <c r="K270" i="39"/>
  <c r="J270" i="39"/>
  <c r="J271" i="39"/>
  <c r="I271" i="39"/>
  <c r="H271" i="39"/>
  <c r="K271" i="39"/>
  <c r="G272" i="39"/>
  <c r="I272" i="39"/>
  <c r="J272" i="39"/>
  <c r="G273" i="39"/>
  <c r="H272" i="39"/>
  <c r="K272" i="39"/>
  <c r="G274" i="39"/>
  <c r="H273" i="39"/>
  <c r="J273" i="39"/>
  <c r="I273" i="39"/>
  <c r="K273" i="39"/>
  <c r="J274" i="39"/>
  <c r="I274" i="39"/>
  <c r="H274" i="39"/>
  <c r="K274" i="39"/>
  <c r="G275" i="39"/>
  <c r="J275" i="39"/>
  <c r="H275" i="39"/>
  <c r="I275" i="39"/>
  <c r="G276" i="39"/>
  <c r="I276" i="39"/>
  <c r="J276" i="39"/>
  <c r="H276" i="39"/>
  <c r="G277" i="39"/>
  <c r="K275" i="39"/>
  <c r="G278" i="39"/>
  <c r="H277" i="39"/>
  <c r="I277" i="39"/>
  <c r="J277" i="39"/>
  <c r="K276" i="39"/>
  <c r="K277" i="39"/>
  <c r="G279" i="39"/>
  <c r="J278" i="39"/>
  <c r="I278" i="39"/>
  <c r="H278" i="39"/>
  <c r="J279" i="39"/>
  <c r="G280" i="39"/>
  <c r="I279" i="39"/>
  <c r="H279" i="39"/>
  <c r="K279" i="39"/>
  <c r="K278" i="39"/>
  <c r="I280" i="39"/>
  <c r="G281" i="39"/>
  <c r="J280" i="39"/>
  <c r="H280" i="39"/>
  <c r="K280" i="39"/>
  <c r="G282" i="39"/>
  <c r="H281" i="39"/>
  <c r="J281" i="39"/>
  <c r="I281" i="39"/>
  <c r="K281" i="39"/>
  <c r="H282" i="39"/>
  <c r="J282" i="39"/>
  <c r="G283" i="39"/>
  <c r="I282" i="39"/>
  <c r="J283" i="39"/>
  <c r="H283" i="39"/>
  <c r="G284" i="39"/>
  <c r="I283" i="39"/>
  <c r="K282" i="39"/>
  <c r="J284" i="39"/>
  <c r="I284" i="39"/>
  <c r="H284" i="39"/>
  <c r="K284" i="39"/>
  <c r="G285" i="39"/>
  <c r="K283" i="39"/>
  <c r="I285" i="39"/>
  <c r="G286" i="39"/>
  <c r="H285" i="39"/>
  <c r="K285" i="39"/>
  <c r="J285" i="39"/>
  <c r="G287" i="39"/>
  <c r="H286" i="39"/>
  <c r="J286" i="39"/>
  <c r="I286" i="39"/>
  <c r="K286" i="39"/>
  <c r="J287" i="39"/>
  <c r="I287" i="39"/>
  <c r="H287" i="39"/>
  <c r="K287" i="39"/>
  <c r="G288" i="39"/>
  <c r="J288" i="39"/>
  <c r="I288" i="39"/>
  <c r="G289" i="39"/>
  <c r="H288" i="39"/>
  <c r="K288" i="39"/>
  <c r="I289" i="39"/>
  <c r="G290" i="39"/>
  <c r="H289" i="39"/>
  <c r="J289" i="39"/>
  <c r="K289" i="39"/>
  <c r="G291" i="39"/>
  <c r="H290" i="39"/>
  <c r="J290" i="39"/>
  <c r="I290" i="39"/>
  <c r="J291" i="39"/>
  <c r="G292" i="39"/>
  <c r="I291" i="39"/>
  <c r="H291" i="39"/>
  <c r="K291" i="39"/>
  <c r="K290" i="39"/>
  <c r="J292" i="39"/>
  <c r="I292" i="39"/>
  <c r="H292" i="39"/>
  <c r="K292" i="39"/>
  <c r="G293" i="39"/>
  <c r="I293" i="39"/>
  <c r="G294" i="39"/>
  <c r="H293" i="39"/>
  <c r="K293" i="39"/>
  <c r="J293" i="39"/>
  <c r="G295" i="39"/>
  <c r="H294" i="39"/>
  <c r="J294" i="39"/>
  <c r="I294" i="39"/>
  <c r="K294" i="39"/>
  <c r="J295" i="39"/>
  <c r="I295" i="39"/>
  <c r="H295" i="39"/>
  <c r="K295" i="39"/>
  <c r="G296" i="39"/>
  <c r="J296" i="39"/>
  <c r="I296" i="39"/>
  <c r="G297" i="39"/>
  <c r="H296" i="39"/>
  <c r="K296" i="39"/>
  <c r="I297" i="39"/>
  <c r="G298" i="39"/>
  <c r="H297" i="39"/>
  <c r="K297" i="39"/>
  <c r="J297" i="39"/>
  <c r="G299" i="39"/>
  <c r="H298" i="39"/>
  <c r="J298" i="39"/>
  <c r="I298" i="39"/>
  <c r="K298" i="39"/>
  <c r="J299" i="39"/>
  <c r="I299" i="39"/>
  <c r="G300" i="39"/>
  <c r="H299" i="39"/>
  <c r="J300" i="39"/>
  <c r="I300" i="39"/>
  <c r="H300" i="39"/>
  <c r="K300" i="39"/>
  <c r="G301" i="39"/>
  <c r="K299" i="39"/>
  <c r="I301" i="39"/>
  <c r="G302" i="39"/>
  <c r="H301" i="39"/>
  <c r="K301" i="39"/>
  <c r="J301" i="39"/>
  <c r="G303" i="39"/>
  <c r="H302" i="39"/>
  <c r="J302" i="39"/>
  <c r="I302" i="39"/>
  <c r="K302" i="39"/>
  <c r="J303" i="39"/>
  <c r="I303" i="39"/>
  <c r="H303" i="39"/>
  <c r="K303" i="39"/>
  <c r="G304" i="39"/>
  <c r="J304" i="39"/>
  <c r="I304" i="39"/>
  <c r="G305" i="39"/>
  <c r="H304" i="39"/>
  <c r="K304" i="39"/>
  <c r="I305" i="39"/>
  <c r="G306" i="39"/>
  <c r="H305" i="39"/>
  <c r="K305" i="39"/>
  <c r="J305" i="39"/>
  <c r="G307" i="39"/>
  <c r="H306" i="39"/>
  <c r="J306" i="39"/>
  <c r="I306" i="39"/>
  <c r="K306" i="39"/>
  <c r="J307" i="39"/>
  <c r="G308" i="39"/>
  <c r="I307" i="39"/>
  <c r="H307" i="39"/>
  <c r="J308" i="39"/>
  <c r="I308" i="39"/>
  <c r="H308" i="39"/>
  <c r="G309" i="39"/>
  <c r="K307" i="39"/>
  <c r="I309" i="39"/>
  <c r="G310" i="39"/>
  <c r="H309" i="39"/>
  <c r="J309" i="39"/>
  <c r="K308" i="39"/>
  <c r="G311" i="39"/>
  <c r="H310" i="39"/>
  <c r="J310" i="39"/>
  <c r="I310" i="39"/>
  <c r="K309" i="39"/>
  <c r="K310" i="39"/>
  <c r="J311" i="39"/>
  <c r="I311" i="39"/>
  <c r="H311" i="39"/>
  <c r="K311" i="39"/>
  <c r="G312" i="39"/>
  <c r="J312" i="39"/>
  <c r="I312" i="39"/>
  <c r="G313" i="39"/>
  <c r="H312" i="39"/>
  <c r="K312" i="39"/>
  <c r="I313" i="39"/>
  <c r="G314" i="39"/>
  <c r="H313" i="39"/>
  <c r="K313" i="39"/>
  <c r="J313" i="39"/>
  <c r="G315" i="39"/>
  <c r="H314" i="39"/>
  <c r="J314" i="39"/>
  <c r="I314" i="39"/>
  <c r="K314" i="39"/>
  <c r="J315" i="39"/>
  <c r="I315" i="39"/>
  <c r="G316" i="39"/>
  <c r="H315" i="39"/>
  <c r="J316" i="39"/>
  <c r="I316" i="39"/>
  <c r="H316" i="39"/>
  <c r="K316" i="39"/>
  <c r="G317" i="39"/>
  <c r="K315" i="39"/>
  <c r="I317" i="39"/>
  <c r="G318" i="39"/>
  <c r="H317" i="39"/>
  <c r="K317" i="39"/>
  <c r="J317" i="39"/>
  <c r="G319" i="39"/>
  <c r="H318" i="39"/>
  <c r="J318" i="39"/>
  <c r="I318" i="39"/>
  <c r="K318" i="39"/>
  <c r="J319" i="39"/>
  <c r="I319" i="39"/>
  <c r="H319" i="39"/>
  <c r="K319" i="39"/>
  <c r="G320" i="39"/>
  <c r="J320" i="39"/>
  <c r="I320" i="39"/>
  <c r="G321" i="39"/>
  <c r="H320" i="39"/>
  <c r="K320" i="39"/>
  <c r="I321" i="39"/>
  <c r="G322" i="39"/>
  <c r="H321" i="39"/>
  <c r="J321" i="39"/>
  <c r="G323" i="39"/>
  <c r="H322" i="39"/>
  <c r="J322" i="39"/>
  <c r="I322" i="39"/>
  <c r="K321" i="39"/>
  <c r="K322" i="39"/>
  <c r="J323" i="39"/>
  <c r="I323" i="39"/>
  <c r="G324" i="39"/>
  <c r="H323" i="39"/>
  <c r="J324" i="39"/>
  <c r="I324" i="39"/>
  <c r="H324" i="39"/>
  <c r="G325" i="39"/>
  <c r="K323" i="39"/>
  <c r="I325" i="39"/>
  <c r="G326" i="39"/>
  <c r="H325" i="39"/>
  <c r="J325" i="39"/>
  <c r="K324" i="39"/>
  <c r="G327" i="39"/>
  <c r="H326" i="39"/>
  <c r="J326" i="39"/>
  <c r="I326" i="39"/>
  <c r="K325" i="39"/>
  <c r="K326" i="39"/>
  <c r="J327" i="39"/>
  <c r="I327" i="39"/>
  <c r="H327" i="39"/>
  <c r="K327" i="39"/>
  <c r="G328" i="39"/>
  <c r="J328" i="39"/>
  <c r="I328" i="39"/>
  <c r="G329" i="39"/>
  <c r="H328" i="39"/>
  <c r="K328" i="39"/>
  <c r="I329" i="39"/>
  <c r="G330" i="39"/>
  <c r="H329" i="39"/>
  <c r="K329" i="39"/>
  <c r="J329" i="39"/>
  <c r="G331" i="39"/>
  <c r="H330" i="39"/>
  <c r="J330" i="39"/>
  <c r="I330" i="39"/>
  <c r="K330" i="39"/>
  <c r="J331" i="39"/>
  <c r="G332" i="39"/>
  <c r="I331" i="39"/>
  <c r="H331" i="39"/>
  <c r="J332" i="39"/>
  <c r="I332" i="39"/>
  <c r="H332" i="39"/>
  <c r="K332" i="39"/>
  <c r="G333" i="39"/>
  <c r="K331" i="39"/>
  <c r="I333" i="39"/>
  <c r="G334" i="39"/>
  <c r="H333" i="39"/>
  <c r="K333" i="39"/>
  <c r="J333" i="39"/>
  <c r="G335" i="39"/>
  <c r="H334" i="39"/>
  <c r="J334" i="39"/>
  <c r="I334" i="39"/>
  <c r="K334" i="39"/>
  <c r="J335" i="39"/>
  <c r="I335" i="39"/>
  <c r="H335" i="39"/>
  <c r="K335" i="39"/>
  <c r="G336" i="39"/>
  <c r="J336" i="39"/>
  <c r="I336" i="39"/>
  <c r="G337" i="39"/>
  <c r="H336" i="39"/>
  <c r="K336" i="39"/>
  <c r="I337" i="39"/>
  <c r="G338" i="39"/>
  <c r="H337" i="39"/>
  <c r="J337" i="39"/>
  <c r="G339" i="39"/>
  <c r="H338" i="39"/>
  <c r="J338" i="39"/>
  <c r="I338" i="39"/>
  <c r="K337" i="39"/>
  <c r="K338" i="39"/>
  <c r="J339" i="39"/>
  <c r="I339" i="39"/>
  <c r="G340" i="39"/>
  <c r="H339" i="39"/>
  <c r="J340" i="39"/>
  <c r="I340" i="39"/>
  <c r="H340" i="39"/>
  <c r="K340" i="39"/>
  <c r="G341" i="39"/>
  <c r="K339" i="39"/>
  <c r="I341" i="39"/>
  <c r="G342" i="39"/>
  <c r="H341" i="39"/>
  <c r="K341" i="39"/>
  <c r="J341" i="39"/>
  <c r="G343" i="39"/>
  <c r="H342" i="39"/>
  <c r="J342" i="39"/>
  <c r="I342" i="39"/>
  <c r="K342" i="39"/>
  <c r="J343" i="39"/>
  <c r="I343" i="39"/>
  <c r="H343" i="39"/>
  <c r="K343" i="39"/>
  <c r="G344" i="39"/>
  <c r="J344" i="39"/>
  <c r="I344" i="39"/>
  <c r="G345" i="39"/>
  <c r="H344" i="39"/>
  <c r="K344" i="39"/>
  <c r="I345" i="39"/>
  <c r="G346" i="39"/>
  <c r="H345" i="39"/>
  <c r="K345" i="39"/>
  <c r="J345" i="39"/>
  <c r="G347" i="39"/>
  <c r="H346" i="39"/>
  <c r="J346" i="39"/>
  <c r="I346" i="39"/>
  <c r="K346" i="39"/>
  <c r="J347" i="39"/>
  <c r="G348" i="39"/>
  <c r="I347" i="39"/>
  <c r="H347" i="39"/>
  <c r="J348" i="39"/>
  <c r="I348" i="39"/>
  <c r="H348" i="39"/>
  <c r="G349" i="39"/>
  <c r="K347" i="39"/>
  <c r="I349" i="39"/>
  <c r="G350" i="39"/>
  <c r="H349" i="39"/>
  <c r="J349" i="39"/>
  <c r="K348" i="39"/>
  <c r="G351" i="39"/>
  <c r="H350" i="39"/>
  <c r="J350" i="39"/>
  <c r="I350" i="39"/>
  <c r="K349" i="39"/>
  <c r="K350" i="39"/>
  <c r="J351" i="39"/>
  <c r="I351" i="39"/>
  <c r="H351" i="39"/>
  <c r="K351" i="39"/>
  <c r="G352" i="39"/>
  <c r="J352" i="39"/>
  <c r="I352" i="39"/>
  <c r="G353" i="39"/>
  <c r="H352" i="39"/>
  <c r="K352" i="39"/>
  <c r="I353" i="39"/>
  <c r="G354" i="39"/>
  <c r="H353" i="39"/>
  <c r="K353" i="39"/>
  <c r="J353" i="39"/>
  <c r="G355" i="39"/>
  <c r="H354" i="39"/>
  <c r="J354" i="39"/>
  <c r="I354" i="39"/>
  <c r="K354" i="39"/>
  <c r="J355" i="39"/>
  <c r="I355" i="39"/>
  <c r="G356" i="39"/>
  <c r="H355" i="39"/>
  <c r="J356" i="39"/>
  <c r="I356" i="39"/>
  <c r="H356" i="39"/>
  <c r="K356" i="39"/>
  <c r="G357" i="39"/>
  <c r="K355" i="39"/>
  <c r="I357" i="39"/>
  <c r="G358" i="39"/>
  <c r="H357" i="39"/>
  <c r="K357" i="39"/>
  <c r="J357" i="39"/>
  <c r="G359" i="39"/>
  <c r="H358" i="39"/>
  <c r="J358" i="39"/>
  <c r="I358" i="39"/>
  <c r="K358" i="39"/>
  <c r="J359" i="39"/>
  <c r="I359" i="39"/>
  <c r="H359" i="39"/>
  <c r="K359" i="39"/>
  <c r="G360" i="39"/>
  <c r="J360" i="39"/>
  <c r="I360" i="39"/>
  <c r="G361" i="39"/>
  <c r="H360" i="39"/>
  <c r="K360" i="39"/>
  <c r="I361" i="39"/>
  <c r="G362" i="39"/>
  <c r="H361" i="39"/>
  <c r="J361" i="39"/>
  <c r="G363" i="39"/>
  <c r="H362" i="39"/>
  <c r="J362" i="39"/>
  <c r="I362" i="39"/>
  <c r="K361" i="39"/>
  <c r="K362" i="39"/>
  <c r="J363" i="39"/>
  <c r="G364" i="39"/>
  <c r="I363" i="39"/>
  <c r="H363" i="39"/>
  <c r="J364" i="39"/>
  <c r="I364" i="39"/>
  <c r="H364" i="39"/>
  <c r="G365" i="39"/>
  <c r="K363" i="39"/>
  <c r="I365" i="39"/>
  <c r="G366" i="39"/>
  <c r="H365" i="39"/>
  <c r="J365" i="39"/>
  <c r="K364" i="39"/>
  <c r="G367" i="39"/>
  <c r="H366" i="39"/>
  <c r="J366" i="39"/>
  <c r="I366" i="39"/>
  <c r="K365" i="39"/>
  <c r="K366" i="39"/>
  <c r="J367" i="39"/>
  <c r="I367" i="39"/>
  <c r="H367" i="39"/>
  <c r="K367" i="39"/>
  <c r="G368" i="39"/>
  <c r="J368" i="39"/>
  <c r="I368" i="39"/>
  <c r="G369" i="39"/>
  <c r="H368" i="39"/>
  <c r="K368" i="39"/>
  <c r="I369" i="39"/>
  <c r="G370" i="39"/>
  <c r="H369" i="39"/>
  <c r="J369" i="39"/>
  <c r="G371" i="39"/>
  <c r="H370" i="39"/>
  <c r="J370" i="39"/>
  <c r="I370" i="39"/>
  <c r="K369" i="39"/>
  <c r="K370" i="39"/>
  <c r="J371" i="39"/>
  <c r="I371" i="39"/>
  <c r="G372" i="39"/>
  <c r="H371" i="39"/>
  <c r="J372" i="39"/>
  <c r="I372" i="39"/>
  <c r="H372" i="39"/>
  <c r="G373" i="39"/>
  <c r="K371" i="39"/>
  <c r="I373" i="39"/>
  <c r="G374" i="39"/>
  <c r="H373" i="39"/>
  <c r="J373" i="39"/>
  <c r="K372" i="39"/>
  <c r="G375" i="39"/>
  <c r="H374" i="39"/>
  <c r="J374" i="39"/>
  <c r="I374" i="39"/>
  <c r="K373" i="39"/>
  <c r="K374" i="39"/>
  <c r="J375" i="39"/>
  <c r="I375" i="39"/>
  <c r="H375" i="39"/>
  <c r="K375" i="39"/>
  <c r="G376" i="39"/>
  <c r="J376" i="39"/>
  <c r="I376" i="39"/>
  <c r="G377" i="39"/>
  <c r="H376" i="39"/>
  <c r="K376" i="39"/>
  <c r="I377" i="39"/>
  <c r="G378" i="39"/>
  <c r="H377" i="39"/>
  <c r="J377" i="39"/>
  <c r="G379" i="39"/>
  <c r="H378" i="39"/>
  <c r="J378" i="39"/>
  <c r="I378" i="39"/>
  <c r="K377" i="39"/>
  <c r="K378" i="39"/>
  <c r="J379" i="39"/>
  <c r="G380" i="39"/>
  <c r="I379" i="39"/>
  <c r="H379" i="39"/>
  <c r="J380" i="39"/>
  <c r="I380" i="39"/>
  <c r="H380" i="39"/>
  <c r="K380" i="39"/>
  <c r="G381" i="39"/>
  <c r="K379" i="39"/>
  <c r="I381" i="39"/>
  <c r="G382" i="39"/>
  <c r="H381" i="39"/>
  <c r="K381" i="39"/>
  <c r="J381" i="39"/>
  <c r="G383" i="39"/>
  <c r="H382" i="39"/>
  <c r="J382" i="39"/>
  <c r="I382" i="39"/>
  <c r="K382" i="39"/>
  <c r="J383" i="39"/>
  <c r="I383" i="39"/>
  <c r="H383" i="39"/>
  <c r="K383" i="39"/>
  <c r="G384" i="39"/>
  <c r="J384" i="39"/>
  <c r="I384" i="39"/>
  <c r="G385" i="39"/>
  <c r="H384" i="39"/>
  <c r="K384" i="39"/>
  <c r="I385" i="39"/>
  <c r="G386" i="39"/>
  <c r="H385" i="39"/>
  <c r="J385" i="39"/>
  <c r="G387" i="39"/>
  <c r="H386" i="39"/>
  <c r="J386" i="39"/>
  <c r="I386" i="39"/>
  <c r="K385" i="39"/>
  <c r="K386" i="39"/>
  <c r="J387" i="39"/>
  <c r="G388" i="39"/>
  <c r="I387" i="39"/>
  <c r="H387" i="39"/>
  <c r="J388" i="39"/>
  <c r="I388" i="39"/>
  <c r="H388" i="39"/>
  <c r="G389" i="39"/>
  <c r="K387" i="39"/>
  <c r="I389" i="39"/>
  <c r="G390" i="39"/>
  <c r="H389" i="39"/>
  <c r="J389" i="39"/>
  <c r="K388" i="39"/>
  <c r="G391" i="39"/>
  <c r="H390" i="39"/>
  <c r="J390" i="39"/>
  <c r="I390" i="39"/>
  <c r="K389" i="39"/>
  <c r="K390" i="39"/>
  <c r="J391" i="39"/>
  <c r="I391" i="39"/>
  <c r="H391" i="39"/>
  <c r="K391" i="39"/>
  <c r="G392" i="39"/>
  <c r="J392" i="39"/>
  <c r="I392" i="39"/>
  <c r="G393" i="39"/>
  <c r="H392" i="39"/>
  <c r="K392" i="39"/>
  <c r="I393" i="39"/>
  <c r="G394" i="39"/>
  <c r="H393" i="39"/>
  <c r="J393" i="39"/>
  <c r="G395" i="39"/>
  <c r="H394" i="39"/>
  <c r="J394" i="39"/>
  <c r="I394" i="39"/>
  <c r="K393" i="39"/>
  <c r="K394" i="39"/>
  <c r="J395" i="39"/>
  <c r="G396" i="39"/>
  <c r="I395" i="39"/>
  <c r="H395" i="39"/>
  <c r="J396" i="39"/>
  <c r="I396" i="39"/>
  <c r="H396" i="39"/>
  <c r="G397" i="39"/>
  <c r="K395" i="39"/>
  <c r="I397" i="39"/>
  <c r="G398" i="39"/>
  <c r="H397" i="39"/>
  <c r="J397" i="39"/>
  <c r="K396" i="39"/>
  <c r="G399" i="39"/>
  <c r="H398" i="39"/>
  <c r="J398" i="39"/>
  <c r="I398" i="39"/>
  <c r="K397" i="39"/>
  <c r="K398" i="39"/>
  <c r="J399" i="39"/>
  <c r="I399" i="39"/>
  <c r="H399" i="39"/>
  <c r="K399" i="39"/>
  <c r="G400" i="39"/>
  <c r="J400" i="39"/>
  <c r="I400" i="39"/>
  <c r="G401" i="39"/>
  <c r="H400" i="39"/>
  <c r="K400" i="39"/>
  <c r="I401" i="39"/>
  <c r="G402" i="39"/>
  <c r="H401" i="39"/>
  <c r="K401" i="39"/>
  <c r="J401" i="39"/>
  <c r="G403" i="39"/>
  <c r="H402" i="39"/>
  <c r="J402" i="39"/>
  <c r="I402" i="39"/>
  <c r="K402" i="39"/>
  <c r="J403" i="39"/>
  <c r="I403" i="39"/>
  <c r="G404" i="39"/>
  <c r="H403" i="39"/>
  <c r="J404" i="39"/>
  <c r="I404" i="39"/>
  <c r="H404" i="39"/>
  <c r="K404" i="39"/>
  <c r="G405" i="39"/>
  <c r="K403" i="39"/>
  <c r="I405" i="39"/>
  <c r="G406" i="39"/>
  <c r="H405" i="39"/>
  <c r="J405" i="39"/>
  <c r="G407" i="39"/>
  <c r="H406" i="39"/>
  <c r="J406" i="39"/>
  <c r="I406" i="39"/>
  <c r="K405" i="39"/>
  <c r="K406" i="39"/>
  <c r="J407" i="39"/>
  <c r="I407" i="39"/>
  <c r="H407" i="39"/>
  <c r="K407" i="39"/>
  <c r="G408" i="39"/>
  <c r="J408" i="39"/>
  <c r="I408" i="39"/>
  <c r="G409" i="39"/>
  <c r="H408" i="39"/>
  <c r="K408" i="39"/>
  <c r="I409" i="39"/>
  <c r="G410" i="39"/>
  <c r="H409" i="39"/>
  <c r="J409" i="39"/>
  <c r="K409" i="39"/>
  <c r="G411" i="39"/>
  <c r="H410" i="39"/>
  <c r="J410" i="39"/>
  <c r="I410" i="39"/>
  <c r="J411" i="39"/>
  <c r="G412" i="39"/>
  <c r="I411" i="39"/>
  <c r="H411" i="39"/>
  <c r="K411" i="39"/>
  <c r="K410" i="39"/>
  <c r="J412" i="39"/>
  <c r="I412" i="39"/>
  <c r="H412" i="39"/>
  <c r="K412" i="39"/>
  <c r="G413" i="39"/>
  <c r="I413" i="39"/>
  <c r="G414" i="39"/>
  <c r="H413" i="39"/>
  <c r="K413" i="39"/>
  <c r="J413" i="39"/>
  <c r="G415" i="39"/>
  <c r="H414" i="39"/>
  <c r="J414" i="39"/>
  <c r="I414" i="39"/>
  <c r="K414" i="39"/>
  <c r="J415" i="39"/>
  <c r="I415" i="39"/>
  <c r="H415" i="39"/>
  <c r="K415" i="39"/>
  <c r="G416" i="39"/>
  <c r="J416" i="39"/>
  <c r="I416" i="39"/>
  <c r="G417" i="39"/>
  <c r="H416" i="39"/>
  <c r="K416" i="39"/>
  <c r="I417" i="39"/>
  <c r="G418" i="39"/>
  <c r="H417" i="39"/>
  <c r="K417" i="39"/>
  <c r="J417" i="39"/>
  <c r="G419" i="39"/>
  <c r="H418" i="39"/>
  <c r="J418" i="39"/>
  <c r="I418" i="39"/>
  <c r="K418" i="39"/>
  <c r="J419" i="39"/>
  <c r="I419" i="39"/>
  <c r="G420" i="39"/>
  <c r="H419" i="39"/>
  <c r="J420" i="39"/>
  <c r="I420" i="39"/>
  <c r="H420" i="39"/>
  <c r="G421" i="39"/>
  <c r="K419" i="39"/>
  <c r="I421" i="39"/>
  <c r="G422" i="39"/>
  <c r="H421" i="39"/>
  <c r="J421" i="39"/>
  <c r="K420" i="39"/>
  <c r="G423" i="39"/>
  <c r="H422" i="39"/>
  <c r="J422" i="39"/>
  <c r="I422" i="39"/>
  <c r="K421" i="39"/>
  <c r="K422" i="39"/>
  <c r="J423" i="39"/>
  <c r="I423" i="39"/>
  <c r="H423" i="39"/>
  <c r="K423" i="39"/>
  <c r="G424" i="39"/>
  <c r="J424" i="39"/>
  <c r="I424" i="39"/>
  <c r="G425" i="39"/>
  <c r="H424" i="39"/>
  <c r="K424" i="39"/>
  <c r="I425" i="39"/>
  <c r="G426" i="39"/>
  <c r="H425" i="39"/>
  <c r="J425" i="39"/>
  <c r="G427" i="39"/>
  <c r="H426" i="39"/>
  <c r="J426" i="39"/>
  <c r="I426" i="39"/>
  <c r="K425" i="39"/>
  <c r="K426" i="39"/>
  <c r="J427" i="39"/>
  <c r="G428" i="39"/>
  <c r="I427" i="39"/>
  <c r="H427" i="39"/>
  <c r="J428" i="39"/>
  <c r="I428" i="39"/>
  <c r="H428" i="39"/>
  <c r="G429" i="39"/>
  <c r="K427" i="39"/>
  <c r="I429" i="39"/>
  <c r="G430" i="39"/>
  <c r="H429" i="39"/>
  <c r="J429" i="39"/>
  <c r="K428" i="39"/>
  <c r="G431" i="39"/>
  <c r="H430" i="39"/>
  <c r="J430" i="39"/>
  <c r="I430" i="39"/>
  <c r="K429" i="39"/>
  <c r="K430" i="39"/>
  <c r="J431" i="39"/>
  <c r="I431" i="39"/>
  <c r="H431" i="39"/>
  <c r="K431" i="39"/>
  <c r="G432" i="39"/>
  <c r="J432" i="39"/>
  <c r="I432" i="39"/>
  <c r="G433" i="39"/>
  <c r="H432" i="39"/>
  <c r="K432" i="39"/>
  <c r="I433" i="39"/>
  <c r="G434" i="39"/>
  <c r="H433" i="39"/>
  <c r="K433" i="39"/>
  <c r="J433" i="39"/>
  <c r="G435" i="39"/>
  <c r="H434" i="39"/>
  <c r="J434" i="39"/>
  <c r="I434" i="39"/>
  <c r="K434" i="39"/>
  <c r="J435" i="39"/>
  <c r="I435" i="39"/>
  <c r="G436" i="39"/>
  <c r="H435" i="39"/>
  <c r="J436" i="39"/>
  <c r="I436" i="39"/>
  <c r="H436" i="39"/>
  <c r="K436" i="39"/>
  <c r="G437" i="39"/>
  <c r="K435" i="39"/>
  <c r="I437" i="39"/>
  <c r="G438" i="39"/>
  <c r="H437" i="39"/>
  <c r="J437" i="39"/>
  <c r="G439" i="39"/>
  <c r="H438" i="39"/>
  <c r="J438" i="39"/>
  <c r="I438" i="39"/>
  <c r="K437" i="39"/>
  <c r="K438" i="39"/>
  <c r="J439" i="39"/>
  <c r="I439" i="39"/>
  <c r="H439" i="39"/>
  <c r="K439" i="39"/>
  <c r="G440" i="39"/>
  <c r="J440" i="39"/>
  <c r="I440" i="39"/>
  <c r="G441" i="39"/>
  <c r="H440" i="39"/>
  <c r="K440" i="39"/>
  <c r="I441" i="39"/>
  <c r="G442" i="39"/>
  <c r="H441" i="39"/>
  <c r="J441" i="39"/>
  <c r="K441" i="39"/>
  <c r="G443" i="39"/>
  <c r="H442" i="39"/>
  <c r="J442" i="39"/>
  <c r="I442" i="39"/>
  <c r="J443" i="39"/>
  <c r="G444" i="39"/>
  <c r="I443" i="39"/>
  <c r="H443" i="39"/>
  <c r="K443" i="39"/>
  <c r="K442" i="39"/>
  <c r="J444" i="39"/>
  <c r="I444" i="39"/>
  <c r="H444" i="39"/>
  <c r="K444" i="39"/>
  <c r="G445" i="39"/>
  <c r="I445" i="39"/>
  <c r="G446" i="39"/>
  <c r="H445" i="39"/>
  <c r="J445" i="39"/>
  <c r="G447" i="39"/>
  <c r="H446" i="39"/>
  <c r="J446" i="39"/>
  <c r="I446" i="39"/>
  <c r="K445" i="39"/>
  <c r="K446" i="39"/>
  <c r="J447" i="39"/>
  <c r="I447" i="39"/>
  <c r="H447" i="39"/>
  <c r="K447" i="39"/>
  <c r="G448" i="39"/>
  <c r="J448" i="39"/>
  <c r="I448" i="39"/>
  <c r="G449" i="39"/>
  <c r="H448" i="39"/>
  <c r="K448" i="39"/>
  <c r="I449" i="39"/>
  <c r="G450" i="39"/>
  <c r="H449" i="39"/>
  <c r="K449" i="39"/>
  <c r="J449" i="39"/>
  <c r="G451" i="39"/>
  <c r="H450" i="39"/>
  <c r="J450" i="39"/>
  <c r="I450" i="39"/>
  <c r="K450" i="39"/>
  <c r="J451" i="39"/>
  <c r="I451" i="39"/>
  <c r="G452" i="39"/>
  <c r="H451" i="39"/>
  <c r="J452" i="39"/>
  <c r="I452" i="39"/>
  <c r="H452" i="39"/>
  <c r="K452" i="39"/>
  <c r="G453" i="39"/>
  <c r="K451" i="39"/>
  <c r="I453" i="39"/>
  <c r="G454" i="39"/>
  <c r="H453" i="39"/>
  <c r="J453" i="39"/>
  <c r="G455" i="39"/>
  <c r="H454" i="39"/>
  <c r="J454" i="39"/>
  <c r="I454" i="39"/>
  <c r="K453" i="39"/>
  <c r="K454" i="39"/>
  <c r="J455" i="39"/>
  <c r="I455" i="39"/>
  <c r="H455" i="39"/>
  <c r="K455" i="39"/>
  <c r="G456" i="39"/>
  <c r="J456" i="39"/>
  <c r="I456" i="39"/>
  <c r="G457" i="39"/>
  <c r="H456" i="39"/>
  <c r="K456" i="39"/>
  <c r="I457" i="39"/>
  <c r="G458" i="39"/>
  <c r="H457" i="39"/>
  <c r="J457" i="39"/>
  <c r="H458" i="39"/>
  <c r="G459" i="39"/>
  <c r="J458" i="39"/>
  <c r="I458" i="39"/>
  <c r="K457" i="39"/>
  <c r="J459" i="39"/>
  <c r="H459" i="39"/>
  <c r="G460" i="39"/>
  <c r="I459" i="39"/>
  <c r="K458" i="39"/>
  <c r="K459" i="39"/>
  <c r="I460" i="39"/>
  <c r="H460" i="39"/>
  <c r="K460" i="39"/>
  <c r="G461" i="39"/>
  <c r="J460" i="39"/>
  <c r="G462" i="39"/>
  <c r="H461" i="39"/>
  <c r="I461" i="39"/>
  <c r="J461" i="39"/>
  <c r="I462" i="39"/>
  <c r="H462" i="39"/>
  <c r="G463" i="39"/>
  <c r="J462" i="39"/>
  <c r="K461" i="39"/>
  <c r="J463" i="39"/>
  <c r="I463" i="39"/>
  <c r="H463" i="39"/>
  <c r="G464" i="39"/>
  <c r="K462" i="39"/>
  <c r="K463" i="39"/>
  <c r="I464" i="39"/>
  <c r="J464" i="39"/>
  <c r="H464" i="39"/>
  <c r="G465" i="39"/>
  <c r="G466" i="39"/>
  <c r="H465" i="39"/>
  <c r="J465" i="39"/>
  <c r="I465" i="39"/>
  <c r="K464" i="39"/>
  <c r="K465" i="39"/>
  <c r="J466" i="39"/>
  <c r="I466" i="39"/>
  <c r="H466" i="39"/>
  <c r="G467" i="39"/>
  <c r="J467" i="39"/>
  <c r="I467" i="39"/>
  <c r="H467" i="39"/>
  <c r="K467" i="39"/>
  <c r="G468" i="39"/>
  <c r="K466" i="39"/>
  <c r="I468" i="39"/>
  <c r="J468" i="39"/>
  <c r="H468" i="39"/>
  <c r="K468" i="39"/>
  <c r="G469" i="39"/>
  <c r="G470" i="39"/>
  <c r="H469" i="39"/>
  <c r="J469" i="39"/>
  <c r="I469" i="39"/>
  <c r="K469" i="39"/>
  <c r="G471" i="39"/>
  <c r="J470" i="39"/>
  <c r="I470" i="39"/>
  <c r="H470" i="39"/>
  <c r="J471" i="39"/>
  <c r="G472" i="39"/>
  <c r="I471" i="39"/>
  <c r="H471" i="39"/>
  <c r="K470" i="39"/>
  <c r="I472" i="39"/>
  <c r="H472" i="39"/>
  <c r="K472" i="39"/>
  <c r="G473" i="39"/>
  <c r="J472" i="39"/>
  <c r="K471" i="39"/>
  <c r="G474" i="39"/>
  <c r="H473" i="39"/>
  <c r="I473" i="39"/>
  <c r="J473" i="39"/>
  <c r="K473" i="39"/>
  <c r="I474" i="39"/>
  <c r="G475" i="39"/>
  <c r="J474" i="39"/>
  <c r="H474" i="39"/>
  <c r="J475" i="39"/>
  <c r="I475" i="39"/>
  <c r="G476" i="39"/>
  <c r="H475" i="39"/>
  <c r="K474" i="39"/>
  <c r="I476" i="39"/>
  <c r="J476" i="39"/>
  <c r="H476" i="39"/>
  <c r="K476" i="39"/>
  <c r="G477" i="39"/>
  <c r="K475" i="39"/>
  <c r="G478" i="39"/>
  <c r="H477" i="39"/>
  <c r="J477" i="39"/>
  <c r="I477" i="39"/>
  <c r="K477" i="39"/>
  <c r="J478" i="39"/>
  <c r="G479" i="39"/>
  <c r="I478" i="39"/>
  <c r="H478" i="39"/>
  <c r="K478" i="39"/>
  <c r="J479" i="39"/>
  <c r="H479" i="39"/>
  <c r="G480" i="39"/>
  <c r="I479" i="39"/>
  <c r="I480" i="39"/>
  <c r="J480" i="39"/>
  <c r="H480" i="39"/>
  <c r="K480" i="39"/>
  <c r="G481" i="39"/>
  <c r="K479" i="39"/>
  <c r="G482" i="39"/>
  <c r="H481" i="39"/>
  <c r="J481" i="39"/>
  <c r="I481" i="39"/>
  <c r="K481" i="39"/>
  <c r="G483" i="39"/>
  <c r="H482" i="39"/>
  <c r="K482" i="39"/>
  <c r="J482" i="39"/>
  <c r="I482" i="39"/>
  <c r="J483" i="39"/>
  <c r="G484" i="39"/>
  <c r="I483" i="39"/>
  <c r="H483" i="39"/>
  <c r="K483" i="39"/>
  <c r="I484" i="39"/>
  <c r="G485" i="39"/>
  <c r="J484" i="39"/>
  <c r="H484" i="39"/>
  <c r="K484" i="39"/>
  <c r="G486" i="39"/>
  <c r="H485" i="39"/>
  <c r="K485" i="39"/>
  <c r="J485" i="39"/>
  <c r="I485" i="39"/>
  <c r="H486" i="39"/>
  <c r="K486" i="39"/>
  <c r="I486" i="39"/>
  <c r="G487" i="39"/>
  <c r="J486" i="39"/>
  <c r="J487" i="39"/>
  <c r="H487" i="39"/>
  <c r="I487" i="39"/>
  <c r="G488" i="39"/>
  <c r="K487" i="39"/>
  <c r="I488" i="39"/>
  <c r="H488" i="39"/>
  <c r="G489" i="39"/>
  <c r="J488" i="39"/>
  <c r="G490" i="39"/>
  <c r="H489" i="39"/>
  <c r="I489" i="39"/>
  <c r="J489" i="39"/>
  <c r="K488" i="39"/>
  <c r="I490" i="39"/>
  <c r="J490" i="39"/>
  <c r="H490" i="39"/>
  <c r="G491" i="39"/>
  <c r="K489" i="39"/>
  <c r="J491" i="39"/>
  <c r="I491" i="39"/>
  <c r="G492" i="39"/>
  <c r="H491" i="39"/>
  <c r="K490" i="39"/>
  <c r="K491" i="39"/>
  <c r="I492" i="39"/>
  <c r="J492" i="39"/>
  <c r="G493" i="39"/>
  <c r="H492" i="39"/>
  <c r="K492" i="39"/>
  <c r="G494" i="39"/>
  <c r="H493" i="39"/>
  <c r="J493" i="39"/>
  <c r="I493" i="39"/>
  <c r="J494" i="39"/>
  <c r="G495" i="39"/>
  <c r="I494" i="39"/>
  <c r="H494" i="39"/>
  <c r="K493" i="39"/>
  <c r="K494" i="39"/>
  <c r="J495" i="39"/>
  <c r="G496" i="39"/>
  <c r="I495" i="39"/>
  <c r="H495" i="39"/>
  <c r="K495" i="39"/>
  <c r="I496" i="39"/>
  <c r="H496" i="39"/>
  <c r="G497" i="39"/>
  <c r="J496" i="39"/>
  <c r="K496" i="39"/>
  <c r="G498" i="39"/>
  <c r="H497" i="39"/>
  <c r="J497" i="39"/>
  <c r="I497" i="39"/>
  <c r="K497" i="39"/>
  <c r="G499" i="39"/>
  <c r="J498" i="39"/>
  <c r="I498" i="39"/>
  <c r="H498" i="39"/>
  <c r="J499" i="39"/>
  <c r="G500" i="39"/>
  <c r="H499" i="39"/>
  <c r="I499" i="39"/>
  <c r="K498" i="39"/>
  <c r="K499" i="39"/>
  <c r="I500" i="39"/>
  <c r="G501" i="39"/>
  <c r="J500" i="39"/>
  <c r="H500" i="39"/>
  <c r="G502" i="39"/>
  <c r="H501" i="39"/>
  <c r="J501" i="39"/>
  <c r="I501" i="39"/>
  <c r="K500" i="39"/>
  <c r="K501" i="39"/>
  <c r="H502" i="39"/>
  <c r="K502" i="39"/>
  <c r="G503" i="39"/>
  <c r="J502" i="39"/>
  <c r="I502" i="39"/>
  <c r="J503" i="39"/>
  <c r="H503" i="39"/>
  <c r="K503" i="39"/>
  <c r="I503" i="39"/>
  <c r="G504" i="39"/>
  <c r="I504" i="39"/>
  <c r="H504" i="39"/>
  <c r="K504" i="39"/>
  <c r="J504" i="39"/>
  <c r="G505" i="39"/>
  <c r="G506" i="39"/>
  <c r="H505" i="39"/>
  <c r="I505" i="39"/>
  <c r="J505" i="39"/>
  <c r="K505" i="39"/>
  <c r="I506" i="39"/>
  <c r="H506" i="39"/>
  <c r="G507" i="39"/>
  <c r="J506" i="39"/>
  <c r="J507" i="39"/>
  <c r="I507" i="39"/>
  <c r="H507" i="39"/>
  <c r="K507" i="39"/>
  <c r="G508" i="39"/>
  <c r="K506" i="39"/>
  <c r="I508" i="39"/>
  <c r="J508" i="39"/>
  <c r="G509" i="39"/>
  <c r="H508" i="39"/>
  <c r="K508" i="39"/>
  <c r="G510" i="39"/>
  <c r="H509" i="39"/>
  <c r="J509" i="39"/>
  <c r="I509" i="39"/>
  <c r="K509" i="39"/>
  <c r="G511" i="39"/>
  <c r="J510" i="39"/>
  <c r="I510" i="39"/>
  <c r="H510" i="39"/>
  <c r="J511" i="39"/>
  <c r="G512" i="39"/>
  <c r="I511" i="39"/>
  <c r="H511" i="39"/>
  <c r="K511" i="39"/>
  <c r="K510" i="39"/>
  <c r="I512" i="39"/>
  <c r="G513" i="39"/>
  <c r="J512" i="39"/>
  <c r="H512" i="39"/>
  <c r="K512" i="39"/>
  <c r="G514" i="39"/>
  <c r="H513" i="39"/>
  <c r="J513" i="39"/>
  <c r="I513" i="39"/>
  <c r="K513" i="39"/>
  <c r="H514" i="39"/>
  <c r="G515" i="39"/>
  <c r="J514" i="39"/>
  <c r="I514" i="39"/>
  <c r="K514" i="39"/>
  <c r="J515" i="39"/>
  <c r="H515" i="39"/>
  <c r="K515" i="39"/>
  <c r="G516" i="39"/>
  <c r="I515" i="39"/>
  <c r="I516" i="39"/>
  <c r="H516" i="39"/>
  <c r="K516" i="39"/>
  <c r="G517" i="39"/>
  <c r="J516" i="39"/>
  <c r="G518" i="39"/>
  <c r="H517" i="39"/>
  <c r="I517" i="39"/>
  <c r="J517" i="39"/>
  <c r="K517" i="39"/>
  <c r="I518" i="39"/>
  <c r="H518" i="39"/>
  <c r="G519" i="39"/>
  <c r="J518" i="39"/>
  <c r="J519" i="39"/>
  <c r="I519" i="39"/>
  <c r="H519" i="39"/>
  <c r="K519" i="39"/>
  <c r="G520" i="39"/>
  <c r="K518" i="39"/>
  <c r="I520" i="39"/>
  <c r="J520" i="39"/>
  <c r="H520" i="39"/>
  <c r="K520" i="39"/>
  <c r="G521" i="39"/>
  <c r="G522" i="39"/>
  <c r="H521" i="39"/>
  <c r="J521" i="39"/>
  <c r="I521" i="39"/>
  <c r="K521" i="39"/>
  <c r="J522" i="39"/>
  <c r="I522" i="39"/>
  <c r="H522" i="39"/>
  <c r="K522" i="39"/>
  <c r="G523" i="39"/>
  <c r="J523" i="39"/>
  <c r="I523" i="39"/>
  <c r="G524" i="39"/>
  <c r="H523" i="39"/>
  <c r="I524" i="39"/>
  <c r="J524" i="39"/>
  <c r="H524" i="39"/>
  <c r="K524" i="39"/>
  <c r="G525" i="39"/>
  <c r="K523" i="39"/>
  <c r="G526" i="39"/>
  <c r="H525" i="39"/>
  <c r="J525" i="39"/>
  <c r="I525" i="39"/>
  <c r="K525" i="39"/>
  <c r="G527" i="39"/>
  <c r="J526" i="39"/>
  <c r="I526" i="39"/>
  <c r="H526" i="39"/>
  <c r="J527" i="39"/>
  <c r="G528" i="39"/>
  <c r="I527" i="39"/>
  <c r="H527" i="39"/>
  <c r="K527" i="39"/>
  <c r="K526" i="39"/>
  <c r="I528" i="39"/>
  <c r="G529" i="39"/>
  <c r="J528" i="39"/>
  <c r="H528" i="39"/>
  <c r="K528" i="39"/>
  <c r="G530" i="39"/>
  <c r="H529" i="39"/>
  <c r="J529" i="39"/>
  <c r="I529" i="39"/>
  <c r="K529" i="39"/>
  <c r="H530" i="39"/>
  <c r="G531" i="39"/>
  <c r="J530" i="39"/>
  <c r="I530" i="39"/>
  <c r="K530" i="39"/>
  <c r="J531" i="39"/>
  <c r="H531" i="39"/>
  <c r="K531" i="39"/>
  <c r="G532" i="39"/>
  <c r="I531" i="39"/>
  <c r="I532" i="39"/>
  <c r="H532" i="39"/>
  <c r="K532" i="39"/>
  <c r="G533" i="39"/>
  <c r="J532" i="39"/>
  <c r="G534" i="39"/>
  <c r="H533" i="39"/>
  <c r="I533" i="39"/>
  <c r="J533" i="39"/>
  <c r="K533" i="39"/>
  <c r="I534" i="39"/>
  <c r="H534" i="39"/>
  <c r="K534" i="39"/>
  <c r="G535" i="39"/>
  <c r="J534" i="39"/>
  <c r="J535" i="39"/>
  <c r="I535" i="39"/>
  <c r="H535" i="39"/>
  <c r="K535" i="39"/>
  <c r="G536" i="39"/>
  <c r="I536" i="39"/>
  <c r="J536" i="39"/>
  <c r="H536" i="39"/>
  <c r="K536" i="39"/>
  <c r="G537" i="39"/>
  <c r="G538" i="39"/>
  <c r="H537" i="39"/>
  <c r="J537" i="39"/>
  <c r="I537" i="39"/>
  <c r="K537" i="39"/>
  <c r="J538" i="39"/>
  <c r="I538" i="39"/>
  <c r="G539" i="39"/>
  <c r="H538" i="39"/>
  <c r="J539" i="39"/>
  <c r="I539" i="39"/>
  <c r="H539" i="39"/>
  <c r="K539" i="39"/>
  <c r="G540" i="39"/>
  <c r="K538" i="39"/>
  <c r="I540" i="39"/>
  <c r="J540" i="39"/>
  <c r="G541" i="39"/>
  <c r="H540" i="39"/>
  <c r="K540" i="39"/>
  <c r="G542" i="39"/>
  <c r="H541" i="39"/>
  <c r="J541" i="39"/>
  <c r="I541" i="39"/>
  <c r="K541" i="39"/>
  <c r="G543" i="39"/>
  <c r="J542" i="39"/>
  <c r="I542" i="39"/>
  <c r="H542" i="39"/>
  <c r="J543" i="39"/>
  <c r="G544" i="39"/>
  <c r="I543" i="39"/>
  <c r="H543" i="39"/>
  <c r="K543" i="39"/>
  <c r="K542" i="39"/>
  <c r="I544" i="39"/>
  <c r="G545" i="39"/>
  <c r="J544" i="39"/>
  <c r="H544" i="39"/>
  <c r="K544" i="39"/>
  <c r="G546" i="39"/>
  <c r="H545" i="39"/>
  <c r="J545" i="39"/>
  <c r="I545" i="39"/>
  <c r="K545" i="39"/>
  <c r="H546" i="39"/>
  <c r="K546" i="39"/>
  <c r="G547" i="39"/>
  <c r="J546" i="39"/>
  <c r="I546" i="39"/>
  <c r="J547" i="39"/>
  <c r="H547" i="39"/>
  <c r="G548" i="39"/>
  <c r="I547" i="39"/>
  <c r="I548" i="39"/>
  <c r="H548" i="39"/>
  <c r="G549" i="39"/>
  <c r="J548" i="39"/>
  <c r="K547" i="39"/>
  <c r="K548" i="39"/>
  <c r="G550" i="39"/>
  <c r="H549" i="39"/>
  <c r="K549" i="39"/>
  <c r="I549" i="39"/>
  <c r="J549" i="39"/>
  <c r="I550" i="39"/>
  <c r="H550" i="39"/>
  <c r="G551" i="39"/>
  <c r="J550" i="39"/>
  <c r="K550" i="39"/>
  <c r="J551" i="39"/>
  <c r="I551" i="39"/>
  <c r="H551" i="39"/>
  <c r="G552" i="39"/>
  <c r="K551" i="39"/>
  <c r="I552" i="39"/>
  <c r="J552" i="39"/>
  <c r="H552" i="39"/>
  <c r="K552" i="39"/>
  <c r="G553" i="39"/>
  <c r="G554" i="39"/>
  <c r="H553" i="39"/>
  <c r="J553" i="39"/>
  <c r="I553" i="39"/>
  <c r="K553" i="39"/>
  <c r="J554" i="39"/>
  <c r="I554" i="39"/>
  <c r="H554" i="39"/>
  <c r="G555" i="39"/>
  <c r="K554" i="39"/>
  <c r="J555" i="39"/>
  <c r="I555" i="39"/>
  <c r="G556" i="39"/>
  <c r="H555" i="39"/>
  <c r="K555" i="39"/>
  <c r="I556" i="39"/>
  <c r="J556" i="39"/>
  <c r="H556" i="39"/>
  <c r="G557" i="39"/>
  <c r="K556" i="39"/>
  <c r="G558" i="39"/>
  <c r="H557" i="39"/>
  <c r="K557" i="39"/>
  <c r="J557" i="39"/>
  <c r="I557" i="39"/>
  <c r="I558" i="39"/>
  <c r="G559" i="39"/>
  <c r="J558" i="39"/>
  <c r="H558" i="39"/>
  <c r="K558" i="39"/>
  <c r="G560" i="39"/>
  <c r="H559" i="39"/>
  <c r="K559" i="39"/>
  <c r="I559" i="39"/>
  <c r="J559" i="39"/>
  <c r="H560" i="39"/>
  <c r="J560" i="39"/>
  <c r="I560" i="39"/>
  <c r="G561" i="39"/>
  <c r="J561" i="39"/>
  <c r="H561" i="39"/>
  <c r="G562" i="39"/>
  <c r="I561" i="39"/>
  <c r="K560" i="39"/>
  <c r="I562" i="39"/>
  <c r="H562" i="39"/>
  <c r="G563" i="39"/>
  <c r="J562" i="39"/>
  <c r="K561" i="39"/>
  <c r="K562" i="39"/>
  <c r="G564" i="39"/>
  <c r="H563" i="39"/>
  <c r="K563" i="39"/>
  <c r="I563" i="39"/>
  <c r="J563" i="39"/>
  <c r="I564" i="39"/>
  <c r="G565" i="39"/>
  <c r="J564" i="39"/>
  <c r="H564" i="39"/>
  <c r="K564" i="39"/>
  <c r="J565" i="39"/>
  <c r="I565" i="39"/>
  <c r="G566" i="39"/>
  <c r="H565" i="39"/>
  <c r="K565" i="39"/>
  <c r="I566" i="39"/>
  <c r="J566" i="39"/>
  <c r="H566" i="39"/>
  <c r="K566" i="39"/>
  <c r="G567" i="39"/>
  <c r="G568" i="39"/>
  <c r="H567" i="39"/>
  <c r="J567" i="39"/>
  <c r="I567" i="39"/>
  <c r="K567" i="39"/>
  <c r="J568" i="39"/>
  <c r="G569" i="39"/>
  <c r="I568" i="39"/>
  <c r="H568" i="39"/>
  <c r="J569" i="39"/>
  <c r="H569" i="39"/>
  <c r="K569" i="39"/>
  <c r="G570" i="39"/>
  <c r="I569" i="39"/>
  <c r="K568" i="39"/>
  <c r="I570" i="39"/>
  <c r="J570" i="39"/>
  <c r="H570" i="39"/>
  <c r="G571" i="39"/>
  <c r="G572" i="39"/>
  <c r="H571" i="39"/>
  <c r="J571" i="39"/>
  <c r="I571" i="39"/>
  <c r="K570" i="39"/>
  <c r="K571" i="39"/>
  <c r="G573" i="39"/>
  <c r="H572" i="39"/>
  <c r="K572" i="39"/>
  <c r="J572" i="39"/>
  <c r="I572" i="39"/>
  <c r="J573" i="39"/>
  <c r="G574" i="39"/>
  <c r="I573" i="39"/>
  <c r="H573" i="39"/>
  <c r="K573" i="39"/>
  <c r="I574" i="39"/>
  <c r="G575" i="39"/>
  <c r="J574" i="39"/>
  <c r="H574" i="39"/>
  <c r="K574" i="39"/>
  <c r="G576" i="39"/>
  <c r="H575" i="39"/>
  <c r="J575" i="39"/>
  <c r="I575" i="39"/>
  <c r="K575" i="39"/>
  <c r="H576" i="39"/>
  <c r="I576" i="39"/>
  <c r="G577" i="39"/>
  <c r="J576" i="39"/>
  <c r="J577" i="39"/>
  <c r="H577" i="39"/>
  <c r="I577" i="39"/>
  <c r="G578" i="39"/>
  <c r="K576" i="39"/>
  <c r="I578" i="39"/>
  <c r="H578" i="39"/>
  <c r="G579" i="39"/>
  <c r="J578" i="39"/>
  <c r="K577" i="39"/>
  <c r="K578" i="39"/>
  <c r="G580" i="39"/>
  <c r="H579" i="39"/>
  <c r="K579" i="39"/>
  <c r="I579" i="39"/>
  <c r="J579" i="39"/>
  <c r="I580" i="39"/>
  <c r="J580" i="39"/>
  <c r="H580" i="39"/>
  <c r="K580" i="39"/>
  <c r="G581" i="39"/>
  <c r="J581" i="39"/>
  <c r="I581" i="39"/>
  <c r="G582" i="39"/>
  <c r="H581" i="39"/>
  <c r="I582" i="39"/>
  <c r="J582" i="39"/>
  <c r="G583" i="39"/>
  <c r="H582" i="39"/>
  <c r="K582" i="39"/>
  <c r="K581" i="39"/>
  <c r="G584" i="39"/>
  <c r="H583" i="39"/>
  <c r="J583" i="39"/>
  <c r="I583" i="39"/>
  <c r="K583" i="39"/>
  <c r="J584" i="39"/>
  <c r="G585" i="39"/>
  <c r="I584" i="39"/>
  <c r="H584" i="39"/>
  <c r="J585" i="39"/>
  <c r="G586" i="39"/>
  <c r="I585" i="39"/>
  <c r="H585" i="39"/>
  <c r="K585" i="39"/>
  <c r="K584" i="39"/>
  <c r="I586" i="39"/>
  <c r="H586" i="39"/>
  <c r="G587" i="39"/>
  <c r="J586" i="39"/>
  <c r="K586" i="39"/>
  <c r="G588" i="39"/>
  <c r="H587" i="39"/>
  <c r="J587" i="39"/>
  <c r="I587" i="39"/>
  <c r="K587" i="39"/>
  <c r="G589" i="39"/>
  <c r="J588" i="39"/>
  <c r="I588" i="39"/>
  <c r="H588" i="39"/>
  <c r="J589" i="39"/>
  <c r="G590" i="39"/>
  <c r="H589" i="39"/>
  <c r="I589" i="39"/>
  <c r="K588" i="39"/>
  <c r="K589" i="39"/>
  <c r="I590" i="39"/>
  <c r="G591" i="39"/>
  <c r="J590" i="39"/>
  <c r="H590" i="39"/>
  <c r="G592" i="39"/>
  <c r="H591" i="39"/>
  <c r="J591" i="39"/>
  <c r="I591" i="39"/>
  <c r="K590" i="39"/>
  <c r="K591" i="39"/>
  <c r="H592" i="39"/>
  <c r="K592" i="39"/>
  <c r="G593" i="39"/>
  <c r="J592" i="39"/>
  <c r="I592" i="39"/>
  <c r="J593" i="39"/>
  <c r="H593" i="39"/>
  <c r="I593" i="39"/>
  <c r="G594" i="39"/>
  <c r="I594" i="39"/>
  <c r="H594" i="39"/>
  <c r="J594" i="39"/>
  <c r="G595" i="39"/>
  <c r="K593" i="39"/>
  <c r="G596" i="39"/>
  <c r="H595" i="39"/>
  <c r="I595" i="39"/>
  <c r="J595" i="39"/>
  <c r="K594" i="39"/>
  <c r="K595" i="39"/>
  <c r="I596" i="39"/>
  <c r="H596" i="39"/>
  <c r="K596" i="39"/>
  <c r="G597" i="39"/>
  <c r="J596" i="39"/>
  <c r="J597" i="39"/>
  <c r="I597" i="39"/>
  <c r="H597" i="39"/>
  <c r="K597" i="39"/>
  <c r="G598" i="39"/>
  <c r="I598" i="39"/>
  <c r="J598" i="39"/>
  <c r="G599" i="39"/>
  <c r="H598" i="39"/>
  <c r="K598" i="39"/>
  <c r="G600" i="39"/>
  <c r="H599" i="39"/>
  <c r="J599" i="39"/>
  <c r="I599" i="39"/>
  <c r="K599" i="39"/>
  <c r="J600" i="39"/>
  <c r="I600" i="39"/>
  <c r="H600" i="39"/>
  <c r="K600" i="39"/>
  <c r="G601" i="39"/>
  <c r="J601" i="39"/>
  <c r="G602" i="39"/>
  <c r="I601" i="39"/>
  <c r="H601" i="39"/>
  <c r="K601" i="39"/>
  <c r="I602" i="39"/>
  <c r="G603" i="39"/>
  <c r="J602" i="39"/>
  <c r="H602" i="39"/>
  <c r="G604" i="39"/>
  <c r="H603" i="39"/>
  <c r="I603" i="39"/>
  <c r="J603" i="39"/>
  <c r="K602" i="39"/>
  <c r="K603" i="39"/>
  <c r="G605" i="39"/>
  <c r="J604" i="39"/>
  <c r="I604" i="39"/>
  <c r="H604" i="39"/>
  <c r="K604" i="39"/>
  <c r="J605" i="39"/>
  <c r="G606" i="39"/>
  <c r="I605" i="39"/>
  <c r="H605" i="39"/>
  <c r="I606" i="39"/>
  <c r="G607" i="39"/>
  <c r="H606" i="39"/>
  <c r="K606" i="39"/>
  <c r="J606" i="39"/>
  <c r="K605" i="39"/>
  <c r="G608" i="39"/>
  <c r="H607" i="39"/>
  <c r="J607" i="39"/>
  <c r="I607" i="39"/>
  <c r="K607" i="39"/>
  <c r="H608" i="39"/>
  <c r="K608" i="39"/>
  <c r="G609" i="39"/>
  <c r="J608" i="39"/>
  <c r="I608" i="39"/>
  <c r="J609" i="39"/>
  <c r="H609" i="39"/>
  <c r="K609" i="39"/>
  <c r="G610" i="39"/>
  <c r="I609" i="39"/>
  <c r="I610" i="39"/>
  <c r="H610" i="39"/>
  <c r="K610" i="39"/>
  <c r="J610" i="39"/>
  <c r="G611" i="39"/>
  <c r="G612" i="39"/>
  <c r="H611" i="39"/>
  <c r="I611" i="39"/>
  <c r="J611" i="39"/>
  <c r="K611" i="39"/>
  <c r="I612" i="39"/>
  <c r="G613" i="39"/>
  <c r="J612" i="39"/>
  <c r="H612" i="39"/>
  <c r="K612" i="39"/>
  <c r="J613" i="39"/>
  <c r="I613" i="39"/>
  <c r="H613" i="39"/>
  <c r="K613" i="39"/>
  <c r="G614" i="39"/>
  <c r="I614" i="39"/>
  <c r="J614" i="39"/>
  <c r="H614" i="39"/>
  <c r="K614" i="39"/>
  <c r="G615" i="39"/>
  <c r="G616" i="39"/>
  <c r="H615" i="39"/>
  <c r="J615" i="39"/>
  <c r="I615" i="39"/>
  <c r="K615" i="39"/>
  <c r="J616" i="39"/>
  <c r="H616" i="39"/>
  <c r="G617" i="39"/>
  <c r="I616" i="39"/>
  <c r="J617" i="39"/>
  <c r="I617" i="39"/>
  <c r="H617" i="39"/>
  <c r="K617" i="39"/>
  <c r="G618" i="39"/>
  <c r="K616" i="39"/>
  <c r="I618" i="39"/>
  <c r="G619" i="39"/>
  <c r="J618" i="39"/>
  <c r="H618" i="39"/>
  <c r="K618" i="39"/>
  <c r="G620" i="39"/>
  <c r="H619" i="39"/>
  <c r="J619" i="39"/>
  <c r="I619" i="39"/>
  <c r="K619" i="39"/>
  <c r="G621" i="39"/>
  <c r="I620" i="39"/>
  <c r="H620" i="39"/>
  <c r="K620" i="39"/>
  <c r="J620" i="39"/>
  <c r="J621" i="39"/>
  <c r="G622" i="39"/>
  <c r="I621" i="39"/>
  <c r="H621" i="39"/>
  <c r="K621" i="39"/>
  <c r="I622" i="39"/>
  <c r="H622" i="39"/>
  <c r="G623" i="39"/>
  <c r="J622" i="39"/>
  <c r="K622" i="39"/>
  <c r="G624" i="39"/>
  <c r="H623" i="39"/>
  <c r="I623" i="39"/>
  <c r="J623" i="39"/>
  <c r="K623" i="39"/>
  <c r="I624" i="39"/>
  <c r="H624" i="39"/>
  <c r="K624" i="39"/>
  <c r="G625" i="39"/>
  <c r="J624" i="39"/>
  <c r="J625" i="39"/>
  <c r="I625" i="39"/>
  <c r="H625" i="39"/>
  <c r="K625" i="39"/>
  <c r="G626" i="39"/>
  <c r="I626" i="39"/>
  <c r="J626" i="39"/>
  <c r="H626" i="39"/>
  <c r="K626" i="39"/>
  <c r="G627" i="39"/>
  <c r="G628" i="39"/>
  <c r="H627" i="39"/>
  <c r="J627" i="39"/>
  <c r="I627" i="39"/>
  <c r="K627" i="39"/>
  <c r="J628" i="39"/>
  <c r="I628" i="39"/>
  <c r="H628" i="39"/>
  <c r="K628" i="39"/>
  <c r="G629" i="39"/>
  <c r="J629" i="39"/>
  <c r="I629" i="39"/>
  <c r="G630" i="39"/>
  <c r="H629" i="39"/>
  <c r="K629" i="39"/>
  <c r="I630" i="39"/>
  <c r="J630" i="39"/>
  <c r="H630" i="39"/>
  <c r="K630" i="39"/>
  <c r="G631" i="39"/>
  <c r="G632" i="39"/>
  <c r="H631" i="39"/>
  <c r="J631" i="39"/>
  <c r="I631" i="39"/>
  <c r="K631" i="39"/>
  <c r="G633" i="39"/>
  <c r="J632" i="39"/>
  <c r="I632" i="39"/>
  <c r="H632" i="39"/>
  <c r="J633" i="39"/>
  <c r="G634" i="39"/>
  <c r="I633" i="39"/>
  <c r="H633" i="39"/>
  <c r="K633" i="39"/>
  <c r="K632" i="39"/>
  <c r="I634" i="39"/>
  <c r="G635" i="39"/>
  <c r="J634" i="39"/>
  <c r="H634" i="39"/>
  <c r="K634" i="39"/>
  <c r="G636" i="39"/>
  <c r="H635" i="39"/>
  <c r="J635" i="39"/>
  <c r="I635" i="39"/>
  <c r="K635" i="39"/>
  <c r="H636" i="39"/>
  <c r="G637" i="39"/>
  <c r="J636" i="39"/>
  <c r="I636" i="39"/>
  <c r="J637" i="39"/>
  <c r="H637" i="39"/>
  <c r="G638" i="39"/>
  <c r="I637" i="39"/>
  <c r="K636" i="39"/>
  <c r="I638" i="39"/>
  <c r="H638" i="39"/>
  <c r="G639" i="39"/>
  <c r="J638" i="39"/>
  <c r="K637" i="39"/>
  <c r="G640" i="39"/>
  <c r="H639" i="39"/>
  <c r="I639" i="39"/>
  <c r="J639" i="39"/>
  <c r="K638" i="39"/>
  <c r="K639" i="39"/>
  <c r="I640" i="39"/>
  <c r="H640" i="39"/>
  <c r="K640" i="39"/>
  <c r="G641" i="39"/>
  <c r="J640" i="39"/>
  <c r="J641" i="39"/>
  <c r="I641" i="39"/>
  <c r="H641" i="39"/>
  <c r="K641" i="39"/>
  <c r="G642" i="39"/>
  <c r="I642" i="39"/>
  <c r="J642" i="39"/>
  <c r="H642" i="39"/>
  <c r="K642" i="39"/>
  <c r="G643" i="39"/>
  <c r="G644" i="39"/>
  <c r="H643" i="39"/>
  <c r="J643" i="39"/>
  <c r="I643" i="39"/>
  <c r="K643" i="39"/>
  <c r="J644" i="39"/>
  <c r="I644" i="39"/>
  <c r="G645" i="39"/>
  <c r="H644" i="39"/>
  <c r="J645" i="39"/>
  <c r="I645" i="39"/>
  <c r="H645" i="39"/>
  <c r="K645" i="39"/>
  <c r="G646" i="39"/>
  <c r="K644" i="39"/>
  <c r="I646" i="39"/>
  <c r="J646" i="39"/>
  <c r="G647" i="39"/>
  <c r="H646" i="39"/>
  <c r="K646" i="39"/>
  <c r="G648" i="39"/>
  <c r="H647" i="39"/>
  <c r="J647" i="39"/>
  <c r="I647" i="39"/>
  <c r="K647" i="39"/>
  <c r="G649" i="39"/>
  <c r="J648" i="39"/>
  <c r="I648" i="39"/>
  <c r="H648" i="39"/>
  <c r="J649" i="39"/>
  <c r="G650" i="39"/>
  <c r="I649" i="39"/>
  <c r="H649" i="39"/>
  <c r="K649" i="39"/>
  <c r="K648" i="39"/>
  <c r="I650" i="39"/>
  <c r="G651" i="39"/>
  <c r="J650" i="39"/>
  <c r="H650" i="39"/>
  <c r="K650" i="39"/>
  <c r="G652" i="39"/>
  <c r="H651" i="39"/>
  <c r="J651" i="39"/>
  <c r="I651" i="39"/>
  <c r="K651" i="39"/>
  <c r="H652" i="39"/>
  <c r="G653" i="39"/>
  <c r="J652" i="39"/>
  <c r="I652" i="39"/>
  <c r="J653" i="39"/>
  <c r="H653" i="39"/>
  <c r="G654" i="39"/>
  <c r="I653" i="39"/>
  <c r="K652" i="39"/>
  <c r="I654" i="39"/>
  <c r="H654" i="39"/>
  <c r="G655" i="39"/>
  <c r="J654" i="39"/>
  <c r="K653" i="39"/>
  <c r="G656" i="39"/>
  <c r="H655" i="39"/>
  <c r="I655" i="39"/>
  <c r="J655" i="39"/>
  <c r="K654" i="39"/>
  <c r="K655" i="39"/>
  <c r="I656" i="39"/>
  <c r="H656" i="39"/>
  <c r="K656" i="39"/>
  <c r="G657" i="39"/>
  <c r="J656" i="39"/>
  <c r="J657" i="39"/>
  <c r="I657" i="39"/>
  <c r="H657" i="39"/>
  <c r="K657" i="39"/>
  <c r="G658" i="39"/>
  <c r="I658" i="39"/>
  <c r="J658" i="39"/>
  <c r="H658" i="39"/>
  <c r="K658" i="39"/>
  <c r="G659" i="39"/>
  <c r="G660" i="39"/>
  <c r="H659" i="39"/>
  <c r="J659" i="39"/>
  <c r="I659" i="39"/>
  <c r="K659" i="39"/>
  <c r="J660" i="39"/>
  <c r="I660" i="39"/>
  <c r="H660" i="39"/>
  <c r="K660" i="39"/>
  <c r="G661" i="39"/>
  <c r="J661" i="39"/>
  <c r="I661" i="39"/>
  <c r="G662" i="39"/>
  <c r="H661" i="39"/>
  <c r="K661" i="39"/>
  <c r="I662" i="39"/>
  <c r="J662" i="39"/>
  <c r="H662" i="39"/>
  <c r="K662" i="39"/>
  <c r="G663" i="39"/>
  <c r="G664" i="39"/>
  <c r="H663" i="39"/>
  <c r="J663" i="39"/>
  <c r="I663" i="39"/>
  <c r="K663" i="39"/>
  <c r="G665" i="39"/>
  <c r="J664" i="39"/>
  <c r="I664" i="39"/>
  <c r="H664" i="39"/>
  <c r="J665" i="39"/>
  <c r="G666" i="39"/>
  <c r="I665" i="39"/>
  <c r="H665" i="39"/>
  <c r="K665" i="39"/>
  <c r="K664" i="39"/>
  <c r="I666" i="39"/>
  <c r="G667" i="39"/>
  <c r="J666" i="39"/>
  <c r="H666" i="39"/>
  <c r="K666" i="39"/>
  <c r="G668" i="39"/>
  <c r="H667" i="39"/>
  <c r="J667" i="39"/>
  <c r="I667" i="39"/>
  <c r="K667" i="39"/>
  <c r="H668" i="39"/>
  <c r="G669" i="39"/>
  <c r="J668" i="39"/>
  <c r="I668" i="39"/>
  <c r="J669" i="39"/>
  <c r="H669" i="39"/>
  <c r="G670" i="39"/>
  <c r="I669" i="39"/>
  <c r="K668" i="39"/>
  <c r="I670" i="39"/>
  <c r="H670" i="39"/>
  <c r="G671" i="39"/>
  <c r="J670" i="39"/>
  <c r="K669" i="39"/>
  <c r="G672" i="39"/>
  <c r="H671" i="39"/>
  <c r="I671" i="39"/>
  <c r="J671" i="39"/>
  <c r="K670" i="39"/>
  <c r="K671" i="39"/>
  <c r="I672" i="39"/>
  <c r="H672" i="39"/>
  <c r="K672" i="39"/>
  <c r="G673" i="39"/>
  <c r="J672" i="39"/>
  <c r="J673" i="39"/>
  <c r="I673" i="39"/>
  <c r="H673" i="39"/>
  <c r="K673" i="39"/>
  <c r="G674" i="39"/>
  <c r="I674" i="39"/>
  <c r="J674" i="39"/>
  <c r="H674" i="39"/>
  <c r="K674" i="39"/>
  <c r="G675" i="39"/>
  <c r="G676" i="39"/>
  <c r="H675" i="39"/>
  <c r="J675" i="39"/>
  <c r="I675" i="39"/>
  <c r="K675" i="39"/>
  <c r="J676" i="39"/>
  <c r="I676" i="39"/>
  <c r="G677" i="39"/>
  <c r="H676" i="39"/>
  <c r="J677" i="39"/>
  <c r="I677" i="39"/>
  <c r="H677" i="39"/>
  <c r="K677" i="39"/>
  <c r="G678" i="39"/>
  <c r="K676" i="39"/>
  <c r="I678" i="39"/>
  <c r="J678" i="39"/>
  <c r="G679" i="39"/>
  <c r="H678" i="39"/>
  <c r="K678" i="39"/>
  <c r="G680" i="39"/>
  <c r="H679" i="39"/>
  <c r="J679" i="39"/>
  <c r="I679" i="39"/>
  <c r="K679" i="39"/>
  <c r="G681" i="39"/>
  <c r="J680" i="39"/>
  <c r="I680" i="39"/>
  <c r="H680" i="39"/>
  <c r="J681" i="39"/>
  <c r="G682" i="39"/>
  <c r="I681" i="39"/>
  <c r="H681" i="39"/>
  <c r="K681" i="39"/>
  <c r="K680" i="39"/>
  <c r="I682" i="39"/>
  <c r="G683" i="39"/>
  <c r="J682" i="39"/>
  <c r="H682" i="39"/>
  <c r="K682" i="39"/>
  <c r="G684" i="39"/>
  <c r="H683" i="39"/>
  <c r="J683" i="39"/>
  <c r="I683" i="39"/>
  <c r="K683" i="39"/>
  <c r="H684" i="39"/>
  <c r="G685" i="39"/>
  <c r="J684" i="39"/>
  <c r="I684" i="39"/>
  <c r="J685" i="39"/>
  <c r="H685" i="39"/>
  <c r="G686" i="39"/>
  <c r="I685" i="39"/>
  <c r="K684" i="39"/>
  <c r="I686" i="39"/>
  <c r="H686" i="39"/>
  <c r="G687" i="39"/>
  <c r="J686" i="39"/>
  <c r="K685" i="39"/>
  <c r="G688" i="39"/>
  <c r="H687" i="39"/>
  <c r="I687" i="39"/>
  <c r="J687" i="39"/>
  <c r="K686" i="39"/>
  <c r="K687" i="39"/>
  <c r="I688" i="39"/>
  <c r="H688" i="39"/>
  <c r="K688" i="39"/>
  <c r="G689" i="39"/>
  <c r="J688" i="39"/>
  <c r="J689" i="39"/>
  <c r="I689" i="39"/>
  <c r="H689" i="39"/>
  <c r="K689" i="39"/>
  <c r="G690" i="39"/>
  <c r="I690" i="39"/>
  <c r="J690" i="39"/>
  <c r="H690" i="39"/>
  <c r="K690" i="39"/>
  <c r="G691" i="39"/>
  <c r="G692" i="39"/>
  <c r="H691" i="39"/>
  <c r="J691" i="39"/>
  <c r="I691" i="39"/>
  <c r="K691" i="39"/>
  <c r="J692" i="39"/>
  <c r="I692" i="39"/>
  <c r="H692" i="39"/>
  <c r="K692" i="39"/>
  <c r="G693" i="39"/>
  <c r="J693" i="39"/>
  <c r="I693" i="39"/>
  <c r="G694" i="39"/>
  <c r="H693" i="39"/>
  <c r="K693" i="39"/>
  <c r="I694" i="39"/>
  <c r="J694" i="39"/>
  <c r="H694" i="39"/>
  <c r="K694" i="39"/>
  <c r="G695" i="39"/>
  <c r="G696" i="39"/>
  <c r="H695" i="39"/>
  <c r="J695" i="39"/>
  <c r="I695" i="39"/>
  <c r="K695" i="39"/>
  <c r="G697" i="39"/>
  <c r="J696" i="39"/>
  <c r="I696" i="39"/>
  <c r="H696" i="39"/>
  <c r="J697" i="39"/>
  <c r="G698" i="39"/>
  <c r="I697" i="39"/>
  <c r="H697" i="39"/>
  <c r="K697" i="39"/>
  <c r="K696" i="39"/>
  <c r="I698" i="39"/>
  <c r="G699" i="39"/>
  <c r="J698" i="39"/>
  <c r="H698" i="39"/>
  <c r="K698" i="39"/>
  <c r="G700" i="39"/>
  <c r="H699" i="39"/>
  <c r="J699" i="39"/>
  <c r="I699" i="39"/>
  <c r="K699" i="39"/>
  <c r="H700" i="39"/>
  <c r="G701" i="39"/>
  <c r="J700" i="39"/>
  <c r="I700" i="39"/>
  <c r="J701" i="39"/>
  <c r="H701" i="39"/>
  <c r="G702" i="39"/>
  <c r="I701" i="39"/>
  <c r="K700" i="39"/>
  <c r="I702" i="39"/>
  <c r="H702" i="39"/>
  <c r="G703" i="39"/>
  <c r="J702" i="39"/>
  <c r="K701" i="39"/>
  <c r="J703" i="39"/>
  <c r="H703" i="39"/>
  <c r="I703" i="39"/>
  <c r="G704" i="39"/>
  <c r="K702" i="39"/>
  <c r="I704" i="39"/>
  <c r="G705" i="39"/>
  <c r="H704" i="39"/>
  <c r="J704" i="39"/>
  <c r="K703" i="39"/>
  <c r="K704" i="39"/>
  <c r="G706" i="39"/>
  <c r="H705" i="39"/>
  <c r="I705" i="39"/>
  <c r="J705" i="39"/>
  <c r="K705" i="39"/>
  <c r="H706" i="39"/>
  <c r="I706" i="39"/>
  <c r="G707" i="39"/>
  <c r="J706" i="39"/>
  <c r="J707" i="39"/>
  <c r="H707" i="39"/>
  <c r="I707" i="39"/>
  <c r="G708" i="39"/>
  <c r="K706" i="39"/>
  <c r="I708" i="39"/>
  <c r="H708" i="39"/>
  <c r="J708" i="39"/>
  <c r="G709" i="39"/>
  <c r="K707" i="39"/>
  <c r="G710" i="39"/>
  <c r="H709" i="39"/>
  <c r="I709" i="39"/>
  <c r="J709" i="39"/>
  <c r="K708" i="39"/>
  <c r="K709" i="39"/>
  <c r="I710" i="39"/>
  <c r="J710" i="39"/>
  <c r="G711" i="39"/>
  <c r="H710" i="39"/>
  <c r="J711" i="39"/>
  <c r="I711" i="39"/>
  <c r="H711" i="39"/>
  <c r="K711" i="39"/>
  <c r="G712" i="39"/>
  <c r="K710" i="39"/>
  <c r="I712" i="39"/>
  <c r="J712" i="39"/>
  <c r="G713" i="39"/>
  <c r="H712" i="39"/>
  <c r="K712" i="39"/>
  <c r="G714" i="39"/>
  <c r="H713" i="39"/>
  <c r="J713" i="39"/>
  <c r="I713" i="39"/>
  <c r="K713" i="39"/>
  <c r="J714" i="39"/>
  <c r="G715" i="39"/>
  <c r="I714" i="39"/>
  <c r="H714" i="39"/>
  <c r="J715" i="39"/>
  <c r="G716" i="39"/>
  <c r="I715" i="39"/>
  <c r="H715" i="39"/>
  <c r="K715" i="39"/>
  <c r="K714" i="39"/>
  <c r="I716" i="39"/>
  <c r="G717" i="39"/>
  <c r="J716" i="39"/>
  <c r="H716" i="39"/>
  <c r="K716" i="39"/>
  <c r="G718" i="39"/>
  <c r="H717" i="39"/>
  <c r="J717" i="39"/>
  <c r="I717" i="39"/>
  <c r="K717" i="39"/>
  <c r="G719" i="39"/>
  <c r="H718" i="39"/>
  <c r="J718" i="39"/>
  <c r="I718" i="39"/>
  <c r="K718" i="39"/>
  <c r="J719" i="39"/>
  <c r="G720" i="39"/>
  <c r="H719" i="39"/>
  <c r="K719" i="39"/>
  <c r="I719" i="39"/>
  <c r="I720" i="39"/>
  <c r="G721" i="39"/>
  <c r="H720" i="39"/>
  <c r="J720" i="39"/>
  <c r="K720" i="39"/>
  <c r="G722" i="39"/>
  <c r="H721" i="39"/>
  <c r="I721" i="39"/>
  <c r="J721" i="39"/>
  <c r="K721" i="39"/>
  <c r="H722" i="39"/>
  <c r="I722" i="39"/>
  <c r="G723" i="39"/>
  <c r="J722" i="39"/>
  <c r="J723" i="39"/>
  <c r="H723" i="39"/>
  <c r="I723" i="39"/>
  <c r="G724" i="39"/>
  <c r="K722" i="39"/>
  <c r="I724" i="39"/>
  <c r="H724" i="39"/>
  <c r="J724" i="39"/>
  <c r="G725" i="39"/>
  <c r="K723" i="39"/>
  <c r="G726" i="39"/>
  <c r="H725" i="39"/>
  <c r="I725" i="39"/>
  <c r="J725" i="39"/>
  <c r="K724" i="39"/>
  <c r="K725" i="39"/>
  <c r="I726" i="39"/>
  <c r="J726" i="39"/>
  <c r="H726" i="39"/>
  <c r="K726" i="39"/>
  <c r="G727" i="39"/>
  <c r="J727" i="39"/>
  <c r="I727" i="39"/>
  <c r="G728" i="39"/>
  <c r="H727" i="39"/>
  <c r="K727" i="39"/>
  <c r="I728" i="39"/>
  <c r="J728" i="39"/>
  <c r="H728" i="39"/>
  <c r="K728" i="39"/>
  <c r="G729" i="39"/>
  <c r="G730" i="39"/>
  <c r="H729" i="39"/>
  <c r="J729" i="39"/>
  <c r="I729" i="39"/>
  <c r="K729" i="39"/>
  <c r="J730" i="39"/>
  <c r="G731" i="39"/>
  <c r="I730" i="39"/>
  <c r="H730" i="39"/>
  <c r="J731" i="39"/>
  <c r="G732" i="39"/>
  <c r="I731" i="39"/>
  <c r="H731" i="39"/>
  <c r="K731" i="39"/>
  <c r="K730" i="39"/>
  <c r="I732" i="39"/>
  <c r="G733" i="39"/>
  <c r="J732" i="39"/>
  <c r="H732" i="39"/>
  <c r="K732" i="39"/>
  <c r="G734" i="39"/>
  <c r="H733" i="39"/>
  <c r="J733" i="39"/>
  <c r="I733" i="39"/>
  <c r="K733" i="39"/>
  <c r="G735" i="39"/>
  <c r="H734" i="39"/>
  <c r="J734" i="39"/>
  <c r="I734" i="39"/>
  <c r="K734" i="39"/>
  <c r="J735" i="39"/>
  <c r="G736" i="39"/>
  <c r="H735" i="39"/>
  <c r="K735" i="39"/>
  <c r="I735" i="39"/>
  <c r="I736" i="39"/>
  <c r="G737" i="39"/>
  <c r="H736" i="39"/>
  <c r="J736" i="39"/>
  <c r="K736" i="39"/>
  <c r="G738" i="39"/>
  <c r="H737" i="39"/>
  <c r="I737" i="39"/>
  <c r="J737" i="39"/>
  <c r="K737" i="39"/>
  <c r="H738" i="39"/>
  <c r="I738" i="39"/>
  <c r="G739" i="39"/>
  <c r="J738" i="39"/>
  <c r="J739" i="39"/>
  <c r="H739" i="39"/>
  <c r="I739" i="39"/>
  <c r="G740" i="39"/>
  <c r="K738" i="39"/>
  <c r="I740" i="39"/>
  <c r="H740" i="39"/>
  <c r="J740" i="39"/>
  <c r="G741" i="39"/>
  <c r="K739" i="39"/>
  <c r="G742" i="39"/>
  <c r="H741" i="39"/>
  <c r="I741" i="39"/>
  <c r="J741" i="39"/>
  <c r="K740" i="39"/>
  <c r="I742" i="39"/>
  <c r="J742" i="39"/>
  <c r="G743" i="39"/>
  <c r="H742" i="39"/>
  <c r="K741" i="39"/>
  <c r="K742" i="39"/>
  <c r="J743" i="39"/>
  <c r="I743" i="39"/>
  <c r="H743" i="39"/>
  <c r="K743" i="39"/>
  <c r="G744" i="39"/>
  <c r="I744" i="39"/>
  <c r="J744" i="39"/>
  <c r="G745" i="39"/>
  <c r="H744" i="39"/>
  <c r="K744" i="39"/>
  <c r="G746" i="39"/>
  <c r="H745" i="39"/>
  <c r="J745" i="39"/>
  <c r="I745" i="39"/>
  <c r="K745" i="39"/>
  <c r="J746" i="39"/>
  <c r="G747" i="39"/>
  <c r="I746" i="39"/>
  <c r="H746" i="39"/>
  <c r="K746" i="39"/>
  <c r="J747" i="39"/>
  <c r="G748" i="39"/>
  <c r="I747" i="39"/>
  <c r="H747" i="39"/>
  <c r="K747" i="39"/>
  <c r="I748" i="39"/>
  <c r="G749" i="39"/>
  <c r="J748" i="39"/>
  <c r="H748" i="39"/>
  <c r="G750" i="39"/>
  <c r="H749" i="39"/>
  <c r="J749" i="39"/>
  <c r="I749" i="39"/>
  <c r="K748" i="39"/>
  <c r="K749" i="39"/>
  <c r="G751" i="39"/>
  <c r="H750" i="39"/>
  <c r="K750" i="39"/>
  <c r="J750" i="39"/>
  <c r="I750" i="39"/>
  <c r="J751" i="39"/>
  <c r="G752" i="39"/>
  <c r="H751" i="39"/>
  <c r="I751" i="39"/>
  <c r="I752" i="39"/>
  <c r="G753" i="39"/>
  <c r="H752" i="39"/>
  <c r="J752" i="39"/>
  <c r="K751" i="39"/>
  <c r="K752" i="39"/>
  <c r="G754" i="39"/>
  <c r="H753" i="39"/>
  <c r="K753" i="39"/>
  <c r="I753" i="39"/>
  <c r="J753" i="39"/>
  <c r="H754" i="39"/>
  <c r="I754" i="39"/>
  <c r="G755" i="39"/>
  <c r="J754" i="39"/>
  <c r="J755" i="39"/>
  <c r="H755" i="39"/>
  <c r="I755" i="39"/>
  <c r="G756" i="39"/>
  <c r="K754" i="39"/>
  <c r="K755" i="39"/>
  <c r="I756" i="39"/>
  <c r="H756" i="39"/>
  <c r="J756" i="39"/>
  <c r="G757" i="39"/>
  <c r="K756" i="39"/>
  <c r="G758" i="39"/>
  <c r="H757" i="39"/>
  <c r="K757" i="39"/>
  <c r="I757" i="39"/>
  <c r="J757" i="39"/>
  <c r="I758" i="39"/>
  <c r="J758" i="39"/>
  <c r="H758" i="39"/>
  <c r="K758" i="39"/>
  <c r="G759" i="39"/>
  <c r="J759" i="39"/>
  <c r="I759" i="39"/>
  <c r="G760" i="39"/>
  <c r="H759" i="39"/>
  <c r="I760" i="39"/>
  <c r="J760" i="39"/>
  <c r="H760" i="39"/>
  <c r="K760" i="39"/>
  <c r="G761" i="39"/>
  <c r="K759" i="39"/>
  <c r="G762" i="39"/>
  <c r="H761" i="39"/>
  <c r="J761" i="39"/>
  <c r="I761" i="39"/>
  <c r="K761" i="39"/>
  <c r="J762" i="39"/>
  <c r="G763" i="39"/>
  <c r="I762" i="39"/>
  <c r="H762" i="39"/>
  <c r="J763" i="39"/>
  <c r="G764" i="39"/>
  <c r="I763" i="39"/>
  <c r="H763" i="39"/>
  <c r="K762" i="39"/>
  <c r="I764" i="39"/>
  <c r="G765" i="39"/>
  <c r="J764" i="39"/>
  <c r="H764" i="39"/>
  <c r="K763" i="39"/>
  <c r="G766" i="39"/>
  <c r="H765" i="39"/>
  <c r="K765" i="39"/>
  <c r="J765" i="39"/>
  <c r="I765" i="39"/>
  <c r="K764" i="39"/>
  <c r="G767" i="39"/>
  <c r="H766" i="39"/>
  <c r="J766" i="39"/>
  <c r="I766" i="39"/>
  <c r="K766" i="39"/>
  <c r="J767" i="39"/>
  <c r="G768" i="39"/>
  <c r="H767" i="39"/>
  <c r="I767" i="39"/>
  <c r="I768" i="39"/>
  <c r="G769" i="39"/>
  <c r="H768" i="39"/>
  <c r="K768" i="39"/>
  <c r="J768" i="39"/>
  <c r="K767" i="39"/>
  <c r="G770" i="39"/>
  <c r="H769" i="39"/>
  <c r="I769" i="39"/>
  <c r="J769" i="39"/>
  <c r="K769" i="39"/>
  <c r="H770" i="39"/>
  <c r="I770" i="39"/>
  <c r="G771" i="39"/>
  <c r="J770" i="39"/>
  <c r="J771" i="39"/>
  <c r="H771" i="39"/>
  <c r="I771" i="39"/>
  <c r="G772" i="39"/>
  <c r="K770" i="39"/>
  <c r="K771" i="39"/>
  <c r="I772" i="39"/>
  <c r="H772" i="39"/>
  <c r="J772" i="39"/>
  <c r="G773" i="39"/>
  <c r="K772" i="39"/>
  <c r="G774" i="39"/>
  <c r="H773" i="39"/>
  <c r="K773" i="39"/>
  <c r="I773" i="39"/>
  <c r="J773" i="39"/>
  <c r="I774" i="39"/>
  <c r="J774" i="39"/>
  <c r="G775" i="39"/>
  <c r="H774" i="39"/>
  <c r="J775" i="39"/>
  <c r="I775" i="39"/>
  <c r="H775" i="39"/>
  <c r="K775" i="39"/>
  <c r="G776" i="39"/>
  <c r="K774" i="39"/>
  <c r="I776" i="39"/>
  <c r="J776" i="39"/>
  <c r="G777" i="39"/>
  <c r="H776" i="39"/>
  <c r="K776" i="39"/>
  <c r="G778" i="39"/>
  <c r="H777" i="39"/>
  <c r="J777" i="39"/>
  <c r="I777" i="39"/>
  <c r="K777" i="39"/>
  <c r="J778" i="39"/>
  <c r="G779" i="39"/>
  <c r="I778" i="39"/>
  <c r="H778" i="39"/>
  <c r="J779" i="39"/>
  <c r="G780" i="39"/>
  <c r="I779" i="39"/>
  <c r="H779" i="39"/>
  <c r="K779" i="39"/>
  <c r="K778" i="39"/>
  <c r="I780" i="39"/>
  <c r="G781" i="39"/>
  <c r="J780" i="39"/>
  <c r="H780" i="39"/>
  <c r="G782" i="39"/>
  <c r="H781" i="39"/>
  <c r="J781" i="39"/>
  <c r="I781" i="39"/>
  <c r="K780" i="39"/>
  <c r="K781" i="39"/>
  <c r="G783" i="39"/>
  <c r="H782" i="39"/>
  <c r="J782" i="39"/>
  <c r="I782" i="39"/>
  <c r="K782" i="39"/>
  <c r="J783" i="39"/>
  <c r="G784" i="39"/>
  <c r="H783" i="39"/>
  <c r="K783" i="39"/>
  <c r="I783" i="39"/>
  <c r="I784" i="39"/>
  <c r="G785" i="39"/>
  <c r="H784" i="39"/>
  <c r="K784" i="39"/>
  <c r="J784" i="39"/>
  <c r="G786" i="39"/>
  <c r="H785" i="39"/>
  <c r="I785" i="39"/>
  <c r="J785" i="39"/>
  <c r="K785" i="39"/>
  <c r="H786" i="39"/>
  <c r="I786" i="39"/>
  <c r="G787" i="39"/>
  <c r="J786" i="39"/>
  <c r="K786" i="39"/>
  <c r="J787" i="39"/>
  <c r="H787" i="39"/>
  <c r="K787" i="39"/>
  <c r="I787" i="39"/>
  <c r="G788" i="39"/>
  <c r="I788" i="39"/>
  <c r="H788" i="39"/>
  <c r="J788" i="39"/>
  <c r="G789" i="39"/>
  <c r="G790" i="39"/>
  <c r="H789" i="39"/>
  <c r="I789" i="39"/>
  <c r="J789" i="39"/>
  <c r="K788" i="39"/>
  <c r="K789" i="39"/>
  <c r="I790" i="39"/>
  <c r="J790" i="39"/>
  <c r="H790" i="39"/>
  <c r="K790" i="39"/>
  <c r="G791" i="39"/>
  <c r="J791" i="39"/>
  <c r="I791" i="39"/>
  <c r="G792" i="39"/>
  <c r="H791" i="39"/>
  <c r="I792" i="39"/>
  <c r="J792" i="39"/>
  <c r="H792" i="39"/>
  <c r="K792" i="39"/>
  <c r="G793" i="39"/>
  <c r="K791" i="39"/>
  <c r="G794" i="39"/>
  <c r="H793" i="39"/>
  <c r="K793" i="39"/>
  <c r="J793" i="39"/>
  <c r="I793" i="39"/>
  <c r="J794" i="39"/>
  <c r="G795" i="39"/>
  <c r="I794" i="39"/>
  <c r="H794" i="39"/>
  <c r="J795" i="39"/>
  <c r="G796" i="39"/>
  <c r="I795" i="39"/>
  <c r="H795" i="39"/>
  <c r="K795" i="39"/>
  <c r="K794" i="39"/>
  <c r="I796" i="39"/>
  <c r="G797" i="39"/>
  <c r="J796" i="39"/>
  <c r="H796" i="39"/>
  <c r="K796" i="39"/>
  <c r="G798" i="39"/>
  <c r="H797" i="39"/>
  <c r="K797" i="39"/>
  <c r="J797" i="39"/>
  <c r="I797" i="39"/>
  <c r="G799" i="39"/>
  <c r="H798" i="39"/>
  <c r="J798" i="39"/>
  <c r="I798" i="39"/>
  <c r="K798" i="39"/>
  <c r="J799" i="39"/>
  <c r="G800" i="39"/>
  <c r="H799" i="39"/>
  <c r="K799" i="39"/>
  <c r="I799" i="39"/>
  <c r="I800" i="39"/>
  <c r="G801" i="39"/>
  <c r="H800" i="39"/>
  <c r="K800" i="39"/>
  <c r="J800" i="39"/>
  <c r="G802" i="39"/>
  <c r="H801" i="39"/>
  <c r="I801" i="39"/>
  <c r="J801" i="39"/>
  <c r="K801" i="39"/>
  <c r="H802" i="39"/>
  <c r="I802" i="39"/>
  <c r="G803" i="39"/>
  <c r="J802" i="39"/>
  <c r="K802" i="39"/>
  <c r="J803" i="39"/>
  <c r="H803" i="39"/>
  <c r="I803" i="39"/>
  <c r="G804" i="39"/>
  <c r="K803" i="39"/>
  <c r="J804" i="39"/>
  <c r="I804" i="39"/>
  <c r="G805" i="39"/>
  <c r="H804" i="39"/>
  <c r="I805" i="39"/>
  <c r="G806" i="39"/>
  <c r="J805" i="39"/>
  <c r="H805" i="39"/>
  <c r="K805" i="39"/>
  <c r="K804" i="39"/>
  <c r="G807" i="39"/>
  <c r="H806" i="39"/>
  <c r="I806" i="39"/>
  <c r="J806" i="39"/>
  <c r="K806" i="39"/>
  <c r="G808" i="39"/>
  <c r="I807" i="39"/>
  <c r="J807" i="39"/>
  <c r="H807" i="39"/>
  <c r="J808" i="39"/>
  <c r="G809" i="39"/>
  <c r="I808" i="39"/>
  <c r="H808" i="39"/>
  <c r="K807" i="39"/>
  <c r="K808" i="39"/>
  <c r="I809" i="39"/>
  <c r="G810" i="39"/>
  <c r="H809" i="39"/>
  <c r="J809" i="39"/>
  <c r="K809" i="39"/>
  <c r="G811" i="39"/>
  <c r="H810" i="39"/>
  <c r="K810" i="39"/>
  <c r="I810" i="39"/>
  <c r="J810" i="39"/>
  <c r="H811" i="39"/>
  <c r="J811" i="39"/>
  <c r="G812" i="39"/>
  <c r="I811" i="39"/>
  <c r="J812" i="39"/>
  <c r="H812" i="39"/>
  <c r="G813" i="39"/>
  <c r="I812" i="39"/>
  <c r="K811" i="39"/>
  <c r="I813" i="39"/>
  <c r="H813" i="39"/>
  <c r="J813" i="39"/>
  <c r="G814" i="39"/>
  <c r="K812" i="39"/>
  <c r="K813" i="39"/>
  <c r="G815" i="39"/>
  <c r="H814" i="39"/>
  <c r="K814" i="39"/>
  <c r="I814" i="39"/>
  <c r="J814" i="39"/>
  <c r="I815" i="39"/>
  <c r="G816" i="39"/>
  <c r="J815" i="39"/>
  <c r="H815" i="39"/>
  <c r="J816" i="39"/>
  <c r="I816" i="39"/>
  <c r="H816" i="39"/>
  <c r="K816" i="39"/>
  <c r="G817" i="39"/>
  <c r="K815" i="39"/>
  <c r="I817" i="39"/>
  <c r="J817" i="39"/>
  <c r="H817" i="39"/>
  <c r="K817" i="39"/>
  <c r="G818" i="39"/>
  <c r="G819" i="39"/>
  <c r="H818" i="39"/>
  <c r="J818" i="39"/>
  <c r="I818" i="39"/>
  <c r="K818" i="39"/>
  <c r="J819" i="39"/>
  <c r="H819" i="39"/>
  <c r="K819" i="39"/>
  <c r="G820" i="39"/>
  <c r="I819" i="39"/>
  <c r="J820" i="39"/>
  <c r="H820" i="39"/>
  <c r="I820" i="39"/>
  <c r="G821" i="39"/>
  <c r="K820" i="39"/>
  <c r="I821" i="39"/>
  <c r="J821" i="39"/>
  <c r="G822" i="39"/>
  <c r="H821" i="39"/>
  <c r="K821" i="39"/>
  <c r="G823" i="39"/>
  <c r="H822" i="39"/>
  <c r="J822" i="39"/>
  <c r="I822" i="39"/>
  <c r="K822" i="39"/>
  <c r="G824" i="39"/>
  <c r="H823" i="39"/>
  <c r="K823" i="39"/>
  <c r="I823" i="39"/>
  <c r="J823" i="39"/>
  <c r="J824" i="39"/>
  <c r="G825" i="39"/>
  <c r="I824" i="39"/>
  <c r="H824" i="39"/>
  <c r="I825" i="39"/>
  <c r="G826" i="39"/>
  <c r="J825" i="39"/>
  <c r="H825" i="39"/>
  <c r="K824" i="39"/>
  <c r="G827" i="39"/>
  <c r="H826" i="39"/>
  <c r="I826" i="39"/>
  <c r="J826" i="39"/>
  <c r="K825" i="39"/>
  <c r="K826" i="39"/>
  <c r="H827" i="39"/>
  <c r="I827" i="39"/>
  <c r="J827" i="39"/>
  <c r="G828" i="39"/>
  <c r="K827" i="39"/>
  <c r="J828" i="39"/>
  <c r="H828" i="39"/>
  <c r="K828" i="39"/>
  <c r="G829" i="39"/>
  <c r="I828" i="39"/>
  <c r="I829" i="39"/>
  <c r="H829" i="39"/>
  <c r="G830" i="39"/>
  <c r="J829" i="39"/>
  <c r="K829" i="39"/>
  <c r="G831" i="39"/>
  <c r="H830" i="39"/>
  <c r="I830" i="39"/>
  <c r="J830" i="39"/>
  <c r="K830" i="39"/>
  <c r="I831" i="39"/>
  <c r="J831" i="39"/>
  <c r="G832" i="39"/>
  <c r="H831" i="39"/>
  <c r="J832" i="39"/>
  <c r="I832" i="39"/>
  <c r="G833" i="39"/>
  <c r="H832" i="39"/>
  <c r="K832" i="39"/>
  <c r="K831" i="39"/>
  <c r="I833" i="39"/>
  <c r="J833" i="39"/>
  <c r="H833" i="39"/>
  <c r="K833" i="39"/>
  <c r="G834" i="39"/>
  <c r="G835" i="39"/>
  <c r="H834" i="39"/>
  <c r="J834" i="39"/>
  <c r="I834" i="39"/>
  <c r="K834" i="39"/>
  <c r="J835" i="39"/>
  <c r="G836" i="39"/>
  <c r="I835" i="39"/>
  <c r="H835" i="39"/>
  <c r="J836" i="39"/>
  <c r="H836" i="39"/>
  <c r="K836" i="39"/>
  <c r="G837" i="39"/>
  <c r="I836" i="39"/>
  <c r="K835" i="39"/>
  <c r="I837" i="39"/>
  <c r="J837" i="39"/>
  <c r="H837" i="39"/>
  <c r="K837" i="39"/>
  <c r="G838" i="39"/>
  <c r="G839" i="39"/>
  <c r="H838" i="39"/>
  <c r="J838" i="39"/>
  <c r="I838" i="39"/>
  <c r="K838" i="39"/>
  <c r="J839" i="39"/>
  <c r="G840" i="39"/>
  <c r="I839" i="39"/>
  <c r="H839" i="39"/>
  <c r="J840" i="39"/>
  <c r="G841" i="39"/>
  <c r="H840" i="39"/>
  <c r="I840" i="39"/>
  <c r="K839" i="39"/>
  <c r="I841" i="39"/>
  <c r="G842" i="39"/>
  <c r="J841" i="39"/>
  <c r="H841" i="39"/>
  <c r="K841" i="39"/>
  <c r="K840" i="39"/>
  <c r="G843" i="39"/>
  <c r="H842" i="39"/>
  <c r="I842" i="39"/>
  <c r="J842" i="39"/>
  <c r="K842" i="39"/>
  <c r="G844" i="39"/>
  <c r="H843" i="39"/>
  <c r="J843" i="39"/>
  <c r="I843" i="39"/>
  <c r="K843" i="39"/>
  <c r="J844" i="39"/>
  <c r="G845" i="39"/>
  <c r="H844" i="39"/>
  <c r="K844" i="39"/>
  <c r="I844" i="39"/>
  <c r="I845" i="39"/>
  <c r="G846" i="39"/>
  <c r="H845" i="39"/>
  <c r="K845" i="39"/>
  <c r="J845" i="39"/>
  <c r="G847" i="39"/>
  <c r="H846" i="39"/>
  <c r="I846" i="39"/>
  <c r="J846" i="39"/>
  <c r="K846" i="39"/>
  <c r="H847" i="39"/>
  <c r="I847" i="39"/>
  <c r="G848" i="39"/>
  <c r="J847" i="39"/>
  <c r="K847" i="39"/>
  <c r="J848" i="39"/>
  <c r="H848" i="39"/>
  <c r="K848" i="39"/>
  <c r="I848" i="39"/>
  <c r="G849" i="39"/>
  <c r="I849" i="39"/>
  <c r="H849" i="39"/>
  <c r="K849" i="39"/>
  <c r="J849" i="39"/>
  <c r="G850" i="39"/>
  <c r="G851" i="39"/>
  <c r="H850" i="39"/>
  <c r="I850" i="39"/>
  <c r="J850" i="39"/>
  <c r="K850" i="39"/>
  <c r="I851" i="39"/>
  <c r="J851" i="39"/>
  <c r="G852" i="39"/>
  <c r="H851" i="39"/>
  <c r="J852" i="39"/>
  <c r="I852" i="39"/>
  <c r="H852" i="39"/>
  <c r="K852" i="39"/>
  <c r="G853" i="39"/>
  <c r="K851" i="39"/>
  <c r="I853" i="39"/>
  <c r="J853" i="39"/>
  <c r="G854" i="39"/>
  <c r="H853" i="39"/>
  <c r="K853" i="39"/>
  <c r="G855" i="39"/>
  <c r="H854" i="39"/>
  <c r="J854" i="39"/>
  <c r="I854" i="39"/>
  <c r="K854" i="39"/>
  <c r="J855" i="39"/>
  <c r="G856" i="39"/>
  <c r="H855" i="39"/>
  <c r="I855" i="39"/>
  <c r="J856" i="39"/>
  <c r="G857" i="39"/>
  <c r="I856" i="39"/>
  <c r="H856" i="39"/>
  <c r="K856" i="39"/>
  <c r="K855" i="39"/>
  <c r="I857" i="39"/>
  <c r="G858" i="39"/>
  <c r="H857" i="39"/>
  <c r="K857" i="39"/>
  <c r="J857" i="39"/>
  <c r="G859" i="39"/>
  <c r="H858" i="39"/>
  <c r="J858" i="39"/>
  <c r="I858" i="39"/>
  <c r="K858" i="39"/>
  <c r="G860" i="39"/>
  <c r="H859" i="39"/>
  <c r="K859" i="39"/>
  <c r="I859" i="39"/>
  <c r="J859" i="39"/>
  <c r="J860" i="39"/>
  <c r="G861" i="39"/>
  <c r="H860" i="39"/>
  <c r="K860" i="39"/>
  <c r="I860" i="39"/>
  <c r="I861" i="39"/>
  <c r="G862" i="39"/>
  <c r="H861" i="39"/>
  <c r="K861" i="39"/>
  <c r="J861" i="39"/>
  <c r="H862" i="39"/>
  <c r="I862" i="39"/>
  <c r="G863" i="39"/>
  <c r="J862" i="39"/>
  <c r="J863" i="39"/>
  <c r="H863" i="39"/>
  <c r="I863" i="39"/>
  <c r="G864" i="39"/>
  <c r="K862" i="39"/>
  <c r="I864" i="39"/>
  <c r="H864" i="39"/>
  <c r="K864" i="39"/>
  <c r="G865" i="39"/>
  <c r="J864" i="39"/>
  <c r="K863" i="39"/>
  <c r="G866" i="39"/>
  <c r="H865" i="39"/>
  <c r="I865" i="39"/>
  <c r="J865" i="39"/>
  <c r="K865" i="39"/>
  <c r="I866" i="39"/>
  <c r="H866" i="39"/>
  <c r="J866" i="39"/>
  <c r="G867" i="39"/>
  <c r="K866" i="39"/>
  <c r="J867" i="39"/>
  <c r="I867" i="39"/>
  <c r="G868" i="39"/>
  <c r="H867" i="39"/>
  <c r="K867" i="39"/>
  <c r="I868" i="39"/>
  <c r="J868" i="39"/>
  <c r="G869" i="39"/>
  <c r="H868" i="39"/>
  <c r="G870" i="39"/>
  <c r="H869" i="39"/>
  <c r="J869" i="39"/>
  <c r="I869" i="39"/>
  <c r="K868" i="39"/>
  <c r="K869" i="39"/>
  <c r="J870" i="39"/>
  <c r="I870" i="39"/>
  <c r="G871" i="39"/>
  <c r="H870" i="39"/>
  <c r="K870" i="39"/>
  <c r="J871" i="39"/>
  <c r="G872" i="39"/>
  <c r="I871" i="39"/>
  <c r="H871" i="39"/>
  <c r="I872" i="39"/>
  <c r="H872" i="39"/>
  <c r="J872" i="39"/>
  <c r="G873" i="39"/>
  <c r="K871" i="39"/>
  <c r="K872" i="39"/>
  <c r="G874" i="39"/>
  <c r="H873" i="39"/>
  <c r="I873" i="39"/>
  <c r="J873" i="39"/>
  <c r="K873" i="39"/>
  <c r="G875" i="39"/>
  <c r="J874" i="39"/>
  <c r="I874" i="39"/>
  <c r="H874" i="39"/>
  <c r="K874" i="39"/>
  <c r="J875" i="39"/>
  <c r="G876" i="39"/>
  <c r="H875" i="39"/>
  <c r="I875" i="39"/>
  <c r="I876" i="39"/>
  <c r="G877" i="39"/>
  <c r="H876" i="39"/>
  <c r="J876" i="39"/>
  <c r="K875" i="39"/>
  <c r="G878" i="39"/>
  <c r="H877" i="39"/>
  <c r="J877" i="39"/>
  <c r="I877" i="39"/>
  <c r="K876" i="39"/>
  <c r="K877" i="39"/>
  <c r="H878" i="39"/>
  <c r="G879" i="39"/>
  <c r="I878" i="39"/>
  <c r="J878" i="39"/>
  <c r="K878" i="39"/>
  <c r="J879" i="39"/>
  <c r="H879" i="39"/>
  <c r="K879" i="39"/>
  <c r="I879" i="39"/>
  <c r="G880" i="39"/>
  <c r="I880" i="39"/>
  <c r="H880" i="39"/>
  <c r="J880" i="39"/>
  <c r="G881" i="39"/>
  <c r="K880" i="39"/>
  <c r="G882" i="39"/>
  <c r="H881" i="39"/>
  <c r="I881" i="39"/>
  <c r="J881" i="39"/>
  <c r="K881" i="39"/>
  <c r="I882" i="39"/>
  <c r="H882" i="39"/>
  <c r="K882" i="39"/>
  <c r="G883" i="39"/>
  <c r="J882" i="39"/>
  <c r="J883" i="39"/>
  <c r="I883" i="39"/>
  <c r="H883" i="39"/>
  <c r="K883" i="39"/>
  <c r="G884" i="39"/>
  <c r="I884" i="39"/>
  <c r="J884" i="39"/>
  <c r="G885" i="39"/>
  <c r="H884" i="39"/>
  <c r="K884" i="39"/>
  <c r="G886" i="39"/>
  <c r="H885" i="39"/>
  <c r="J885" i="39"/>
  <c r="I885" i="39"/>
  <c r="K885" i="39"/>
  <c r="J886" i="39"/>
  <c r="H886" i="39"/>
  <c r="I886" i="39"/>
  <c r="G887" i="39"/>
  <c r="K886" i="39"/>
  <c r="J887" i="39"/>
  <c r="I887" i="39"/>
  <c r="G888" i="39"/>
  <c r="H887" i="39"/>
  <c r="I888" i="39"/>
  <c r="G889" i="39"/>
  <c r="J888" i="39"/>
  <c r="H888" i="39"/>
  <c r="K888" i="39"/>
  <c r="K887" i="39"/>
  <c r="G890" i="39"/>
  <c r="H889" i="39"/>
  <c r="I889" i="39"/>
  <c r="J889" i="39"/>
  <c r="K889" i="39"/>
  <c r="G891" i="39"/>
  <c r="I890" i="39"/>
  <c r="J890" i="39"/>
  <c r="H890" i="39"/>
  <c r="K890" i="39"/>
  <c r="J891" i="39"/>
  <c r="G892" i="39"/>
  <c r="I891" i="39"/>
  <c r="H891" i="39"/>
  <c r="I892" i="39"/>
  <c r="G893" i="39"/>
  <c r="H892" i="39"/>
  <c r="K892" i="39"/>
  <c r="J892" i="39"/>
  <c r="K891" i="39"/>
  <c r="G894" i="39"/>
  <c r="H893" i="39"/>
  <c r="I893" i="39"/>
  <c r="J893" i="39"/>
  <c r="K893" i="39"/>
  <c r="H894" i="39"/>
  <c r="J894" i="39"/>
  <c r="G895" i="39"/>
  <c r="I894" i="39"/>
  <c r="K894" i="39"/>
  <c r="J895" i="39"/>
  <c r="H895" i="39"/>
  <c r="K895" i="39"/>
  <c r="G896" i="39"/>
  <c r="I895" i="39"/>
  <c r="I896" i="39"/>
  <c r="H896" i="39"/>
  <c r="J896" i="39"/>
  <c r="G897" i="39"/>
  <c r="K896" i="39"/>
  <c r="G898" i="39"/>
  <c r="H897" i="39"/>
  <c r="J897" i="39"/>
  <c r="I897" i="39"/>
  <c r="K897" i="39"/>
  <c r="J898" i="39"/>
  <c r="G899" i="39"/>
  <c r="H898" i="39"/>
  <c r="I898" i="39"/>
  <c r="K898" i="39"/>
  <c r="J899" i="39"/>
  <c r="I899" i="39"/>
  <c r="G900" i="39"/>
  <c r="H899" i="39"/>
  <c r="K899" i="39"/>
  <c r="I900" i="39"/>
  <c r="H900" i="39"/>
  <c r="K900" i="39"/>
  <c r="G901" i="39"/>
  <c r="J900" i="39"/>
  <c r="G902" i="39"/>
  <c r="H901" i="39"/>
  <c r="J901" i="39"/>
  <c r="I901" i="39"/>
  <c r="K901" i="39"/>
  <c r="G903" i="39"/>
  <c r="H902" i="39"/>
  <c r="K902" i="39"/>
  <c r="I902" i="39"/>
  <c r="J902" i="39"/>
  <c r="J903" i="39"/>
  <c r="G904" i="39"/>
  <c r="H903" i="39"/>
  <c r="K903" i="39"/>
  <c r="I903" i="39"/>
  <c r="I904" i="39"/>
  <c r="G905" i="39"/>
  <c r="J904" i="39"/>
  <c r="H904" i="39"/>
  <c r="K904" i="39"/>
  <c r="G906" i="39"/>
  <c r="H905" i="39"/>
  <c r="I905" i="39"/>
  <c r="J905" i="39"/>
  <c r="K905" i="39"/>
  <c r="H906" i="39"/>
  <c r="G907" i="39"/>
  <c r="I906" i="39"/>
  <c r="J906" i="39"/>
  <c r="K906" i="39"/>
  <c r="J907" i="39"/>
  <c r="H907" i="39"/>
  <c r="I907" i="39"/>
  <c r="G908" i="39"/>
  <c r="K907" i="39"/>
  <c r="I908" i="39"/>
  <c r="H908" i="39"/>
  <c r="K908" i="39"/>
  <c r="G909" i="39"/>
  <c r="J908" i="39"/>
  <c r="G910" i="39"/>
  <c r="H909" i="39"/>
  <c r="I909" i="39"/>
  <c r="J909" i="39"/>
  <c r="K909" i="39"/>
  <c r="I910" i="39"/>
  <c r="H910" i="39"/>
  <c r="K910" i="39"/>
  <c r="G911" i="39"/>
  <c r="J910" i="39"/>
  <c r="J911" i="39"/>
  <c r="I911" i="39"/>
  <c r="H911" i="39"/>
  <c r="K911" i="39"/>
  <c r="G912" i="39"/>
  <c r="I912" i="39"/>
  <c r="J912" i="39"/>
  <c r="G913" i="39"/>
  <c r="H912" i="39"/>
  <c r="K912" i="39"/>
  <c r="G914" i="39"/>
  <c r="H913" i="39"/>
  <c r="J913" i="39"/>
  <c r="I913" i="39"/>
  <c r="K913" i="39"/>
  <c r="J914" i="39"/>
  <c r="I914" i="39"/>
  <c r="G915" i="39"/>
  <c r="H914" i="39"/>
  <c r="K914" i="39"/>
  <c r="J915" i="39"/>
  <c r="G916" i="39"/>
  <c r="H915" i="39"/>
  <c r="I915" i="39"/>
  <c r="I916" i="39"/>
  <c r="J916" i="39"/>
  <c r="G917" i="39"/>
  <c r="H916" i="39"/>
  <c r="K916" i="39"/>
  <c r="K915" i="39"/>
  <c r="G918" i="39"/>
  <c r="H917" i="39"/>
  <c r="I917" i="39"/>
  <c r="J917" i="39"/>
  <c r="K917" i="39"/>
  <c r="G919" i="39"/>
  <c r="J918" i="39"/>
  <c r="I918" i="39"/>
  <c r="H918" i="39"/>
  <c r="J919" i="39"/>
  <c r="G920" i="39"/>
  <c r="H919" i="39"/>
  <c r="K919" i="39"/>
  <c r="I919" i="39"/>
  <c r="K918" i="39"/>
  <c r="I920" i="39"/>
  <c r="G921" i="39"/>
  <c r="H920" i="39"/>
  <c r="J920" i="39"/>
  <c r="G922" i="39"/>
  <c r="H921" i="39"/>
  <c r="J921" i="39"/>
  <c r="I921" i="39"/>
  <c r="K920" i="39"/>
  <c r="K921" i="39"/>
  <c r="H922" i="39"/>
  <c r="K922" i="39"/>
  <c r="G923" i="39"/>
  <c r="I922" i="39"/>
  <c r="J922" i="39"/>
  <c r="J923" i="39"/>
  <c r="H923" i="39"/>
  <c r="K923" i="39"/>
  <c r="G924" i="39"/>
  <c r="I923" i="39"/>
  <c r="I924" i="39"/>
  <c r="H924" i="39"/>
  <c r="K924" i="39"/>
  <c r="J924" i="39"/>
  <c r="G925" i="39"/>
  <c r="G926" i="39"/>
  <c r="H925" i="39"/>
  <c r="I925" i="39"/>
  <c r="J925" i="39"/>
  <c r="K925" i="39"/>
  <c r="I926" i="39"/>
  <c r="H926" i="39"/>
  <c r="G927" i="39"/>
  <c r="J926" i="39"/>
  <c r="K926" i="39"/>
  <c r="J927" i="39"/>
  <c r="I927" i="39"/>
  <c r="H927" i="39"/>
  <c r="K927" i="39"/>
  <c r="G928" i="39"/>
  <c r="I928" i="39"/>
  <c r="J928" i="39"/>
  <c r="G929" i="39"/>
  <c r="H928" i="39"/>
  <c r="K928" i="39"/>
  <c r="G930" i="39"/>
  <c r="H929" i="39"/>
  <c r="J929" i="39"/>
  <c r="I929" i="39"/>
  <c r="K929" i="39"/>
  <c r="J930" i="39"/>
  <c r="I930" i="39"/>
  <c r="H930" i="39"/>
  <c r="G931" i="39"/>
  <c r="J931" i="39"/>
  <c r="G932" i="39"/>
  <c r="I931" i="39"/>
  <c r="H931" i="39"/>
  <c r="K931" i="39"/>
  <c r="K930" i="39"/>
  <c r="I932" i="39"/>
  <c r="G933" i="39"/>
  <c r="J932" i="39"/>
  <c r="H932" i="39"/>
  <c r="K932" i="39"/>
  <c r="G934" i="39"/>
  <c r="H933" i="39"/>
  <c r="K933" i="39"/>
  <c r="I933" i="39"/>
  <c r="J933" i="39"/>
  <c r="G935" i="39"/>
  <c r="J934" i="39"/>
  <c r="I934" i="39"/>
  <c r="H934" i="39"/>
  <c r="J935" i="39"/>
  <c r="G936" i="39"/>
  <c r="I935" i="39"/>
  <c r="H935" i="39"/>
  <c r="K935" i="39"/>
  <c r="K934" i="39"/>
  <c r="I936" i="39"/>
  <c r="G937" i="39"/>
  <c r="H936" i="39"/>
  <c r="K936" i="39"/>
  <c r="J936" i="39"/>
  <c r="G938" i="39"/>
  <c r="H937" i="39"/>
  <c r="J937" i="39"/>
  <c r="I937" i="39"/>
  <c r="K937" i="39"/>
  <c r="H938" i="39"/>
  <c r="G939" i="39"/>
  <c r="J938" i="39"/>
  <c r="I938" i="39"/>
  <c r="J939" i="39"/>
  <c r="H939" i="39"/>
  <c r="G940" i="39"/>
  <c r="I939" i="39"/>
  <c r="K938" i="39"/>
  <c r="X44" i="38"/>
  <c r="Y44" i="38"/>
  <c r="W44" i="38"/>
  <c r="W45" i="38"/>
  <c r="V39" i="38"/>
  <c r="W39" i="38"/>
  <c r="AB32" i="38"/>
  <c r="X32" i="38"/>
  <c r="W34" i="38"/>
  <c r="Q32" i="38"/>
  <c r="Q33" i="38"/>
  <c r="Q34" i="38"/>
  <c r="J26" i="38"/>
  <c r="J25" i="38"/>
  <c r="J24" i="38"/>
  <c r="J23" i="38"/>
  <c r="T24" i="38"/>
  <c r="T23" i="38"/>
  <c r="T22" i="38"/>
  <c r="T21" i="38"/>
  <c r="T19" i="38"/>
  <c r="V44" i="38"/>
  <c r="V45" i="38"/>
  <c r="T18" i="38"/>
  <c r="T16" i="38"/>
  <c r="F16" i="38"/>
  <c r="T20" i="38"/>
  <c r="G14" i="38"/>
  <c r="K13" i="38"/>
  <c r="G13" i="38"/>
  <c r="G12" i="38"/>
  <c r="G11" i="38"/>
  <c r="AK9" i="38"/>
  <c r="V7" i="38"/>
  <c r="V8" i="38"/>
  <c r="T7" i="38"/>
  <c r="V6" i="38"/>
  <c r="T5" i="38"/>
  <c r="T4" i="38"/>
  <c r="T10" i="38"/>
  <c r="AI3" i="38"/>
  <c r="Z32" i="38"/>
  <c r="K939" i="39"/>
  <c r="I940" i="39"/>
  <c r="H940" i="39"/>
  <c r="K940" i="39"/>
  <c r="J940" i="39"/>
  <c r="G941" i="39"/>
  <c r="T26" i="38"/>
  <c r="T27" i="38"/>
  <c r="G16" i="38"/>
  <c r="V9" i="38"/>
  <c r="T6" i="38"/>
  <c r="W8" i="38"/>
  <c r="V41" i="38"/>
  <c r="W41" i="38"/>
  <c r="W35" i="38"/>
  <c r="X34" i="38"/>
  <c r="T9" i="38"/>
  <c r="Y45" i="38"/>
  <c r="Z44" i="38"/>
  <c r="X45" i="38"/>
  <c r="X39" i="38"/>
  <c r="X41" i="38"/>
  <c r="W40" i="38"/>
  <c r="V40" i="38"/>
  <c r="G942" i="39"/>
  <c r="H941" i="39"/>
  <c r="I941" i="39"/>
  <c r="J941" i="39"/>
  <c r="V42" i="38"/>
  <c r="V34" i="38"/>
  <c r="D16" i="38"/>
  <c r="L46" i="38"/>
  <c r="M46" i="38"/>
  <c r="AJ3" i="38"/>
  <c r="D46" i="38"/>
  <c r="X8" i="38"/>
  <c r="Z8" i="38"/>
  <c r="Y8" i="38"/>
  <c r="W54" i="38"/>
  <c r="W55" i="38"/>
  <c r="W56" i="38"/>
  <c r="W57" i="38"/>
  <c r="W43" i="38"/>
  <c r="W38" i="38"/>
  <c r="W37" i="38"/>
  <c r="X35" i="38"/>
  <c r="Y34" i="38"/>
  <c r="Y36" i="38"/>
  <c r="W61" i="38"/>
  <c r="V61" i="38"/>
  <c r="W9" i="38"/>
  <c r="Y9" i="38"/>
  <c r="V10" i="38"/>
  <c r="W42" i="38"/>
  <c r="Z45" i="38"/>
  <c r="AA44" i="38"/>
  <c r="X43" i="38"/>
  <c r="X38" i="38"/>
  <c r="X37" i="38"/>
  <c r="X54" i="38"/>
  <c r="X55" i="38"/>
  <c r="X56" i="38"/>
  <c r="X57" i="38"/>
  <c r="X36" i="38"/>
  <c r="W36" i="38"/>
  <c r="W6" i="38"/>
  <c r="W5" i="38"/>
  <c r="Y5" i="38"/>
  <c r="W7" i="38"/>
  <c r="Y39" i="38"/>
  <c r="X40" i="38"/>
  <c r="X42" i="38"/>
  <c r="X63" i="38"/>
  <c r="X62" i="38"/>
  <c r="W63" i="38"/>
  <c r="X61" i="38"/>
  <c r="Y61" i="38"/>
  <c r="K941" i="39"/>
  <c r="I942" i="39"/>
  <c r="G943" i="39"/>
  <c r="H942" i="39"/>
  <c r="K942" i="39"/>
  <c r="J942" i="39"/>
  <c r="V35" i="38"/>
  <c r="S29" i="38"/>
  <c r="S28" i="38"/>
  <c r="E46" i="38"/>
  <c r="G46" i="38"/>
  <c r="V36" i="38"/>
  <c r="T25" i="38"/>
  <c r="AA9" i="38"/>
  <c r="AA5" i="38"/>
  <c r="X47" i="38"/>
  <c r="X46" i="38"/>
  <c r="AA45" i="38"/>
  <c r="AB44" i="38"/>
  <c r="V11" i="38"/>
  <c r="W10" i="38"/>
  <c r="Y40" i="38"/>
  <c r="Z39" i="38"/>
  <c r="Y41" i="38"/>
  <c r="Z6" i="38"/>
  <c r="X6" i="38"/>
  <c r="AA8" i="38"/>
  <c r="AF8" i="38"/>
  <c r="W62" i="38"/>
  <c r="Z7" i="38"/>
  <c r="X7" i="38"/>
  <c r="W46" i="38"/>
  <c r="W47" i="38"/>
  <c r="Y6" i="38"/>
  <c r="Y7" i="38"/>
  <c r="X5" i="38"/>
  <c r="Z5" i="38"/>
  <c r="X9" i="38"/>
  <c r="Y35" i="38"/>
  <c r="Y63" i="38"/>
  <c r="Z34" i="38"/>
  <c r="J943" i="39"/>
  <c r="I943" i="39"/>
  <c r="H943" i="39"/>
  <c r="K943" i="39"/>
  <c r="G944" i="39"/>
  <c r="Y42" i="38"/>
  <c r="Y47" i="38"/>
  <c r="V47" i="38"/>
  <c r="AI5" i="38"/>
  <c r="V54" i="38"/>
  <c r="V55" i="38"/>
  <c r="V56" i="38"/>
  <c r="V57" i="38"/>
  <c r="V63" i="38"/>
  <c r="V43" i="38"/>
  <c r="V38" i="38"/>
  <c r="V37" i="38"/>
  <c r="V46" i="38"/>
  <c r="AF5" i="38"/>
  <c r="W11" i="38"/>
  <c r="V12" i="38"/>
  <c r="W50" i="38"/>
  <c r="W58" i="38"/>
  <c r="AC44" i="38"/>
  <c r="AB45" i="38"/>
  <c r="Z9" i="38"/>
  <c r="W48" i="38"/>
  <c r="W53" i="38"/>
  <c r="Y54" i="38"/>
  <c r="Y55" i="38"/>
  <c r="Y56" i="38"/>
  <c r="Y57" i="38"/>
  <c r="Y43" i="38"/>
  <c r="Y38" i="38"/>
  <c r="Y37" i="38"/>
  <c r="Y46" i="38"/>
  <c r="AA6" i="38"/>
  <c r="AF6" i="38"/>
  <c r="X50" i="38"/>
  <c r="X58" i="38"/>
  <c r="AF7" i="38"/>
  <c r="AA34" i="38"/>
  <c r="Z35" i="38"/>
  <c r="Z63" i="38"/>
  <c r="Z36" i="38"/>
  <c r="Z61" i="38"/>
  <c r="AA7" i="38"/>
  <c r="AA39" i="38"/>
  <c r="Z40" i="38"/>
  <c r="Z41" i="38"/>
  <c r="X10" i="38"/>
  <c r="Y10" i="38"/>
  <c r="X48" i="38"/>
  <c r="X53" i="38"/>
  <c r="W51" i="38"/>
  <c r="I944" i="39"/>
  <c r="J944" i="39"/>
  <c r="H944" i="39"/>
  <c r="K944" i="39"/>
  <c r="G945" i="39"/>
  <c r="Y62" i="38"/>
  <c r="Y48" i="38"/>
  <c r="V48" i="38"/>
  <c r="V50" i="38"/>
  <c r="V58" i="38"/>
  <c r="AI4" i="38"/>
  <c r="AI6" i="38"/>
  <c r="V62" i="38"/>
  <c r="K12" i="38"/>
  <c r="Z10" i="38"/>
  <c r="Z42" i="38"/>
  <c r="Z47" i="38"/>
  <c r="AF9" i="38"/>
  <c r="X11" i="38"/>
  <c r="Z11" i="38"/>
  <c r="Y11" i="38"/>
  <c r="AB39" i="38"/>
  <c r="AA40" i="38"/>
  <c r="AA41" i="38"/>
  <c r="AB34" i="38"/>
  <c r="AA35" i="38"/>
  <c r="AA63" i="38"/>
  <c r="AA36" i="38"/>
  <c r="AA61" i="38"/>
  <c r="Y50" i="38"/>
  <c r="Y51" i="38"/>
  <c r="X49" i="38"/>
  <c r="AC45" i="38"/>
  <c r="AD44" i="38"/>
  <c r="AA10" i="38"/>
  <c r="Z54" i="38"/>
  <c r="Z55" i="38"/>
  <c r="Z56" i="38"/>
  <c r="Z57" i="38"/>
  <c r="Z43" i="38"/>
  <c r="Z38" i="38"/>
  <c r="Z37" i="38"/>
  <c r="Z46" i="38"/>
  <c r="X51" i="38"/>
  <c r="W49" i="38"/>
  <c r="W12" i="38"/>
  <c r="V13" i="38"/>
  <c r="AA42" i="38"/>
  <c r="Z48" i="38"/>
  <c r="Z53" i="38"/>
  <c r="Y53" i="38"/>
  <c r="Y49" i="38"/>
  <c r="V53" i="38"/>
  <c r="V49" i="38"/>
  <c r="G946" i="39"/>
  <c r="H945" i="39"/>
  <c r="J945" i="39"/>
  <c r="I945" i="39"/>
  <c r="Z62" i="38"/>
  <c r="V51" i="38"/>
  <c r="F47" i="38"/>
  <c r="K46" i="38"/>
  <c r="L12" i="38"/>
  <c r="S15" i="38"/>
  <c r="S14" i="38"/>
  <c r="M12" i="38"/>
  <c r="J46" i="38"/>
  <c r="Z50" i="38"/>
  <c r="Z51" i="38"/>
  <c r="X59" i="38"/>
  <c r="X60" i="38"/>
  <c r="X52" i="38"/>
  <c r="AF11" i="38"/>
  <c r="AD45" i="38"/>
  <c r="AE44" i="38"/>
  <c r="AB40" i="38"/>
  <c r="AC39" i="38"/>
  <c r="AB41" i="38"/>
  <c r="AA11" i="38"/>
  <c r="W59" i="38"/>
  <c r="W60" i="38"/>
  <c r="W52" i="38"/>
  <c r="AB35" i="38"/>
  <c r="AB63" i="38"/>
  <c r="AC34" i="38"/>
  <c r="AB36" i="38"/>
  <c r="AB61" i="38"/>
  <c r="Y58" i="38"/>
  <c r="V14" i="38"/>
  <c r="W13" i="38"/>
  <c r="AF10" i="38"/>
  <c r="AI9" i="38"/>
  <c r="X12" i="38"/>
  <c r="Z12" i="38"/>
  <c r="Y12" i="38"/>
  <c r="AA47" i="38"/>
  <c r="AA54" i="38"/>
  <c r="AA55" i="38"/>
  <c r="AA56" i="38"/>
  <c r="AA57" i="38"/>
  <c r="AA43" i="38"/>
  <c r="AA38" i="38"/>
  <c r="AA37" i="38"/>
  <c r="AA46" i="38"/>
  <c r="Z49" i="38"/>
  <c r="Z59" i="38"/>
  <c r="AH10" i="38"/>
  <c r="AK10" i="38"/>
  <c r="V52" i="38"/>
  <c r="V59" i="38"/>
  <c r="V60" i="38"/>
  <c r="N46" i="38"/>
  <c r="G47" i="38"/>
  <c r="T29" i="38"/>
  <c r="Y59" i="38"/>
  <c r="Y60" i="38"/>
  <c r="Y52" i="38"/>
  <c r="Z58" i="38"/>
  <c r="K945" i="39"/>
  <c r="J946" i="39"/>
  <c r="H946" i="39"/>
  <c r="K946" i="39"/>
  <c r="G947" i="39"/>
  <c r="I946" i="39"/>
  <c r="AA48" i="38"/>
  <c r="AB42" i="38"/>
  <c r="AB47" i="38"/>
  <c r="N12" i="38"/>
  <c r="AA12" i="38"/>
  <c r="AA50" i="38"/>
  <c r="AA51" i="38"/>
  <c r="AF12" i="38"/>
  <c r="W14" i="38"/>
  <c r="V15" i="38"/>
  <c r="AD34" i="38"/>
  <c r="AC35" i="38"/>
  <c r="AC63" i="38"/>
  <c r="AC61" i="38"/>
  <c r="AC36" i="38"/>
  <c r="AB43" i="38"/>
  <c r="AB38" i="38"/>
  <c r="AB37" i="38"/>
  <c r="AB46" i="38"/>
  <c r="AB54" i="38"/>
  <c r="AB55" i="38"/>
  <c r="AB56" i="38"/>
  <c r="AB57" i="38"/>
  <c r="AC40" i="38"/>
  <c r="AD39" i="38"/>
  <c r="AC41" i="38"/>
  <c r="X13" i="38"/>
  <c r="Z13" i="38"/>
  <c r="Y13" i="38"/>
  <c r="AA62" i="38"/>
  <c r="AF44" i="38"/>
  <c r="AF45" i="38"/>
  <c r="AE45" i="38"/>
  <c r="Z52" i="38"/>
  <c r="AA58" i="38"/>
  <c r="AI10" i="38"/>
  <c r="AJ10" i="38"/>
  <c r="AH11" i="38"/>
  <c r="AK11" i="38"/>
  <c r="D47" i="38"/>
  <c r="E47" i="38"/>
  <c r="AA53" i="38"/>
  <c r="AA49" i="38"/>
  <c r="Z60" i="38"/>
  <c r="J947" i="39"/>
  <c r="I947" i="39"/>
  <c r="H947" i="39"/>
  <c r="K947" i="39"/>
  <c r="G948" i="39"/>
  <c r="AC42" i="38"/>
  <c r="AC47" i="38"/>
  <c r="AB62" i="38"/>
  <c r="AB48" i="38"/>
  <c r="AB50" i="38"/>
  <c r="AB51" i="38"/>
  <c r="AC54" i="38"/>
  <c r="AC55" i="38"/>
  <c r="AC56" i="38"/>
  <c r="AC57" i="38"/>
  <c r="AC43" i="38"/>
  <c r="AC38" i="38"/>
  <c r="AC37" i="38"/>
  <c r="AC46" i="38"/>
  <c r="X14" i="38"/>
  <c r="Y14" i="38"/>
  <c r="AF13" i="38"/>
  <c r="W15" i="38"/>
  <c r="V16" i="38"/>
  <c r="AA13" i="38"/>
  <c r="AD40" i="38"/>
  <c r="AE39" i="38"/>
  <c r="AD41" i="38"/>
  <c r="AE34" i="38"/>
  <c r="AD35" i="38"/>
  <c r="AD63" i="38"/>
  <c r="AD36" i="38"/>
  <c r="AD61" i="38"/>
  <c r="AH12" i="38"/>
  <c r="AH13" i="38"/>
  <c r="AI11" i="38"/>
  <c r="AJ11" i="38"/>
  <c r="AA52" i="38"/>
  <c r="AA59" i="38"/>
  <c r="AA60" i="38"/>
  <c r="AB53" i="38"/>
  <c r="AB49" i="38"/>
  <c r="G949" i="39"/>
  <c r="I948" i="39"/>
  <c r="J948" i="39"/>
  <c r="H948" i="39"/>
  <c r="K948" i="39"/>
  <c r="AC62" i="38"/>
  <c r="AC48" i="38"/>
  <c r="AF34" i="38"/>
  <c r="AE35" i="38"/>
  <c r="AE63" i="38"/>
  <c r="AE61" i="38"/>
  <c r="AE36" i="38"/>
  <c r="AD54" i="38"/>
  <c r="AD55" i="38"/>
  <c r="AD56" i="38"/>
  <c r="AD57" i="38"/>
  <c r="AD43" i="38"/>
  <c r="AD38" i="38"/>
  <c r="AD37" i="38"/>
  <c r="AD46" i="38"/>
  <c r="AK12" i="38"/>
  <c r="AD42" i="38"/>
  <c r="AD47" i="38"/>
  <c r="AA14" i="38"/>
  <c r="AC50" i="38"/>
  <c r="AC58" i="38"/>
  <c r="X15" i="38"/>
  <c r="Y15" i="38"/>
  <c r="W16" i="38"/>
  <c r="V17" i="38"/>
  <c r="AF39" i="38"/>
  <c r="AE40" i="38"/>
  <c r="AE41" i="38"/>
  <c r="Z14" i="38"/>
  <c r="AB58" i="38"/>
  <c r="AI12" i="38"/>
  <c r="AJ12" i="38"/>
  <c r="AB52" i="38"/>
  <c r="AB59" i="38"/>
  <c r="AB60" i="38"/>
  <c r="AC53" i="38"/>
  <c r="AC49" i="38"/>
  <c r="AC51" i="38"/>
  <c r="I949" i="39"/>
  <c r="H949" i="39"/>
  <c r="K949" i="39"/>
  <c r="G950" i="39"/>
  <c r="J949" i="39"/>
  <c r="AD62" i="38"/>
  <c r="AD50" i="38"/>
  <c r="AD58" i="38"/>
  <c r="AF14" i="38"/>
  <c r="AF40" i="38"/>
  <c r="AF41" i="38"/>
  <c r="Z15" i="38"/>
  <c r="AD48" i="38"/>
  <c r="AD53" i="38"/>
  <c r="AE54" i="38"/>
  <c r="AE55" i="38"/>
  <c r="AE56" i="38"/>
  <c r="AE57" i="38"/>
  <c r="AE43" i="38"/>
  <c r="AE38" i="38"/>
  <c r="AE37" i="38"/>
  <c r="AE46" i="38"/>
  <c r="V18" i="38"/>
  <c r="W17" i="38"/>
  <c r="AA15" i="38"/>
  <c r="AE42" i="38"/>
  <c r="AE47" i="38"/>
  <c r="X16" i="38"/>
  <c r="Z16" i="38"/>
  <c r="Y16" i="38"/>
  <c r="AK13" i="38"/>
  <c r="AI13" i="38"/>
  <c r="AH14" i="38"/>
  <c r="AF35" i="38"/>
  <c r="AF63" i="38"/>
  <c r="AF36" i="38"/>
  <c r="AF61" i="38"/>
  <c r="AJ13" i="38"/>
  <c r="AC52" i="38"/>
  <c r="AC59" i="38"/>
  <c r="AC60" i="38"/>
  <c r="J950" i="39"/>
  <c r="I950" i="39"/>
  <c r="H950" i="39"/>
  <c r="K950" i="39"/>
  <c r="G951" i="39"/>
  <c r="AE62" i="38"/>
  <c r="AD51" i="38"/>
  <c r="AE48" i="38"/>
  <c r="AE50" i="38"/>
  <c r="AE51" i="38"/>
  <c r="AA16" i="38"/>
  <c r="W18" i="38"/>
  <c r="V19" i="38"/>
  <c r="AK14" i="38"/>
  <c r="AH15" i="38"/>
  <c r="AI14" i="38"/>
  <c r="AJ14" i="38"/>
  <c r="AF16" i="38"/>
  <c r="AD49" i="38"/>
  <c r="AF43" i="38"/>
  <c r="AF38" i="38"/>
  <c r="AF37" i="38"/>
  <c r="AF46" i="38"/>
  <c r="AF54" i="38"/>
  <c r="AF55" i="38"/>
  <c r="AF56" i="38"/>
  <c r="AF57" i="38"/>
  <c r="AF42" i="38"/>
  <c r="AF47" i="38"/>
  <c r="X17" i="38"/>
  <c r="Y17" i="38"/>
  <c r="AF15" i="38"/>
  <c r="AE58" i="38"/>
  <c r="AE53" i="38"/>
  <c r="AE49" i="38"/>
  <c r="I951" i="39"/>
  <c r="J951" i="39"/>
  <c r="H951" i="39"/>
  <c r="K951" i="39"/>
  <c r="G952" i="39"/>
  <c r="AF62" i="38"/>
  <c r="AF48" i="38"/>
  <c r="AK15" i="38"/>
  <c r="AH16" i="38"/>
  <c r="AI15" i="38"/>
  <c r="AJ15" i="38"/>
  <c r="AD59" i="38"/>
  <c r="AD60" i="38"/>
  <c r="AD52" i="38"/>
  <c r="AA17" i="38"/>
  <c r="W19" i="38"/>
  <c r="V20" i="38"/>
  <c r="AF50" i="38"/>
  <c r="AF51" i="38"/>
  <c r="Z17" i="38"/>
  <c r="Z18" i="38"/>
  <c r="X18" i="38"/>
  <c r="Y18" i="38"/>
  <c r="AE59" i="38"/>
  <c r="AE60" i="38"/>
  <c r="AE52" i="38"/>
  <c r="AF53" i="38"/>
  <c r="AF49" i="38"/>
  <c r="G953" i="39"/>
  <c r="H952" i="39"/>
  <c r="J952" i="39"/>
  <c r="I952" i="39"/>
  <c r="AA18" i="38"/>
  <c r="AF18" i="38"/>
  <c r="AF58" i="38"/>
  <c r="V21" i="38"/>
  <c r="W20" i="38"/>
  <c r="AF17" i="38"/>
  <c r="Z19" i="38"/>
  <c r="X19" i="38"/>
  <c r="Y19" i="38"/>
  <c r="AK16" i="38"/>
  <c r="AI16" i="38"/>
  <c r="AJ16" i="38"/>
  <c r="AH17" i="38"/>
  <c r="AF59" i="38"/>
  <c r="AF60" i="38"/>
  <c r="AF52" i="38"/>
  <c r="K952" i="39"/>
  <c r="J953" i="39"/>
  <c r="H953" i="39"/>
  <c r="K953" i="39"/>
  <c r="G954" i="39"/>
  <c r="I953" i="39"/>
  <c r="AK17" i="38"/>
  <c r="AI17" i="38"/>
  <c r="AJ17" i="38"/>
  <c r="AH18" i="38"/>
  <c r="V22" i="38"/>
  <c r="W21" i="38"/>
  <c r="X20" i="38"/>
  <c r="Y20" i="38"/>
  <c r="AA19" i="38"/>
  <c r="AF19" i="38"/>
  <c r="J954" i="39"/>
  <c r="I954" i="39"/>
  <c r="G955" i="39"/>
  <c r="H954" i="39"/>
  <c r="K954" i="39"/>
  <c r="X21" i="38"/>
  <c r="Y21" i="38"/>
  <c r="Z20" i="38"/>
  <c r="V23" i="38"/>
  <c r="W22" i="38"/>
  <c r="AK18" i="38"/>
  <c r="AI18" i="38"/>
  <c r="AJ18" i="38"/>
  <c r="AH19" i="38"/>
  <c r="AA20" i="38"/>
  <c r="I955" i="39"/>
  <c r="G956" i="39"/>
  <c r="H955" i="39"/>
  <c r="K955" i="39"/>
  <c r="J955" i="39"/>
  <c r="X22" i="38"/>
  <c r="Y22" i="38"/>
  <c r="Z21" i="38"/>
  <c r="AK19" i="38"/>
  <c r="AI19" i="38"/>
  <c r="AJ19" i="38"/>
  <c r="AH20" i="38"/>
  <c r="W23" i="38"/>
  <c r="V24" i="38"/>
  <c r="AF20" i="38"/>
  <c r="AA21" i="38"/>
  <c r="G957" i="39"/>
  <c r="H956" i="39"/>
  <c r="J956" i="39"/>
  <c r="I956" i="39"/>
  <c r="X23" i="38"/>
  <c r="Z23" i="38"/>
  <c r="Y23" i="38"/>
  <c r="AK20" i="38"/>
  <c r="AI20" i="38"/>
  <c r="AJ20" i="38"/>
  <c r="AJ4" i="38"/>
  <c r="AJ5" i="38"/>
  <c r="AH21" i="38"/>
  <c r="Z22" i="38"/>
  <c r="AF21" i="38"/>
  <c r="V25" i="38"/>
  <c r="W24" i="38"/>
  <c r="AA22" i="38"/>
  <c r="K956" i="39"/>
  <c r="G958" i="39"/>
  <c r="I957" i="39"/>
  <c r="J957" i="39"/>
  <c r="H957" i="39"/>
  <c r="AF23" i="38"/>
  <c r="V26" i="38"/>
  <c r="W25" i="38"/>
  <c r="AF22" i="38"/>
  <c r="AA23" i="38"/>
  <c r="X24" i="38"/>
  <c r="Z24" i="38"/>
  <c r="Y24" i="38"/>
  <c r="AK21" i="38"/>
  <c r="AI21" i="38"/>
  <c r="AJ21" i="38"/>
  <c r="AH22" i="38"/>
  <c r="K957" i="39"/>
  <c r="J958" i="39"/>
  <c r="G959" i="39"/>
  <c r="I958" i="39"/>
  <c r="H958" i="39"/>
  <c r="AA24" i="38"/>
  <c r="AF24" i="38"/>
  <c r="X25" i="38"/>
  <c r="Y25" i="38"/>
  <c r="AK22" i="38"/>
  <c r="AH23" i="38"/>
  <c r="AI22" i="38"/>
  <c r="AJ22" i="38"/>
  <c r="V27" i="38"/>
  <c r="W26" i="38"/>
  <c r="I959" i="39"/>
  <c r="G960" i="39"/>
  <c r="H959" i="39"/>
  <c r="J959" i="39"/>
  <c r="K958" i="39"/>
  <c r="X26" i="38"/>
  <c r="Y26" i="38"/>
  <c r="V28" i="38"/>
  <c r="W27" i="38"/>
  <c r="AK23" i="38"/>
  <c r="AI23" i="38"/>
  <c r="AJ23" i="38"/>
  <c r="AH24" i="38"/>
  <c r="Z25" i="38"/>
  <c r="AA25" i="38"/>
  <c r="K959" i="39"/>
  <c r="G961" i="39"/>
  <c r="H960" i="39"/>
  <c r="I960" i="39"/>
  <c r="J960" i="39"/>
  <c r="AF25" i="38"/>
  <c r="X27" i="38"/>
  <c r="Y27" i="38"/>
  <c r="AK24" i="38"/>
  <c r="AH25" i="38"/>
  <c r="AI24" i="38"/>
  <c r="AJ24" i="38"/>
  <c r="W28" i="38"/>
  <c r="V29" i="38"/>
  <c r="Z26" i="38"/>
  <c r="AA26" i="38"/>
  <c r="K960" i="39"/>
  <c r="H961" i="39"/>
  <c r="J961" i="39"/>
  <c r="G962" i="39"/>
  <c r="I961" i="39"/>
  <c r="V30" i="38"/>
  <c r="W30" i="38"/>
  <c r="W29" i="38"/>
  <c r="AF26" i="38"/>
  <c r="AB28" i="38"/>
  <c r="X28" i="38"/>
  <c r="Y28" i="38"/>
  <c r="AB25" i="38"/>
  <c r="AB26" i="38"/>
  <c r="AB22" i="38"/>
  <c r="AB27" i="38"/>
  <c r="AB23" i="38"/>
  <c r="AB24" i="38"/>
  <c r="Z27" i="38"/>
  <c r="AK25" i="38"/>
  <c r="AH26" i="38"/>
  <c r="AI25" i="38"/>
  <c r="AJ25" i="38"/>
  <c r="AA27" i="38"/>
  <c r="J962" i="39"/>
  <c r="H962" i="39"/>
  <c r="G963" i="39"/>
  <c r="I962" i="39"/>
  <c r="K961" i="39"/>
  <c r="AA28" i="38"/>
  <c r="AF27" i="38"/>
  <c r="AB29" i="38"/>
  <c r="X29" i="38"/>
  <c r="Z29" i="38"/>
  <c r="Y29" i="38"/>
  <c r="AD23" i="38"/>
  <c r="AK26" i="38"/>
  <c r="AI26" i="38"/>
  <c r="AJ26" i="38"/>
  <c r="AH27" i="38"/>
  <c r="Z28" i="38"/>
  <c r="AB30" i="38"/>
  <c r="X30" i="38"/>
  <c r="Y30" i="38"/>
  <c r="AD24" i="38"/>
  <c r="AB8" i="38"/>
  <c r="AB6" i="38"/>
  <c r="AB5" i="38"/>
  <c r="AB9" i="38"/>
  <c r="AB7" i="38"/>
  <c r="AB10" i="38"/>
  <c r="AB11" i="38"/>
  <c r="AB12" i="38"/>
  <c r="AB14" i="38"/>
  <c r="AB13" i="38"/>
  <c r="AB15" i="38"/>
  <c r="AB19" i="38"/>
  <c r="AB17" i="38"/>
  <c r="AB16" i="38"/>
  <c r="AB20" i="38"/>
  <c r="AB18" i="38"/>
  <c r="AB21" i="38"/>
  <c r="I963" i="39"/>
  <c r="H963" i="39"/>
  <c r="G964" i="39"/>
  <c r="J963" i="39"/>
  <c r="K962" i="39"/>
  <c r="AF28" i="38"/>
  <c r="AE28" i="38"/>
  <c r="AE21" i="38"/>
  <c r="AE22" i="38"/>
  <c r="AE23" i="38"/>
  <c r="AC30" i="38"/>
  <c r="AC5" i="38"/>
  <c r="AC8" i="38"/>
  <c r="AC6" i="38"/>
  <c r="AC9" i="38"/>
  <c r="AC7" i="38"/>
  <c r="AC10" i="38"/>
  <c r="AC11" i="38"/>
  <c r="AC12" i="38"/>
  <c r="AC13" i="38"/>
  <c r="AC16" i="38"/>
  <c r="AC14" i="38"/>
  <c r="AC15" i="38"/>
  <c r="AC17" i="38"/>
  <c r="AC18" i="38"/>
  <c r="AC19" i="38"/>
  <c r="AC20" i="38"/>
  <c r="AC21" i="38"/>
  <c r="AC26" i="38"/>
  <c r="AC29" i="38"/>
  <c r="AC22" i="38"/>
  <c r="AC27" i="38"/>
  <c r="AC25" i="38"/>
  <c r="AC23" i="38"/>
  <c r="AC24" i="38"/>
  <c r="AC28" i="38"/>
  <c r="AD30" i="38"/>
  <c r="AA30" i="38"/>
  <c r="AD8" i="38"/>
  <c r="AD5" i="38"/>
  <c r="AD7" i="38"/>
  <c r="AD9" i="38"/>
  <c r="AD10" i="38"/>
  <c r="AD6" i="38"/>
  <c r="AD11" i="38"/>
  <c r="AD13" i="38"/>
  <c r="AD12" i="38"/>
  <c r="AD15" i="38"/>
  <c r="AD16" i="38"/>
  <c r="AD14" i="38"/>
  <c r="AD20" i="38"/>
  <c r="AD18" i="38"/>
  <c r="AD17" i="38"/>
  <c r="AD19" i="38"/>
  <c r="AD21" i="38"/>
  <c r="AK27" i="38"/>
  <c r="AI27" i="38"/>
  <c r="AJ27" i="38"/>
  <c r="AH28" i="38"/>
  <c r="AE29" i="38"/>
  <c r="AD28" i="38"/>
  <c r="AD26" i="38"/>
  <c r="Z30" i="38"/>
  <c r="AD27" i="38"/>
  <c r="AA29" i="38"/>
  <c r="AF29" i="38"/>
  <c r="AD29" i="38"/>
  <c r="AD25" i="38"/>
  <c r="AE24" i="38"/>
  <c r="AD22" i="38"/>
  <c r="G965" i="39"/>
  <c r="H964" i="39"/>
  <c r="I964" i="39"/>
  <c r="J964" i="39"/>
  <c r="K963" i="39"/>
  <c r="AF30" i="38"/>
  <c r="AE30" i="38"/>
  <c r="AE6" i="38"/>
  <c r="AE5" i="38"/>
  <c r="AE8" i="38"/>
  <c r="AE7" i="38"/>
  <c r="AE9" i="38"/>
  <c r="AE10" i="38"/>
  <c r="AE12" i="38"/>
  <c r="AE11" i="38"/>
  <c r="AE13" i="38"/>
  <c r="AE17" i="38"/>
  <c r="AE15" i="38"/>
  <c r="AE14" i="38"/>
  <c r="AE16" i="38"/>
  <c r="AE18" i="38"/>
  <c r="AE19" i="38"/>
  <c r="AE20" i="38"/>
  <c r="AE25" i="38"/>
  <c r="AK28" i="38"/>
  <c r="AI28" i="38"/>
  <c r="AJ28" i="38"/>
  <c r="AH29" i="38"/>
  <c r="AE27" i="38"/>
  <c r="AE26" i="38"/>
  <c r="K964" i="39"/>
  <c r="I965" i="39"/>
  <c r="G966" i="39"/>
  <c r="J965" i="39"/>
  <c r="H965" i="39"/>
  <c r="AK29" i="38"/>
  <c r="AH30" i="38"/>
  <c r="AI29" i="38"/>
  <c r="AJ29" i="38"/>
  <c r="J966" i="39"/>
  <c r="I966" i="39"/>
  <c r="H966" i="39"/>
  <c r="K966" i="39"/>
  <c r="G967" i="39"/>
  <c r="K965" i="39"/>
  <c r="AK30" i="38"/>
  <c r="AI30" i="38"/>
  <c r="AJ30" i="38"/>
  <c r="I967" i="39"/>
  <c r="J967" i="39"/>
  <c r="H967" i="39"/>
  <c r="K967" i="39"/>
  <c r="G968" i="39"/>
  <c r="G25" i="36"/>
  <c r="G24" i="36"/>
  <c r="G23" i="36"/>
  <c r="L22" i="36"/>
  <c r="G22" i="36"/>
  <c r="L21" i="36"/>
  <c r="G21" i="36"/>
  <c r="O17" i="36" s="1"/>
  <c r="H17" i="36"/>
  <c r="I17" i="36"/>
  <c r="J17" i="36"/>
  <c r="E17" i="36"/>
  <c r="F17" i="36" s="1"/>
  <c r="G969" i="39"/>
  <c r="H968" i="39"/>
  <c r="J968" i="39"/>
  <c r="I968" i="39"/>
  <c r="H8" i="29"/>
  <c r="K968" i="39"/>
  <c r="J969" i="39"/>
  <c r="G970" i="39"/>
  <c r="I969" i="39"/>
  <c r="H969" i="39"/>
  <c r="C14" i="29"/>
  <c r="AB23" i="29" s="1"/>
  <c r="J970" i="39"/>
  <c r="H970" i="39"/>
  <c r="I970" i="39"/>
  <c r="G971" i="39"/>
  <c r="K969" i="39"/>
  <c r="F6" i="17"/>
  <c r="G6" i="17" s="1"/>
  <c r="L6" i="17" s="1"/>
  <c r="P6" i="17" s="1"/>
  <c r="I971" i="39"/>
  <c r="J971" i="39"/>
  <c r="G972" i="39"/>
  <c r="H971" i="39"/>
  <c r="K971" i="39"/>
  <c r="K970" i="39"/>
  <c r="G973" i="39"/>
  <c r="H972" i="39"/>
  <c r="J972" i="39"/>
  <c r="I972" i="39"/>
  <c r="A20" i="17"/>
  <c r="A21" i="17"/>
  <c r="K972" i="39"/>
  <c r="J973" i="39"/>
  <c r="G974" i="39"/>
  <c r="I973" i="39"/>
  <c r="H973" i="39"/>
  <c r="F21" i="17"/>
  <c r="G21" i="17" s="1"/>
  <c r="L21" i="17" s="1"/>
  <c r="P21" i="17" s="1"/>
  <c r="F20" i="17"/>
  <c r="G20" i="17" s="1"/>
  <c r="L20" i="17" s="1"/>
  <c r="P20" i="17" s="1"/>
  <c r="K973" i="39"/>
  <c r="J974" i="39"/>
  <c r="G975" i="39"/>
  <c r="H974" i="39"/>
  <c r="I974" i="39"/>
  <c r="J11" i="23"/>
  <c r="L11" i="23"/>
  <c r="J10" i="23"/>
  <c r="L10" i="23"/>
  <c r="I975" i="39"/>
  <c r="G976" i="39"/>
  <c r="H975" i="39"/>
  <c r="K975" i="39"/>
  <c r="J975" i="39"/>
  <c r="K974" i="39"/>
  <c r="G26" i="28"/>
  <c r="G25" i="28"/>
  <c r="G24" i="28"/>
  <c r="G23" i="28"/>
  <c r="G22" i="28"/>
  <c r="O18" i="28" s="1"/>
  <c r="H18" i="28"/>
  <c r="I18" i="28" s="1"/>
  <c r="J18" i="28" s="1"/>
  <c r="E18" i="28"/>
  <c r="F18" i="28" s="1"/>
  <c r="G977" i="39"/>
  <c r="H976" i="39"/>
  <c r="I976" i="39"/>
  <c r="J976" i="39"/>
  <c r="K976" i="39"/>
  <c r="G978" i="39"/>
  <c r="H977" i="39"/>
  <c r="J977" i="39"/>
  <c r="I977" i="39"/>
  <c r="J978" i="39"/>
  <c r="G979" i="39"/>
  <c r="H978" i="39"/>
  <c r="K978" i="39"/>
  <c r="I978" i="39"/>
  <c r="K977" i="39"/>
  <c r="I979" i="39"/>
  <c r="G980" i="39"/>
  <c r="H979" i="39"/>
  <c r="K979" i="39"/>
  <c r="J979" i="39"/>
  <c r="G981" i="39"/>
  <c r="H980" i="39"/>
  <c r="I980" i="39"/>
  <c r="J980" i="39"/>
  <c r="K5" i="18"/>
  <c r="AB21" i="29"/>
  <c r="AB17" i="29"/>
  <c r="AB13" i="29"/>
  <c r="AB9" i="29"/>
  <c r="AB5" i="29"/>
  <c r="AD1" i="29"/>
  <c r="AF68" i="27"/>
  <c r="AD68" i="27"/>
  <c r="AB68" i="27"/>
  <c r="AF67" i="27"/>
  <c r="AD67" i="27"/>
  <c r="AB67" i="27"/>
  <c r="AF66" i="27"/>
  <c r="AD66" i="27"/>
  <c r="AB66" i="27"/>
  <c r="AF65" i="27"/>
  <c r="AD65" i="27"/>
  <c r="AB65" i="27"/>
  <c r="AF64" i="27"/>
  <c r="AD64" i="27"/>
  <c r="AB64" i="27"/>
  <c r="AA64" i="27"/>
  <c r="AG68" i="27"/>
  <c r="AA59" i="27"/>
  <c r="AF63" i="27"/>
  <c r="AF58" i="27"/>
  <c r="AD58" i="27"/>
  <c r="AB58" i="27"/>
  <c r="AF57" i="27"/>
  <c r="AD57" i="27"/>
  <c r="AB57" i="27"/>
  <c r="AG56" i="27"/>
  <c r="AF56" i="27"/>
  <c r="AD56" i="27"/>
  <c r="AC56" i="27"/>
  <c r="AB56" i="27"/>
  <c r="AF55" i="27"/>
  <c r="AE55" i="27"/>
  <c r="AD55" i="27"/>
  <c r="AB55" i="27"/>
  <c r="AG54" i="27"/>
  <c r="AF54" i="27"/>
  <c r="AD54" i="27"/>
  <c r="AC54" i="27"/>
  <c r="AB54" i="27"/>
  <c r="AA54" i="27"/>
  <c r="AE58" i="27"/>
  <c r="AG53" i="27"/>
  <c r="AC53" i="27"/>
  <c r="AE52" i="27"/>
  <c r="AG51" i="27"/>
  <c r="AC51" i="27"/>
  <c r="AE50" i="27"/>
  <c r="AG49" i="27"/>
  <c r="AC49" i="27"/>
  <c r="AA49" i="27"/>
  <c r="AE53" i="27"/>
  <c r="AF48" i="27"/>
  <c r="AD48" i="27"/>
  <c r="AB48" i="27"/>
  <c r="AF47" i="27"/>
  <c r="AD47" i="27"/>
  <c r="AB47" i="27"/>
  <c r="AF46" i="27"/>
  <c r="AD46" i="27"/>
  <c r="AB46" i="27"/>
  <c r="AF45" i="27"/>
  <c r="AD45" i="27"/>
  <c r="AB45" i="27"/>
  <c r="AF44" i="27"/>
  <c r="AD44" i="27"/>
  <c r="AB44" i="27"/>
  <c r="AA44" i="27"/>
  <c r="AG48" i="27"/>
  <c r="AG43" i="27"/>
  <c r="AC43" i="27"/>
  <c r="AE42" i="27"/>
  <c r="AG41" i="27"/>
  <c r="AC41" i="27"/>
  <c r="AE40" i="27"/>
  <c r="AG39" i="27"/>
  <c r="AC39" i="27"/>
  <c r="AA39" i="27"/>
  <c r="AE43" i="27"/>
  <c r="AG38" i="27"/>
  <c r="AF38" i="27"/>
  <c r="AD38" i="27"/>
  <c r="AC38" i="27"/>
  <c r="AB38" i="27"/>
  <c r="AF37" i="27"/>
  <c r="AE37" i="27"/>
  <c r="AD37" i="27"/>
  <c r="AB37" i="27"/>
  <c r="AG36" i="27"/>
  <c r="AF36" i="27"/>
  <c r="AD36" i="27"/>
  <c r="AC36" i="27"/>
  <c r="AB36" i="27"/>
  <c r="AF35" i="27"/>
  <c r="AE35" i="27"/>
  <c r="AD35" i="27"/>
  <c r="AB35" i="27"/>
  <c r="AG34" i="27"/>
  <c r="AF34" i="27"/>
  <c r="AD34" i="27"/>
  <c r="AC34" i="27"/>
  <c r="AB34" i="27"/>
  <c r="AA34" i="27"/>
  <c r="AE38" i="27"/>
  <c r="N32" i="27"/>
  <c r="AA29" i="27"/>
  <c r="AG32" i="27"/>
  <c r="AG26" i="27"/>
  <c r="AF25" i="27"/>
  <c r="AD24" i="27"/>
  <c r="AA24" i="27"/>
  <c r="AC28" i="27"/>
  <c r="AG23" i="27"/>
  <c r="AE23" i="27"/>
  <c r="AD23" i="27"/>
  <c r="AC23" i="27"/>
  <c r="AG22" i="27"/>
  <c r="AF22" i="27"/>
  <c r="AE22" i="27"/>
  <c r="AC22" i="27"/>
  <c r="AB22" i="27"/>
  <c r="Q22" i="27" a="1"/>
  <c r="Q22" i="27"/>
  <c r="P22" i="27" a="1"/>
  <c r="P22" i="27"/>
  <c r="O22" i="27" a="1"/>
  <c r="O22" i="27"/>
  <c r="AG21" i="27"/>
  <c r="AF21" i="27"/>
  <c r="AE21" i="27"/>
  <c r="AC21" i="27"/>
  <c r="AB21" i="27"/>
  <c r="Q21" i="27" a="1"/>
  <c r="Q21" i="27"/>
  <c r="P21" i="27" a="1"/>
  <c r="P21" i="27"/>
  <c r="O21" i="27" a="1"/>
  <c r="O21" i="27"/>
  <c r="AG20" i="27"/>
  <c r="AF20" i="27"/>
  <c r="AE20" i="27"/>
  <c r="AC20" i="27"/>
  <c r="AB20" i="27"/>
  <c r="I20" i="27"/>
  <c r="J14" i="27"/>
  <c r="AG19" i="27"/>
  <c r="AF19" i="27"/>
  <c r="AD19" i="27"/>
  <c r="AC19" i="27"/>
  <c r="AB19" i="27"/>
  <c r="AA19" i="27"/>
  <c r="AF23" i="27"/>
  <c r="Q19" i="27"/>
  <c r="P19" i="27"/>
  <c r="O19" i="27"/>
  <c r="AG18" i="27"/>
  <c r="AE18" i="27"/>
  <c r="AB18" i="27"/>
  <c r="Q18" i="27"/>
  <c r="P18" i="27"/>
  <c r="O18" i="27"/>
  <c r="J18" i="27"/>
  <c r="AE17" i="27"/>
  <c r="AC17" i="27"/>
  <c r="Q17" i="27"/>
  <c r="P17" i="27"/>
  <c r="O17" i="27"/>
  <c r="AG16" i="27"/>
  <c r="AE16" i="27"/>
  <c r="AB16" i="27"/>
  <c r="Q16" i="27"/>
  <c r="P16" i="27"/>
  <c r="O16" i="27"/>
  <c r="J16" i="27"/>
  <c r="AE15" i="27"/>
  <c r="AC15" i="27"/>
  <c r="Q15" i="27"/>
  <c r="P15" i="27"/>
  <c r="O15" i="27"/>
  <c r="J15" i="27"/>
  <c r="AF14" i="27"/>
  <c r="AD14" i="27"/>
  <c r="AB14" i="27"/>
  <c r="AA14" i="27"/>
  <c r="Q14" i="27"/>
  <c r="P14" i="27"/>
  <c r="O14" i="27"/>
  <c r="AG13" i="27"/>
  <c r="AC13" i="27"/>
  <c r="Q13" i="27"/>
  <c r="P13" i="27"/>
  <c r="O13" i="27"/>
  <c r="AE12" i="27"/>
  <c r="Q12" i="27"/>
  <c r="P12" i="27"/>
  <c r="O12" i="27"/>
  <c r="AG11" i="27"/>
  <c r="AC11" i="27"/>
  <c r="Q11" i="27"/>
  <c r="P11" i="27"/>
  <c r="O11" i="27"/>
  <c r="AE10" i="27"/>
  <c r="Q10" i="27"/>
  <c r="P10" i="27"/>
  <c r="O10" i="27"/>
  <c r="AG9" i="27"/>
  <c r="AC9" i="27"/>
  <c r="AA9" i="27"/>
  <c r="AF13" i="27"/>
  <c r="Q9" i="27"/>
  <c r="P9" i="27"/>
  <c r="O9" i="27"/>
  <c r="J9" i="27"/>
  <c r="Q8" i="27"/>
  <c r="P8" i="27"/>
  <c r="P20" i="27" a="1"/>
  <c r="P20" i="27"/>
  <c r="O8" i="27"/>
  <c r="J8" i="27"/>
  <c r="AG7" i="27"/>
  <c r="AE7" i="27"/>
  <c r="AC7" i="27"/>
  <c r="AG6" i="27"/>
  <c r="AF6" i="27"/>
  <c r="AE6" i="27"/>
  <c r="AD6" i="27"/>
  <c r="AC6" i="27"/>
  <c r="AB6" i="27"/>
  <c r="AF5" i="27"/>
  <c r="AD5" i="27"/>
  <c r="AB5" i="27"/>
  <c r="AA4" i="27"/>
  <c r="Q20" i="27" a="1"/>
  <c r="Q20" i="27"/>
  <c r="AD9" i="27"/>
  <c r="J10" i="27"/>
  <c r="AB10" i="27"/>
  <c r="AF10" i="27"/>
  <c r="AD11" i="27"/>
  <c r="J12" i="27"/>
  <c r="AB12" i="27"/>
  <c r="AF12" i="27"/>
  <c r="AD13" i="27"/>
  <c r="AD18" i="27"/>
  <c r="AF17" i="27"/>
  <c r="AB17" i="27"/>
  <c r="AD16" i="27"/>
  <c r="AF15" i="27"/>
  <c r="AB15" i="27"/>
  <c r="AE14" i="27"/>
  <c r="AD15" i="27"/>
  <c r="AC16" i="27"/>
  <c r="AD17" i="27"/>
  <c r="AC18" i="27"/>
  <c r="AF24" i="27"/>
  <c r="AB27" i="27"/>
  <c r="AC29" i="27"/>
  <c r="AE30" i="27"/>
  <c r="AG31" i="27"/>
  <c r="AC32" i="27"/>
  <c r="AE33" i="27"/>
  <c r="AE39" i="27"/>
  <c r="AG40" i="27"/>
  <c r="AC42" i="27"/>
  <c r="AE49" i="27"/>
  <c r="AG50" i="27"/>
  <c r="AC52" i="27"/>
  <c r="AE9" i="27"/>
  <c r="AC10" i="27"/>
  <c r="AG10" i="27"/>
  <c r="AE11" i="27"/>
  <c r="AG12" i="27"/>
  <c r="AD28" i="27"/>
  <c r="AG27" i="27"/>
  <c r="AC27" i="27"/>
  <c r="AF26" i="27"/>
  <c r="AB26" i="27"/>
  <c r="AE25" i="27"/>
  <c r="AG24" i="27"/>
  <c r="AC24" i="27"/>
  <c r="AF28" i="27"/>
  <c r="AB28" i="27"/>
  <c r="AE27" i="27"/>
  <c r="AD26" i="27"/>
  <c r="AG25" i="27"/>
  <c r="AC25" i="27"/>
  <c r="AE24" i="27"/>
  <c r="AC26" i="27"/>
  <c r="AD27" i="27"/>
  <c r="AE29" i="27"/>
  <c r="AG30" i="27"/>
  <c r="AE32" i="27"/>
  <c r="AG33" i="27"/>
  <c r="AC12" i="27"/>
  <c r="AE13" i="27"/>
  <c r="J19" i="27"/>
  <c r="J17" i="27"/>
  <c r="AB25" i="27"/>
  <c r="AE28" i="27"/>
  <c r="O20" i="27" a="1"/>
  <c r="O20" i="27"/>
  <c r="AB9" i="27"/>
  <c r="AF9" i="27"/>
  <c r="AD10" i="27"/>
  <c r="J11" i="27"/>
  <c r="AB11" i="27"/>
  <c r="AF11" i="27"/>
  <c r="AD12" i="27"/>
  <c r="J13" i="27"/>
  <c r="AB13" i="27"/>
  <c r="AC14" i="27"/>
  <c r="AG14" i="27"/>
  <c r="AG15" i="27"/>
  <c r="AF16" i="27"/>
  <c r="AG17" i="27"/>
  <c r="AF18" i="27"/>
  <c r="AB24" i="27"/>
  <c r="AD25" i="27"/>
  <c r="AE26" i="27"/>
  <c r="AF27" i="27"/>
  <c r="AG28" i="27"/>
  <c r="AG29" i="27"/>
  <c r="AC31" i="27"/>
  <c r="AF43" i="27"/>
  <c r="AB43" i="27"/>
  <c r="AD42" i="27"/>
  <c r="AF41" i="27"/>
  <c r="AB41" i="27"/>
  <c r="AD40" i="27"/>
  <c r="AF39" i="27"/>
  <c r="AB39" i="27"/>
  <c r="AD43" i="27"/>
  <c r="AF42" i="27"/>
  <c r="AB42" i="27"/>
  <c r="AD41" i="27"/>
  <c r="AF40" i="27"/>
  <c r="AB40" i="27"/>
  <c r="AD39" i="27"/>
  <c r="AC40" i="27"/>
  <c r="AE41" i="27"/>
  <c r="AG42" i="27"/>
  <c r="AD53" i="27"/>
  <c r="AF52" i="27"/>
  <c r="AB52" i="27"/>
  <c r="AD51" i="27"/>
  <c r="AF50" i="27"/>
  <c r="AB50" i="27"/>
  <c r="AD49" i="27"/>
  <c r="AF53" i="27"/>
  <c r="AB53" i="27"/>
  <c r="AD52" i="27"/>
  <c r="AF51" i="27"/>
  <c r="AB51" i="27"/>
  <c r="AD50" i="27"/>
  <c r="AF49" i="27"/>
  <c r="AB49" i="27"/>
  <c r="AC50" i="27"/>
  <c r="AE51" i="27"/>
  <c r="AG52" i="27"/>
  <c r="AD33" i="27"/>
  <c r="AF32" i="27"/>
  <c r="AB32" i="27"/>
  <c r="AD31" i="27"/>
  <c r="AF30" i="27"/>
  <c r="AB30" i="27"/>
  <c r="AD29" i="27"/>
  <c r="AF33" i="27"/>
  <c r="AB33" i="27"/>
  <c r="AD32" i="27"/>
  <c r="AF31" i="27"/>
  <c r="AB31" i="27"/>
  <c r="AD30" i="27"/>
  <c r="AF29" i="27"/>
  <c r="AB29" i="27"/>
  <c r="AC30" i="27"/>
  <c r="AE31" i="27"/>
  <c r="AC33" i="27"/>
  <c r="AC59" i="27"/>
  <c r="AG59" i="27"/>
  <c r="AE60" i="27"/>
  <c r="AC61" i="27"/>
  <c r="AG61" i="27"/>
  <c r="AE62" i="27"/>
  <c r="AC63" i="27"/>
  <c r="AG63" i="27"/>
  <c r="AE44" i="27"/>
  <c r="AC45" i="27"/>
  <c r="AG45" i="27"/>
  <c r="AE46" i="27"/>
  <c r="AC47" i="27"/>
  <c r="AG47" i="27"/>
  <c r="AE48" i="27"/>
  <c r="AE57" i="27"/>
  <c r="AC58" i="27"/>
  <c r="AG58" i="27"/>
  <c r="AD59" i="27"/>
  <c r="AB60" i="27"/>
  <c r="AF60" i="27"/>
  <c r="AD61" i="27"/>
  <c r="AB62" i="27"/>
  <c r="AF62" i="27"/>
  <c r="AD63" i="27"/>
  <c r="AE64" i="27"/>
  <c r="AC65" i="27"/>
  <c r="AG65" i="27"/>
  <c r="AE66" i="27"/>
  <c r="AC67" i="27"/>
  <c r="AG67" i="27"/>
  <c r="AE68" i="27"/>
  <c r="AE59" i="27"/>
  <c r="AC60" i="27"/>
  <c r="AG60" i="27"/>
  <c r="AE61" i="27"/>
  <c r="AC62" i="27"/>
  <c r="AG62" i="27"/>
  <c r="AE63" i="27"/>
  <c r="AE19" i="27"/>
  <c r="AD20" i="27"/>
  <c r="AD21" i="27"/>
  <c r="AD22" i="27"/>
  <c r="AB23" i="27"/>
  <c r="AE34" i="27"/>
  <c r="AC35" i="27"/>
  <c r="AG35" i="27"/>
  <c r="AE36" i="27"/>
  <c r="AC37" i="27"/>
  <c r="AG37" i="27"/>
  <c r="AC44" i="27"/>
  <c r="AG44" i="27"/>
  <c r="AE45" i="27"/>
  <c r="AC46" i="27"/>
  <c r="AG46" i="27"/>
  <c r="AE47" i="27"/>
  <c r="AC48" i="27"/>
  <c r="AE54" i="27"/>
  <c r="AC55" i="27"/>
  <c r="AG55" i="27"/>
  <c r="AE56" i="27"/>
  <c r="AC57" i="27"/>
  <c r="AG57" i="27"/>
  <c r="AB59" i="27"/>
  <c r="AF59" i="27"/>
  <c r="AD60" i="27"/>
  <c r="AB61" i="27"/>
  <c r="AF61" i="27"/>
  <c r="AD62" i="27"/>
  <c r="AB63" i="27"/>
  <c r="AC64" i="27"/>
  <c r="AG64" i="27"/>
  <c r="AE65" i="27"/>
  <c r="AC66" i="27"/>
  <c r="AG66" i="27"/>
  <c r="AE67" i="27"/>
  <c r="AC68" i="27"/>
  <c r="AD1" i="26"/>
  <c r="E16" i="26"/>
  <c r="E15" i="26"/>
  <c r="E14" i="26"/>
  <c r="E13" i="26"/>
  <c r="C39" i="26"/>
  <c r="E12" i="26"/>
  <c r="E11" i="26"/>
  <c r="C37" i="26"/>
  <c r="C38" i="26"/>
  <c r="AD1" i="25"/>
  <c r="E16" i="25"/>
  <c r="E15" i="25"/>
  <c r="E14" i="25"/>
  <c r="E13" i="25"/>
  <c r="G15" i="25"/>
  <c r="H15" i="25"/>
  <c r="E12" i="25"/>
  <c r="E11" i="25"/>
  <c r="AB5" i="23"/>
  <c r="AB6" i="23"/>
  <c r="AB7" i="23"/>
  <c r="AB8" i="23"/>
  <c r="AB9" i="23"/>
  <c r="AB10" i="23"/>
  <c r="AB11" i="23"/>
  <c r="AB12" i="23"/>
  <c r="AB13" i="23"/>
  <c r="AB14" i="23"/>
  <c r="AB15" i="23"/>
  <c r="AB16" i="23"/>
  <c r="AB17" i="23"/>
  <c r="AB18" i="23"/>
  <c r="AB19" i="23"/>
  <c r="AB20" i="23"/>
  <c r="AB21" i="23"/>
  <c r="AB22" i="23"/>
  <c r="AB23" i="23"/>
  <c r="AB24" i="23"/>
  <c r="AB4" i="23"/>
  <c r="G8" i="17"/>
  <c r="L8" i="17" s="1"/>
  <c r="P8" i="17" s="1"/>
  <c r="A8" i="17"/>
  <c r="G7" i="17"/>
  <c r="L7" i="17" s="1"/>
  <c r="P7" i="17" s="1"/>
  <c r="A7" i="17"/>
  <c r="C37" i="25"/>
  <c r="C38" i="25"/>
  <c r="D6" i="8"/>
  <c r="D5" i="8"/>
  <c r="G53" i="8"/>
  <c r="N31" i="21"/>
  <c r="N32" i="21"/>
  <c r="N33" i="21"/>
  <c r="N34" i="21"/>
  <c r="N35" i="21"/>
  <c r="N36" i="21"/>
  <c r="N30" i="21"/>
  <c r="M31" i="21"/>
  <c r="M32" i="21"/>
  <c r="M33" i="21"/>
  <c r="M34" i="21"/>
  <c r="M30" i="21"/>
  <c r="L31" i="21"/>
  <c r="L32" i="21"/>
  <c r="L33" i="21"/>
  <c r="L34" i="21"/>
  <c r="L35" i="21"/>
  <c r="M35" i="21"/>
  <c r="L36" i="21"/>
  <c r="M36" i="21"/>
  <c r="L30" i="21"/>
  <c r="C23" i="21"/>
  <c r="E23" i="21"/>
  <c r="F23" i="21"/>
  <c r="D23" i="21"/>
  <c r="G23" i="21"/>
  <c r="C24" i="21"/>
  <c r="D24" i="21"/>
  <c r="G24" i="21"/>
  <c r="C25" i="21"/>
  <c r="D25" i="21"/>
  <c r="E25" i="21"/>
  <c r="F25" i="21"/>
  <c r="G25" i="21"/>
  <c r="C26" i="21"/>
  <c r="D26" i="21"/>
  <c r="E26" i="21"/>
  <c r="F26" i="21"/>
  <c r="G26" i="21"/>
  <c r="C27" i="21"/>
  <c r="E27" i="21"/>
  <c r="F27" i="21"/>
  <c r="D27" i="21"/>
  <c r="G27" i="21"/>
  <c r="C28" i="21"/>
  <c r="G28" i="21"/>
  <c r="C29" i="21"/>
  <c r="D29" i="21"/>
  <c r="E29" i="21"/>
  <c r="F29" i="21"/>
  <c r="G29" i="21"/>
  <c r="C30" i="21"/>
  <c r="D30" i="21"/>
  <c r="E30" i="21"/>
  <c r="F30" i="21"/>
  <c r="G30" i="21"/>
  <c r="C31" i="21"/>
  <c r="E31" i="21"/>
  <c r="F31" i="21"/>
  <c r="D31" i="21"/>
  <c r="G31" i="21"/>
  <c r="C22" i="21"/>
  <c r="D22" i="21"/>
  <c r="E28" i="21"/>
  <c r="F28" i="21"/>
  <c r="E24" i="21"/>
  <c r="F24" i="21"/>
  <c r="D28" i="21"/>
  <c r="G22" i="21"/>
  <c r="E22" i="21"/>
  <c r="F22" i="21"/>
  <c r="E9" i="16"/>
  <c r="E10" i="16" s="1"/>
  <c r="F19" i="2"/>
  <c r="D19" i="2" s="1"/>
  <c r="F15" i="2"/>
  <c r="D15" i="2" s="1"/>
  <c r="F11" i="2"/>
  <c r="D11" i="2" s="1"/>
  <c r="F8" i="2"/>
  <c r="D8" i="2" s="1"/>
  <c r="F5" i="2"/>
  <c r="D5" i="2" s="1"/>
  <c r="A9" i="17"/>
  <c r="A14" i="17"/>
  <c r="A15" i="17"/>
  <c r="A16" i="17"/>
  <c r="A17" i="17"/>
  <c r="A18" i="17"/>
  <c r="A19" i="17"/>
  <c r="G9" i="17"/>
  <c r="L9" i="17" s="1"/>
  <c r="P9" i="17" s="1"/>
  <c r="F14" i="17"/>
  <c r="G14" i="17" s="1"/>
  <c r="L14" i="17" s="1"/>
  <c r="P14" i="17" s="1"/>
  <c r="F15" i="17"/>
  <c r="G15" i="17" s="1"/>
  <c r="L15" i="17" s="1"/>
  <c r="P15" i="17" s="1"/>
  <c r="F16" i="17"/>
  <c r="G16" i="17" s="1"/>
  <c r="L16" i="17" s="1"/>
  <c r="P16" i="17" s="1"/>
  <c r="F17" i="17"/>
  <c r="G17" i="17" s="1"/>
  <c r="L17" i="17" s="1"/>
  <c r="P17" i="17" s="1"/>
  <c r="F18" i="17"/>
  <c r="G18" i="17" s="1"/>
  <c r="L18" i="17" s="1"/>
  <c r="P18" i="17" s="1"/>
  <c r="F19" i="17"/>
  <c r="G19" i="17" s="1"/>
  <c r="L19" i="17" s="1"/>
  <c r="P19" i="17" s="1"/>
  <c r="F4" i="17"/>
  <c r="G4" i="17" s="1"/>
  <c r="L4" i="17" s="1"/>
  <c r="P4" i="17" s="1"/>
  <c r="F17" i="16"/>
  <c r="F16" i="16"/>
  <c r="F10" i="16"/>
  <c r="D9" i="16"/>
  <c r="D10" i="16" s="1"/>
  <c r="F9" i="16"/>
  <c r="G9" i="16"/>
  <c r="G10" i="16" s="1"/>
  <c r="C9" i="16"/>
  <c r="C10" i="16" s="1"/>
  <c r="D10" i="9"/>
  <c r="D19" i="9"/>
  <c r="AD1" i="23"/>
  <c r="B42" i="8"/>
  <c r="B43" i="8"/>
  <c r="B44" i="8"/>
  <c r="B45" i="8"/>
  <c r="B46" i="8"/>
  <c r="B47" i="8"/>
  <c r="B48" i="8"/>
  <c r="B49" i="8"/>
  <c r="B50" i="8"/>
  <c r="B51" i="8"/>
  <c r="B52" i="8"/>
  <c r="B53" i="8"/>
  <c r="B54" i="8"/>
  <c r="B55" i="8"/>
  <c r="B56" i="8"/>
  <c r="B41" i="8"/>
  <c r="D4" i="8"/>
  <c r="C42" i="8"/>
  <c r="D42" i="8"/>
  <c r="D9" i="8"/>
  <c r="N46" i="8"/>
  <c r="O46" i="8"/>
  <c r="D5" i="6"/>
  <c r="D6" i="6"/>
  <c r="D7" i="6"/>
  <c r="D8" i="6"/>
  <c r="D9" i="6"/>
  <c r="D10" i="6"/>
  <c r="D11" i="6"/>
  <c r="D12" i="6"/>
  <c r="D4" i="6"/>
  <c r="A5" i="6"/>
  <c r="A6" i="6"/>
  <c r="A7" i="6"/>
  <c r="A8" i="6"/>
  <c r="A9" i="6"/>
  <c r="A10" i="6"/>
  <c r="A11" i="6"/>
  <c r="A12" i="6"/>
  <c r="A4" i="6"/>
  <c r="M13" i="1"/>
  <c r="M12" i="1"/>
  <c r="F4" i="1"/>
  <c r="D7" i="1"/>
  <c r="D10" i="1" s="1"/>
  <c r="D6" i="1"/>
  <c r="K15" i="1"/>
  <c r="M15" i="1" s="1"/>
  <c r="N49" i="8"/>
  <c r="O49" i="8"/>
  <c r="N41" i="8"/>
  <c r="O41" i="8"/>
  <c r="N52" i="8"/>
  <c r="O52" i="8"/>
  <c r="N44" i="8"/>
  <c r="O44" i="8"/>
  <c r="N51" i="8"/>
  <c r="O51" i="8"/>
  <c r="N43" i="8"/>
  <c r="O43" i="8"/>
  <c r="N50" i="8"/>
  <c r="O50" i="8"/>
  <c r="N42" i="8"/>
  <c r="O42" i="8"/>
  <c r="P42" i="8"/>
  <c r="N53" i="8"/>
  <c r="O53" i="8"/>
  <c r="N45" i="8"/>
  <c r="O45" i="8"/>
  <c r="N56" i="8"/>
  <c r="O56" i="8"/>
  <c r="N48" i="8"/>
  <c r="O48" i="8"/>
  <c r="N55" i="8"/>
  <c r="O55" i="8"/>
  <c r="N47" i="8"/>
  <c r="O47" i="8"/>
  <c r="N54" i="8"/>
  <c r="O54" i="8"/>
  <c r="H9" i="16"/>
  <c r="H10" i="16" s="1"/>
  <c r="E16" i="29"/>
  <c r="K980" i="39"/>
  <c r="H981" i="39"/>
  <c r="I981" i="39"/>
  <c r="J981" i="39"/>
  <c r="G982" i="39"/>
  <c r="O32" i="27"/>
  <c r="O29" i="27"/>
  <c r="O27" i="27"/>
  <c r="O28" i="27"/>
  <c r="O26" i="27"/>
  <c r="P32" i="27"/>
  <c r="Q32" i="27"/>
  <c r="E47" i="8"/>
  <c r="F47" i="8"/>
  <c r="E52" i="8"/>
  <c r="F52" i="8"/>
  <c r="E49" i="8"/>
  <c r="F49" i="8"/>
  <c r="E46" i="8"/>
  <c r="F46" i="8"/>
  <c r="E51" i="8"/>
  <c r="F51" i="8"/>
  <c r="E56" i="8"/>
  <c r="F56" i="8"/>
  <c r="G42" i="8"/>
  <c r="G43" i="8"/>
  <c r="G48" i="8"/>
  <c r="G45" i="8"/>
  <c r="E41" i="8"/>
  <c r="F41" i="8"/>
  <c r="E50" i="8"/>
  <c r="F50" i="8"/>
  <c r="E53" i="8"/>
  <c r="F53" i="8"/>
  <c r="H53" i="8"/>
  <c r="G46" i="8"/>
  <c r="G47" i="8"/>
  <c r="G52" i="8"/>
  <c r="H52" i="8"/>
  <c r="I52" i="8"/>
  <c r="G49" i="8"/>
  <c r="E42" i="8"/>
  <c r="F42" i="8"/>
  <c r="G50" i="8"/>
  <c r="E54" i="8"/>
  <c r="F54" i="8"/>
  <c r="G55" i="8"/>
  <c r="E48" i="8"/>
  <c r="F48" i="8"/>
  <c r="G56" i="8"/>
  <c r="E44" i="8"/>
  <c r="F44" i="8"/>
  <c r="G41" i="8"/>
  <c r="H41" i="8"/>
  <c r="I41" i="8"/>
  <c r="G54" i="8"/>
  <c r="E43" i="8"/>
  <c r="F43" i="8"/>
  <c r="G51" i="8"/>
  <c r="E55" i="8"/>
  <c r="F55" i="8"/>
  <c r="G44" i="8"/>
  <c r="E45" i="8"/>
  <c r="F45" i="8"/>
  <c r="C39" i="25"/>
  <c r="C40" i="25"/>
  <c r="C41" i="25"/>
  <c r="C42" i="25"/>
  <c r="C34" i="25"/>
  <c r="E34" i="25"/>
  <c r="C46" i="8"/>
  <c r="D46" i="8"/>
  <c r="P46" i="8"/>
  <c r="C43" i="8"/>
  <c r="D43" i="8"/>
  <c r="C55" i="8"/>
  <c r="D55" i="8"/>
  <c r="P55" i="8"/>
  <c r="C49" i="8"/>
  <c r="D49" i="8"/>
  <c r="P49" i="8"/>
  <c r="C48" i="8"/>
  <c r="D48" i="8"/>
  <c r="C50" i="8"/>
  <c r="D50" i="8"/>
  <c r="C47" i="8"/>
  <c r="D47" i="8"/>
  <c r="C52" i="8"/>
  <c r="D52" i="8"/>
  <c r="C53" i="8"/>
  <c r="D53" i="8"/>
  <c r="P53" i="8"/>
  <c r="C51" i="8"/>
  <c r="D51" i="8"/>
  <c r="P51" i="8"/>
  <c r="C45" i="8"/>
  <c r="D45" i="8"/>
  <c r="C54" i="8"/>
  <c r="D54" i="8"/>
  <c r="C44" i="8"/>
  <c r="D44" i="8"/>
  <c r="C56" i="8"/>
  <c r="D56" i="8"/>
  <c r="P56" i="8"/>
  <c r="C41" i="8"/>
  <c r="D41" i="8"/>
  <c r="F32" i="21"/>
  <c r="F19" i="16"/>
  <c r="P50" i="8"/>
  <c r="C40" i="26"/>
  <c r="C41" i="26"/>
  <c r="C42" i="26"/>
  <c r="C34" i="26"/>
  <c r="E34" i="26"/>
  <c r="G15" i="26"/>
  <c r="H15" i="26"/>
  <c r="H46" i="8"/>
  <c r="H43" i="8"/>
  <c r="K43" i="8"/>
  <c r="H54" i="8"/>
  <c r="K54" i="8"/>
  <c r="P52" i="8"/>
  <c r="P54" i="8"/>
  <c r="P43" i="8"/>
  <c r="P41" i="8"/>
  <c r="P45" i="8"/>
  <c r="P47" i="8"/>
  <c r="P44" i="8"/>
  <c r="P48" i="8"/>
  <c r="H8" i="16"/>
  <c r="I7" i="16" s="1"/>
  <c r="I8" i="16" s="1"/>
  <c r="K981" i="39"/>
  <c r="J982" i="39"/>
  <c r="H982" i="39"/>
  <c r="I982" i="39"/>
  <c r="G983" i="39"/>
  <c r="K46" i="8"/>
  <c r="J46" i="8"/>
  <c r="H49" i="8"/>
  <c r="H45" i="8"/>
  <c r="K45" i="8"/>
  <c r="H56" i="8"/>
  <c r="J56" i="8"/>
  <c r="H50" i="8"/>
  <c r="K50" i="8"/>
  <c r="H47" i="8"/>
  <c r="J47" i="8"/>
  <c r="J52" i="8"/>
  <c r="I46" i="8"/>
  <c r="H48" i="8"/>
  <c r="I48" i="8"/>
  <c r="H42" i="8"/>
  <c r="J42" i="8"/>
  <c r="K52" i="8"/>
  <c r="J53" i="8"/>
  <c r="I53" i="8"/>
  <c r="K53" i="8"/>
  <c r="J43" i="8"/>
  <c r="J49" i="8"/>
  <c r="K41" i="8"/>
  <c r="H51" i="8"/>
  <c r="K56" i="8"/>
  <c r="J41" i="8"/>
  <c r="H44" i="8"/>
  <c r="H55" i="8"/>
  <c r="J50" i="8"/>
  <c r="I50" i="8"/>
  <c r="I43" i="8"/>
  <c r="I47" i="8"/>
  <c r="I45" i="8"/>
  <c r="K47" i="8"/>
  <c r="L47" i="8"/>
  <c r="M47" i="8"/>
  <c r="J45" i="8"/>
  <c r="L45" i="8"/>
  <c r="M45" i="8"/>
  <c r="I42" i="8"/>
  <c r="J54" i="8"/>
  <c r="L54" i="8"/>
  <c r="I54" i="8"/>
  <c r="L46" i="8"/>
  <c r="M46" i="8"/>
  <c r="K42" i="8"/>
  <c r="L42" i="8"/>
  <c r="Q42" i="8"/>
  <c r="K982" i="39"/>
  <c r="I983" i="39"/>
  <c r="H983" i="39"/>
  <c r="J983" i="39"/>
  <c r="G984" i="39"/>
  <c r="I56" i="8"/>
  <c r="K48" i="8"/>
  <c r="L41" i="8"/>
  <c r="Q41" i="8"/>
  <c r="I49" i="8"/>
  <c r="K49" i="8"/>
  <c r="L49" i="8"/>
  <c r="L53" i="8"/>
  <c r="Q53" i="8"/>
  <c r="L43" i="8"/>
  <c r="M43" i="8"/>
  <c r="L52" i="8"/>
  <c r="J48" i="8"/>
  <c r="L56" i="8"/>
  <c r="M56" i="8"/>
  <c r="J51" i="8"/>
  <c r="I51" i="8"/>
  <c r="K51" i="8"/>
  <c r="K55" i="8"/>
  <c r="J55" i="8"/>
  <c r="I55" i="8"/>
  <c r="K44" i="8"/>
  <c r="I44" i="8"/>
  <c r="J44" i="8"/>
  <c r="L50" i="8"/>
  <c r="M50" i="8"/>
  <c r="Q46" i="8"/>
  <c r="Q47" i="8"/>
  <c r="M54" i="8"/>
  <c r="Q54" i="8"/>
  <c r="Q45" i="8"/>
  <c r="L48" i="8"/>
  <c r="M48" i="8"/>
  <c r="Q56" i="8"/>
  <c r="M53" i="8"/>
  <c r="Q43" i="8"/>
  <c r="K983" i="39"/>
  <c r="G985" i="39"/>
  <c r="H984" i="39"/>
  <c r="I984" i="39"/>
  <c r="J984" i="39"/>
  <c r="Q49" i="8"/>
  <c r="M49" i="8"/>
  <c r="M41" i="8"/>
  <c r="M42" i="8"/>
  <c r="M52" i="8"/>
  <c r="Q52" i="8"/>
  <c r="L51" i="8"/>
  <c r="L44" i="8"/>
  <c r="L55" i="8"/>
  <c r="Q50" i="8"/>
  <c r="Q48" i="8"/>
  <c r="K984" i="39"/>
  <c r="I985" i="39"/>
  <c r="J985" i="39"/>
  <c r="G986" i="39"/>
  <c r="H985" i="39"/>
  <c r="Q51" i="8"/>
  <c r="M51" i="8"/>
  <c r="M44" i="8"/>
  <c r="Q44" i="8"/>
  <c r="Q55" i="8"/>
  <c r="M55" i="8"/>
  <c r="J986" i="39"/>
  <c r="I986" i="39"/>
  <c r="G987" i="39"/>
  <c r="H986" i="39"/>
  <c r="K986" i="39"/>
  <c r="K985" i="39"/>
  <c r="I987" i="39"/>
  <c r="J987" i="39"/>
  <c r="H987" i="39"/>
  <c r="K987" i="39"/>
  <c r="G988" i="39"/>
  <c r="G989" i="39"/>
  <c r="H988" i="39"/>
  <c r="J988" i="39"/>
  <c r="I988" i="39"/>
  <c r="K988" i="39"/>
  <c r="J989" i="39"/>
  <c r="G990" i="39"/>
  <c r="H989" i="39"/>
  <c r="I989" i="39"/>
  <c r="J990" i="39"/>
  <c r="G991" i="39"/>
  <c r="I990" i="39"/>
  <c r="H990" i="39"/>
  <c r="K990" i="39"/>
  <c r="K989" i="39"/>
  <c r="I991" i="39"/>
  <c r="G992" i="39"/>
  <c r="H991" i="39"/>
  <c r="K991" i="39"/>
  <c r="J991" i="39"/>
  <c r="G993" i="39"/>
  <c r="H992" i="39"/>
  <c r="I992" i="39"/>
  <c r="J992" i="39"/>
  <c r="K992" i="39"/>
  <c r="G994" i="39"/>
  <c r="H993" i="39"/>
  <c r="I993" i="39"/>
  <c r="J993" i="39"/>
  <c r="K993" i="39"/>
  <c r="J994" i="39"/>
  <c r="G995" i="39"/>
  <c r="H994" i="39"/>
  <c r="I994" i="39"/>
  <c r="I995" i="39"/>
  <c r="G996" i="39"/>
  <c r="H995" i="39"/>
  <c r="K995" i="39"/>
  <c r="J995" i="39"/>
  <c r="K994" i="39"/>
  <c r="G997" i="39"/>
  <c r="H996" i="39"/>
  <c r="I996" i="39"/>
  <c r="J996" i="39"/>
  <c r="K996" i="39"/>
  <c r="H997" i="39"/>
  <c r="I997" i="39"/>
  <c r="J997" i="39"/>
  <c r="G998" i="39"/>
  <c r="K997" i="39"/>
  <c r="J998" i="39"/>
  <c r="H998" i="39"/>
  <c r="K998" i="39"/>
  <c r="I998" i="39"/>
  <c r="G999" i="39"/>
  <c r="I999" i="39"/>
  <c r="H999" i="39"/>
  <c r="K999" i="39"/>
  <c r="J999" i="39"/>
  <c r="G1000" i="39"/>
  <c r="G1001" i="39"/>
  <c r="H1000" i="39"/>
  <c r="I1000" i="39"/>
  <c r="J1000" i="39"/>
  <c r="K1000" i="39"/>
  <c r="I1001" i="39"/>
  <c r="J1001" i="39"/>
  <c r="G1002" i="39"/>
  <c r="H1001" i="39"/>
  <c r="K1001" i="39"/>
  <c r="J1002" i="39"/>
  <c r="I1002" i="39"/>
  <c r="G1003" i="39"/>
  <c r="H1002" i="39"/>
  <c r="K1002" i="39"/>
  <c r="I1003" i="39"/>
  <c r="J1003" i="39"/>
  <c r="G1004" i="39"/>
  <c r="H1003" i="39"/>
  <c r="K1003" i="39"/>
  <c r="G1005" i="39"/>
  <c r="H1004" i="39"/>
  <c r="J1004" i="39"/>
  <c r="I1004" i="39"/>
  <c r="K1004" i="39"/>
  <c r="J1005" i="39"/>
  <c r="G1006" i="39"/>
  <c r="I1005" i="39"/>
  <c r="H1005" i="39"/>
  <c r="J1006" i="39"/>
  <c r="G1007" i="39"/>
  <c r="H1006" i="39"/>
  <c r="I1006" i="39"/>
  <c r="K1005" i="39"/>
  <c r="K1006" i="39"/>
  <c r="I1007" i="39"/>
  <c r="G1008" i="39"/>
  <c r="J1007" i="39"/>
  <c r="H1007" i="39"/>
  <c r="G1009" i="39"/>
  <c r="H1008" i="39"/>
  <c r="I1008" i="39"/>
  <c r="J1008" i="39"/>
  <c r="K1007" i="39"/>
  <c r="K1008" i="39"/>
  <c r="G1010" i="39"/>
  <c r="H1009" i="39"/>
  <c r="K1009" i="39"/>
  <c r="I1009" i="39"/>
  <c r="J1009" i="39"/>
  <c r="J1010" i="39"/>
  <c r="G1011" i="39"/>
  <c r="H1010" i="39"/>
  <c r="K1010" i="39"/>
  <c r="I1010" i="39"/>
  <c r="I1011" i="39"/>
  <c r="G1012" i="39"/>
  <c r="H1011" i="39"/>
  <c r="K1011" i="39"/>
  <c r="J1011" i="39"/>
  <c r="G1013" i="39"/>
  <c r="H1012" i="39"/>
  <c r="I1012" i="39"/>
  <c r="J1012" i="39"/>
  <c r="K1012" i="39"/>
  <c r="J1013" i="39"/>
  <c r="I1013" i="39"/>
  <c r="G1014" i="39"/>
  <c r="H1013" i="39"/>
  <c r="K1013" i="39"/>
  <c r="I1014" i="39"/>
  <c r="J1014" i="39"/>
  <c r="G1015" i="39"/>
  <c r="H1014" i="39"/>
  <c r="G1016" i="39"/>
  <c r="H1015" i="39"/>
  <c r="I1015" i="39"/>
  <c r="J1015" i="39"/>
  <c r="K1014" i="39"/>
  <c r="K1015" i="39"/>
  <c r="H1016" i="39"/>
  <c r="J1016" i="39"/>
  <c r="I1016" i="39"/>
  <c r="K1016" i="39"/>
  <c r="AB6" i="29" l="1"/>
  <c r="AB10" i="29"/>
  <c r="AB14" i="29"/>
  <c r="AB22" i="29"/>
  <c r="AB4" i="29"/>
  <c r="AB8" i="29"/>
  <c r="AB12" i="29"/>
  <c r="AB16" i="29"/>
  <c r="AB20" i="29"/>
  <c r="AB24" i="29"/>
  <c r="AB18" i="29"/>
  <c r="AB7" i="29"/>
  <c r="AB11" i="29"/>
  <c r="AB15" i="29"/>
  <c r="AB19" i="29"/>
  <c r="P16" i="36"/>
  <c r="P17" i="36" s="1"/>
  <c r="Q16" i="36" s="1"/>
  <c r="Q17" i="36" s="1"/>
  <c r="J27" i="36" s="1"/>
  <c r="K16" i="1"/>
  <c r="F7" i="1"/>
  <c r="F6" i="1"/>
  <c r="C39" i="29"/>
  <c r="E39" i="29" s="1"/>
  <c r="U14" i="36"/>
  <c r="H9" i="36" s="1"/>
  <c r="M4" i="17"/>
  <c r="C39" i="44"/>
  <c r="E39" i="44" s="1"/>
  <c r="N5" i="25"/>
  <c r="C6" i="25" s="1"/>
  <c r="M19" i="17"/>
  <c r="M17" i="17"/>
  <c r="M11" i="17"/>
  <c r="M6" i="17"/>
  <c r="M15" i="17"/>
  <c r="M8" i="17"/>
  <c r="D6" i="17"/>
  <c r="M18" i="17"/>
  <c r="M16" i="17"/>
  <c r="M9" i="17"/>
  <c r="M20" i="17"/>
  <c r="M7" i="17"/>
  <c r="M21" i="17"/>
  <c r="M5" i="17"/>
  <c r="C40" i="29"/>
  <c r="A3" i="23"/>
  <c r="M22" i="17"/>
  <c r="M14" i="17"/>
  <c r="L5" i="25"/>
  <c r="G6" i="25" s="1"/>
  <c r="I37" i="23"/>
  <c r="C38" i="23"/>
  <c r="E38" i="23" s="1"/>
  <c r="S14" i="36"/>
  <c r="C40" i="44"/>
  <c r="A3" i="18"/>
  <c r="L10" i="25"/>
  <c r="K38" i="23"/>
  <c r="C3" i="18"/>
  <c r="U10" i="36"/>
  <c r="F9" i="36" s="1"/>
  <c r="I41" i="44"/>
  <c r="I38" i="23"/>
  <c r="L9" i="26"/>
  <c r="F6" i="26" s="1"/>
  <c r="K3" i="18"/>
  <c r="K6" i="18" s="1"/>
  <c r="K41" i="29"/>
  <c r="I40" i="44"/>
  <c r="N5" i="26"/>
  <c r="C6" i="26" s="1"/>
  <c r="L6" i="26"/>
  <c r="N6" i="26" s="1"/>
  <c r="L6" i="25"/>
  <c r="N6" i="25" s="1"/>
  <c r="K37" i="23"/>
  <c r="I4" i="18"/>
  <c r="Q12" i="28"/>
  <c r="J9" i="28" s="1"/>
  <c r="S9" i="36"/>
  <c r="U9" i="36" s="1"/>
  <c r="K40" i="29"/>
  <c r="P3" i="28"/>
  <c r="N10" i="26"/>
  <c r="E6" i="26" s="1"/>
  <c r="Q8" i="28"/>
  <c r="S8" i="28" s="1"/>
  <c r="L4" i="26"/>
  <c r="N4" i="26" s="1"/>
  <c r="L9" i="25"/>
  <c r="F6" i="25" s="1"/>
  <c r="C4" i="18"/>
  <c r="E4" i="18" s="1"/>
  <c r="Q20" i="28"/>
  <c r="S8" i="36"/>
  <c r="U8" i="36" s="1"/>
  <c r="R3" i="36"/>
  <c r="I5" i="18"/>
  <c r="K3" i="25"/>
  <c r="A3" i="44"/>
  <c r="C41" i="44"/>
  <c r="E41" i="44" s="1"/>
  <c r="K40" i="44"/>
  <c r="I40" i="29"/>
  <c r="S13" i="36"/>
  <c r="I9" i="36" s="1"/>
  <c r="Q19" i="28"/>
  <c r="I9" i="28" s="1"/>
  <c r="S10" i="36"/>
  <c r="J9" i="36" s="1"/>
  <c r="S20" i="28"/>
  <c r="H9" i="28" s="1"/>
  <c r="K4" i="18"/>
  <c r="N10" i="25"/>
  <c r="E6" i="25" s="1"/>
  <c r="L10" i="26"/>
  <c r="A3" i="29"/>
  <c r="K3" i="26"/>
  <c r="K41" i="44"/>
  <c r="C41" i="29"/>
  <c r="E41" i="29" s="1"/>
  <c r="I41" i="29"/>
  <c r="S12" i="28"/>
  <c r="F9" i="28" s="1"/>
  <c r="Q13" i="28"/>
  <c r="I3" i="18"/>
  <c r="L5" i="26"/>
  <c r="G6" i="26" s="1"/>
  <c r="L4" i="25"/>
  <c r="N4" i="25" s="1"/>
  <c r="C2" i="18"/>
  <c r="E2" i="18" s="1"/>
  <c r="C37" i="23"/>
  <c r="C36" i="23"/>
  <c r="E36" i="23" s="1"/>
  <c r="K17" i="36"/>
  <c r="L17" i="36" s="1"/>
  <c r="P17" i="28"/>
  <c r="P18" i="28" s="1"/>
  <c r="Q17" i="28" s="1"/>
  <c r="Q18" i="28" s="1"/>
  <c r="I22" i="28" s="1"/>
  <c r="K18" i="28"/>
  <c r="L18" i="28" s="1"/>
  <c r="I18" i="1" l="1"/>
  <c r="I19" i="1"/>
  <c r="J28" i="36"/>
  <c r="K28" i="36" s="1"/>
  <c r="H38" i="36" s="1"/>
  <c r="M16" i="1"/>
  <c r="E7" i="25"/>
  <c r="D28" i="25" s="1"/>
  <c r="F7" i="25"/>
  <c r="H10" i="36"/>
  <c r="G7" i="25"/>
  <c r="F8" i="29"/>
  <c r="E7" i="26"/>
  <c r="D28" i="26" s="1"/>
  <c r="G7" i="26"/>
  <c r="F7" i="26"/>
  <c r="F5" i="18"/>
  <c r="Q10" i="18" s="1"/>
  <c r="T10" i="18" s="1"/>
  <c r="I6" i="18"/>
  <c r="O16" i="18" s="1"/>
  <c r="I10" i="36"/>
  <c r="J10" i="36"/>
  <c r="C6" i="18"/>
  <c r="P7" i="18" s="1"/>
  <c r="U7" i="18" s="1"/>
  <c r="C8" i="23"/>
  <c r="C9" i="29"/>
  <c r="U5" i="29" s="1"/>
  <c r="C8" i="29"/>
  <c r="D6" i="25"/>
  <c r="D7" i="25" s="1"/>
  <c r="D42" i="25" s="1"/>
  <c r="F8" i="23"/>
  <c r="C9" i="23"/>
  <c r="U4" i="23" s="1"/>
  <c r="C7" i="23"/>
  <c r="V12" i="23" s="1"/>
  <c r="AA12" i="23" s="1"/>
  <c r="J10" i="28"/>
  <c r="D6" i="26"/>
  <c r="D7" i="26" s="1"/>
  <c r="D38" i="26" s="1"/>
  <c r="G9" i="36"/>
  <c r="G10" i="36" s="1"/>
  <c r="I10" i="28"/>
  <c r="G9" i="28"/>
  <c r="G10" i="28" s="1"/>
  <c r="F34" i="28" s="1"/>
  <c r="E34" i="28" s="1"/>
  <c r="D34" i="28" s="1"/>
  <c r="S13" i="28"/>
  <c r="H47" i="36"/>
  <c r="I47" i="36" s="1"/>
  <c r="C7" i="44"/>
  <c r="F8" i="44"/>
  <c r="C8" i="44"/>
  <c r="C9" i="44"/>
  <c r="H10" i="28"/>
  <c r="G34" i="28" s="1"/>
  <c r="Q37" i="28" s="1"/>
  <c r="Q38" i="28" s="1"/>
  <c r="Q39" i="28" s="1"/>
  <c r="C7" i="29"/>
  <c r="K27" i="36"/>
  <c r="H34" i="36" s="1"/>
  <c r="J35" i="36"/>
  <c r="J22" i="28"/>
  <c r="H33" i="28" s="1"/>
  <c r="L27" i="36" l="1"/>
  <c r="J39" i="36"/>
  <c r="K39" i="36" s="1"/>
  <c r="L39" i="36" s="1"/>
  <c r="F39" i="36"/>
  <c r="E39" i="36" s="1"/>
  <c r="D39" i="36" s="1"/>
  <c r="G39" i="36"/>
  <c r="I39" i="36" s="1"/>
  <c r="I34" i="28"/>
  <c r="Q34" i="28"/>
  <c r="F10" i="1"/>
  <c r="D13" i="1"/>
  <c r="F13" i="1" s="1"/>
  <c r="D24" i="25"/>
  <c r="G35" i="36"/>
  <c r="I35" i="36" s="1"/>
  <c r="Q14" i="18"/>
  <c r="T14" i="18" s="1"/>
  <c r="Q6" i="18"/>
  <c r="T6" i="18" s="1"/>
  <c r="P12" i="18"/>
  <c r="U12" i="18" s="1"/>
  <c r="Q12" i="18"/>
  <c r="T12" i="18" s="1"/>
  <c r="Q19" i="18"/>
  <c r="T19" i="18" s="1"/>
  <c r="W4" i="29"/>
  <c r="Z4" i="29" s="1"/>
  <c r="Q22" i="18"/>
  <c r="T22" i="18" s="1"/>
  <c r="Q21" i="18"/>
  <c r="T21" i="18" s="1"/>
  <c r="O8" i="18"/>
  <c r="P9" i="18"/>
  <c r="U9" i="18" s="1"/>
  <c r="W12" i="29"/>
  <c r="Z12" i="29" s="1"/>
  <c r="Q16" i="18"/>
  <c r="T16" i="18" s="1"/>
  <c r="Q8" i="18"/>
  <c r="T8" i="18" s="1"/>
  <c r="P22" i="18"/>
  <c r="U22" i="18" s="1"/>
  <c r="W16" i="29"/>
  <c r="Z16" i="29" s="1"/>
  <c r="V6" i="23"/>
  <c r="AA6" i="23" s="1"/>
  <c r="W7" i="29"/>
  <c r="Z7" i="29" s="1"/>
  <c r="W22" i="29"/>
  <c r="Z22" i="29" s="1"/>
  <c r="W19" i="29"/>
  <c r="Z19" i="29" s="1"/>
  <c r="D24" i="26"/>
  <c r="W5" i="29"/>
  <c r="Z5" i="29" s="1"/>
  <c r="Q7" i="18"/>
  <c r="T7" i="18" s="1"/>
  <c r="Q24" i="18"/>
  <c r="T24" i="18" s="1"/>
  <c r="Q15" i="18"/>
  <c r="T15" i="18" s="1"/>
  <c r="P4" i="18"/>
  <c r="U4" i="18" s="1"/>
  <c r="P18" i="18"/>
  <c r="U18" i="18" s="1"/>
  <c r="K35" i="36"/>
  <c r="P35" i="36" s="1"/>
  <c r="Q17" i="18"/>
  <c r="T17" i="18" s="1"/>
  <c r="Q13" i="18"/>
  <c r="T13" i="18" s="1"/>
  <c r="Q9" i="18"/>
  <c r="T9" i="18" s="1"/>
  <c r="Q5" i="18"/>
  <c r="T5" i="18" s="1"/>
  <c r="P10" i="18"/>
  <c r="U10" i="18" s="1"/>
  <c r="Q11" i="18"/>
  <c r="T11" i="18" s="1"/>
  <c r="Q23" i="18"/>
  <c r="T23" i="18" s="1"/>
  <c r="Q18" i="18"/>
  <c r="T18" i="18" s="1"/>
  <c r="Q4" i="18"/>
  <c r="T4" i="18" s="1"/>
  <c r="Q20" i="18"/>
  <c r="T20" i="18" s="1"/>
  <c r="P14" i="18"/>
  <c r="U14" i="18" s="1"/>
  <c r="P23" i="18"/>
  <c r="U23" i="18" s="1"/>
  <c r="P19" i="18"/>
  <c r="U19" i="18" s="1"/>
  <c r="P8" i="18"/>
  <c r="U8" i="18" s="1"/>
  <c r="E6" i="18"/>
  <c r="P13" i="18"/>
  <c r="U13" i="18" s="1"/>
  <c r="U17" i="29"/>
  <c r="P5" i="18"/>
  <c r="U5" i="18" s="1"/>
  <c r="P21" i="18"/>
  <c r="U21" i="18" s="1"/>
  <c r="P17" i="18"/>
  <c r="U17" i="18" s="1"/>
  <c r="U13" i="29"/>
  <c r="U23" i="29"/>
  <c r="W24" i="23"/>
  <c r="Z24" i="23" s="1"/>
  <c r="O21" i="18"/>
  <c r="O20" i="18"/>
  <c r="U4" i="29"/>
  <c r="U24" i="29"/>
  <c r="U8" i="23"/>
  <c r="O17" i="18"/>
  <c r="O9" i="18"/>
  <c r="R9" i="18" s="1"/>
  <c r="U6" i="29"/>
  <c r="U14" i="29"/>
  <c r="U22" i="23"/>
  <c r="O19" i="18"/>
  <c r="O15" i="18"/>
  <c r="O13" i="18"/>
  <c r="O4" i="18"/>
  <c r="O7" i="18"/>
  <c r="R7" i="18" s="1"/>
  <c r="S7" i="18" s="1"/>
  <c r="O14" i="18"/>
  <c r="O6" i="18"/>
  <c r="O24" i="18"/>
  <c r="O18" i="18"/>
  <c r="R18" i="18" s="1"/>
  <c r="O11" i="18"/>
  <c r="U21" i="29"/>
  <c r="U12" i="29"/>
  <c r="U13" i="23"/>
  <c r="W6" i="29"/>
  <c r="Z6" i="29" s="1"/>
  <c r="W11" i="29"/>
  <c r="Z11" i="29" s="1"/>
  <c r="P24" i="18"/>
  <c r="U24" i="18" s="1"/>
  <c r="P15" i="18"/>
  <c r="U15" i="18" s="1"/>
  <c r="P16" i="18"/>
  <c r="U16" i="18" s="1"/>
  <c r="P11" i="18"/>
  <c r="U11" i="18" s="1"/>
  <c r="P20" i="18"/>
  <c r="U20" i="18" s="1"/>
  <c r="V20" i="23"/>
  <c r="AA20" i="23" s="1"/>
  <c r="W6" i="23"/>
  <c r="Z6" i="23" s="1"/>
  <c r="P6" i="18"/>
  <c r="U6" i="18" s="1"/>
  <c r="O22" i="18"/>
  <c r="O10" i="18"/>
  <c r="O5" i="18"/>
  <c r="O12" i="18"/>
  <c r="R12" i="18" s="1"/>
  <c r="O23" i="18"/>
  <c r="V13" i="23"/>
  <c r="AA13" i="23" s="1"/>
  <c r="V16" i="23"/>
  <c r="AA16" i="23" s="1"/>
  <c r="W14" i="29"/>
  <c r="Z14" i="29" s="1"/>
  <c r="W9" i="29"/>
  <c r="Z9" i="29" s="1"/>
  <c r="W13" i="29"/>
  <c r="Z13" i="29" s="1"/>
  <c r="W21" i="29"/>
  <c r="Z21" i="29" s="1"/>
  <c r="D39" i="25"/>
  <c r="E7" i="23"/>
  <c r="U8" i="29"/>
  <c r="U15" i="29"/>
  <c r="U9" i="29"/>
  <c r="U19" i="23"/>
  <c r="W17" i="29"/>
  <c r="Z17" i="29" s="1"/>
  <c r="W15" i="29"/>
  <c r="Z15" i="29" s="1"/>
  <c r="W23" i="29"/>
  <c r="Z23" i="29" s="1"/>
  <c r="W18" i="29"/>
  <c r="Z18" i="29" s="1"/>
  <c r="D38" i="25"/>
  <c r="U11" i="29"/>
  <c r="U19" i="29"/>
  <c r="U7" i="29"/>
  <c r="U18" i="29"/>
  <c r="E9" i="29"/>
  <c r="U10" i="23"/>
  <c r="U18" i="23"/>
  <c r="D40" i="25"/>
  <c r="U20" i="29"/>
  <c r="U22" i="29"/>
  <c r="K5" i="29"/>
  <c r="U10" i="29"/>
  <c r="U16" i="29"/>
  <c r="U20" i="23"/>
  <c r="W21" i="23"/>
  <c r="Z21" i="23" s="1"/>
  <c r="W14" i="23"/>
  <c r="Z14" i="23" s="1"/>
  <c r="W11" i="23"/>
  <c r="Z11" i="23" s="1"/>
  <c r="D41" i="25"/>
  <c r="W10" i="23"/>
  <c r="Z10" i="23" s="1"/>
  <c r="K4" i="29"/>
  <c r="W20" i="29"/>
  <c r="Z20" i="29" s="1"/>
  <c r="W8" i="29"/>
  <c r="Z8" i="29" s="1"/>
  <c r="W24" i="29"/>
  <c r="Z24" i="29" s="1"/>
  <c r="W10" i="29"/>
  <c r="Z10" i="29" s="1"/>
  <c r="V18" i="23"/>
  <c r="AA18" i="23" s="1"/>
  <c r="K5" i="23"/>
  <c r="K6" i="23" s="1"/>
  <c r="W22" i="23"/>
  <c r="Z22" i="23" s="1"/>
  <c r="W7" i="23"/>
  <c r="Z7" i="23" s="1"/>
  <c r="W9" i="23"/>
  <c r="Z9" i="23" s="1"/>
  <c r="W18" i="23"/>
  <c r="Z18" i="23" s="1"/>
  <c r="W13" i="23"/>
  <c r="Z13" i="23" s="1"/>
  <c r="W4" i="23"/>
  <c r="Z4" i="23" s="1"/>
  <c r="W20" i="23"/>
  <c r="Z20" i="23" s="1"/>
  <c r="W5" i="23"/>
  <c r="Z5" i="23" s="1"/>
  <c r="W23" i="23"/>
  <c r="Z23" i="23" s="1"/>
  <c r="W15" i="23"/>
  <c r="Z15" i="23" s="1"/>
  <c r="W17" i="23"/>
  <c r="Z17" i="23" s="1"/>
  <c r="U16" i="23"/>
  <c r="U7" i="23"/>
  <c r="U11" i="23"/>
  <c r="E28" i="25"/>
  <c r="G28" i="25" s="1"/>
  <c r="H28" i="25" s="1"/>
  <c r="D37" i="25"/>
  <c r="K4" i="23"/>
  <c r="W12" i="23"/>
  <c r="Z12" i="23" s="1"/>
  <c r="W8" i="23"/>
  <c r="Z8" i="23" s="1"/>
  <c r="W19" i="23"/>
  <c r="Z19" i="23" s="1"/>
  <c r="W16" i="23"/>
  <c r="Z16" i="23" s="1"/>
  <c r="U15" i="23"/>
  <c r="U5" i="23"/>
  <c r="U24" i="23"/>
  <c r="U6" i="23"/>
  <c r="U9" i="23"/>
  <c r="V22" i="23"/>
  <c r="AA22" i="23" s="1"/>
  <c r="V21" i="23"/>
  <c r="AA21" i="23" s="1"/>
  <c r="V15" i="23"/>
  <c r="AA15" i="23" s="1"/>
  <c r="V17" i="23"/>
  <c r="AA17" i="23" s="1"/>
  <c r="V10" i="23"/>
  <c r="AA10" i="23" s="1"/>
  <c r="V19" i="23"/>
  <c r="AA19" i="23" s="1"/>
  <c r="V14" i="23"/>
  <c r="AA14" i="23" s="1"/>
  <c r="V7" i="23"/>
  <c r="AA7" i="23" s="1"/>
  <c r="V23" i="23"/>
  <c r="AA23" i="23" s="1"/>
  <c r="V9" i="23"/>
  <c r="AA9" i="23" s="1"/>
  <c r="V8" i="23"/>
  <c r="AA8" i="23" s="1"/>
  <c r="V5" i="23"/>
  <c r="AA5" i="23" s="1"/>
  <c r="U12" i="23"/>
  <c r="X12" i="23" s="1"/>
  <c r="U23" i="23"/>
  <c r="E9" i="23"/>
  <c r="U17" i="23"/>
  <c r="U14" i="23"/>
  <c r="U21" i="23"/>
  <c r="V11" i="23"/>
  <c r="AA11" i="23" s="1"/>
  <c r="V24" i="23"/>
  <c r="AA24" i="23" s="1"/>
  <c r="V4" i="23"/>
  <c r="AA4" i="23" s="1"/>
  <c r="D41" i="26"/>
  <c r="D40" i="26"/>
  <c r="L28" i="26"/>
  <c r="D39" i="26"/>
  <c r="F35" i="36"/>
  <c r="E35" i="36" s="1"/>
  <c r="D35" i="36" s="1"/>
  <c r="D42" i="26"/>
  <c r="D37" i="26"/>
  <c r="K6" i="29"/>
  <c r="K7" i="29" s="1"/>
  <c r="V5" i="29"/>
  <c r="AA5" i="29" s="1"/>
  <c r="V17" i="29"/>
  <c r="AA17" i="29" s="1"/>
  <c r="V20" i="29"/>
  <c r="AA20" i="29" s="1"/>
  <c r="V6" i="29"/>
  <c r="AA6" i="29" s="1"/>
  <c r="V23" i="29"/>
  <c r="AA23" i="29" s="1"/>
  <c r="V13" i="29"/>
  <c r="AA13" i="29" s="1"/>
  <c r="V9" i="29"/>
  <c r="AA9" i="29" s="1"/>
  <c r="V15" i="29"/>
  <c r="AA15" i="29" s="1"/>
  <c r="V14" i="29"/>
  <c r="AA14" i="29" s="1"/>
  <c r="V22" i="29"/>
  <c r="AA22" i="29" s="1"/>
  <c r="V24" i="29"/>
  <c r="AA24" i="29" s="1"/>
  <c r="V19" i="29"/>
  <c r="AA19" i="29" s="1"/>
  <c r="V10" i="29"/>
  <c r="AA10" i="29" s="1"/>
  <c r="V4" i="29"/>
  <c r="AA4" i="29" s="1"/>
  <c r="V12" i="29"/>
  <c r="AA12" i="29" s="1"/>
  <c r="E7" i="29"/>
  <c r="V18" i="29"/>
  <c r="AA18" i="29" s="1"/>
  <c r="V7" i="29"/>
  <c r="AA7" i="29" s="1"/>
  <c r="V21" i="29"/>
  <c r="AA21" i="29" s="1"/>
  <c r="V16" i="29"/>
  <c r="AA16" i="29" s="1"/>
  <c r="V8" i="29"/>
  <c r="AA8" i="29" s="1"/>
  <c r="V11" i="29"/>
  <c r="AA11" i="29" s="1"/>
  <c r="V22" i="44"/>
  <c r="AA22" i="44" s="1"/>
  <c r="V17" i="44"/>
  <c r="AA17" i="44" s="1"/>
  <c r="V13" i="44"/>
  <c r="AA13" i="44" s="1"/>
  <c r="V11" i="44"/>
  <c r="AA11" i="44" s="1"/>
  <c r="K6" i="44"/>
  <c r="K7" i="44" s="1"/>
  <c r="V10" i="44"/>
  <c r="AA10" i="44" s="1"/>
  <c r="V21" i="44"/>
  <c r="AA21" i="44" s="1"/>
  <c r="V8" i="44"/>
  <c r="AA8" i="44" s="1"/>
  <c r="V12" i="44"/>
  <c r="AA12" i="44" s="1"/>
  <c r="V18" i="44"/>
  <c r="AA18" i="44" s="1"/>
  <c r="V4" i="44"/>
  <c r="AA4" i="44" s="1"/>
  <c r="V24" i="44"/>
  <c r="AA24" i="44" s="1"/>
  <c r="V15" i="44"/>
  <c r="AA15" i="44" s="1"/>
  <c r="V9" i="44"/>
  <c r="AA9" i="44" s="1"/>
  <c r="E7" i="44"/>
  <c r="V23" i="44"/>
  <c r="AA23" i="44" s="1"/>
  <c r="V6" i="44"/>
  <c r="AA6" i="44" s="1"/>
  <c r="V20" i="44"/>
  <c r="AA20" i="44" s="1"/>
  <c r="V16" i="44"/>
  <c r="AA16" i="44" s="1"/>
  <c r="V19" i="44"/>
  <c r="AA19" i="44" s="1"/>
  <c r="V7" i="44"/>
  <c r="AA7" i="44" s="1"/>
  <c r="V5" i="44"/>
  <c r="AA5" i="44" s="1"/>
  <c r="V14" i="44"/>
  <c r="AA14" i="44" s="1"/>
  <c r="W6" i="44"/>
  <c r="Z6" i="44" s="1"/>
  <c r="W21" i="44"/>
  <c r="Z21" i="44" s="1"/>
  <c r="W9" i="44"/>
  <c r="Z9" i="44" s="1"/>
  <c r="W17" i="44"/>
  <c r="Z17" i="44" s="1"/>
  <c r="W24" i="44"/>
  <c r="Z24" i="44" s="1"/>
  <c r="W20" i="44"/>
  <c r="Z20" i="44" s="1"/>
  <c r="W13" i="44"/>
  <c r="Z13" i="44" s="1"/>
  <c r="W14" i="44"/>
  <c r="Z14" i="44" s="1"/>
  <c r="K4" i="44"/>
  <c r="W5" i="44"/>
  <c r="Z5" i="44" s="1"/>
  <c r="W16" i="44"/>
  <c r="Z16" i="44" s="1"/>
  <c r="W19" i="44"/>
  <c r="Z19" i="44" s="1"/>
  <c r="W8" i="44"/>
  <c r="Z8" i="44" s="1"/>
  <c r="W7" i="44"/>
  <c r="Z7" i="44" s="1"/>
  <c r="W22" i="44"/>
  <c r="Z22" i="44" s="1"/>
  <c r="W11" i="44"/>
  <c r="Z11" i="44" s="1"/>
  <c r="W4" i="44"/>
  <c r="Z4" i="44" s="1"/>
  <c r="W23" i="44"/>
  <c r="Z23" i="44" s="1"/>
  <c r="W15" i="44"/>
  <c r="Z15" i="44" s="1"/>
  <c r="W12" i="44"/>
  <c r="Z12" i="44" s="1"/>
  <c r="W10" i="44"/>
  <c r="Z10" i="44" s="1"/>
  <c r="W18" i="44"/>
  <c r="Z18" i="44" s="1"/>
  <c r="U11" i="44"/>
  <c r="U4" i="44"/>
  <c r="U23" i="44"/>
  <c r="U7" i="44"/>
  <c r="U18" i="44"/>
  <c r="U12" i="44"/>
  <c r="U20" i="44"/>
  <c r="U10" i="44"/>
  <c r="U6" i="44"/>
  <c r="U15" i="44"/>
  <c r="U22" i="44"/>
  <c r="U16" i="44"/>
  <c r="U13" i="44"/>
  <c r="U5" i="44"/>
  <c r="U8" i="44"/>
  <c r="U14" i="44"/>
  <c r="U19" i="44"/>
  <c r="K5" i="44"/>
  <c r="U9" i="44"/>
  <c r="U17" i="44"/>
  <c r="U24" i="44"/>
  <c r="U21" i="44"/>
  <c r="E9" i="44"/>
  <c r="E52" i="36"/>
  <c r="G47" i="36"/>
  <c r="J47" i="36"/>
  <c r="E57" i="36"/>
  <c r="J34" i="28"/>
  <c r="K34" i="28" s="1"/>
  <c r="L34" i="28" s="1"/>
  <c r="R4" i="18" l="1"/>
  <c r="S12" i="18"/>
  <c r="S9" i="18"/>
  <c r="Q39" i="36"/>
  <c r="R22" i="18"/>
  <c r="S22" i="18" s="1"/>
  <c r="P39" i="36"/>
  <c r="R8" i="18"/>
  <c r="S8" i="18" s="1"/>
  <c r="R10" i="18"/>
  <c r="S10" i="18" s="1"/>
  <c r="R19" i="18"/>
  <c r="S19" i="18" s="1"/>
  <c r="L35" i="36"/>
  <c r="X6" i="23"/>
  <c r="Y6" i="23" s="1"/>
  <c r="R23" i="18"/>
  <c r="S23" i="18" s="1"/>
  <c r="R20" i="18"/>
  <c r="S20" i="18" s="1"/>
  <c r="R21" i="18"/>
  <c r="S21" i="18" s="1"/>
  <c r="X22" i="23"/>
  <c r="Y22" i="23" s="1"/>
  <c r="Q35" i="36"/>
  <c r="R13" i="18"/>
  <c r="S13" i="18" s="1"/>
  <c r="S18" i="18"/>
  <c r="R5" i="18"/>
  <c r="S5" i="18" s="1"/>
  <c r="R14" i="18"/>
  <c r="S14" i="18" s="1"/>
  <c r="R15" i="18"/>
  <c r="S15" i="18" s="1"/>
  <c r="S4" i="18"/>
  <c r="R17" i="18"/>
  <c r="S17" i="18" s="1"/>
  <c r="R11" i="18"/>
  <c r="S11" i="18" s="1"/>
  <c r="Y12" i="23"/>
  <c r="R24" i="18"/>
  <c r="S24" i="18" s="1"/>
  <c r="R16" i="18"/>
  <c r="S16" i="18" s="1"/>
  <c r="X20" i="23"/>
  <c r="Y20" i="23" s="1"/>
  <c r="R6" i="18"/>
  <c r="S6" i="18" s="1"/>
  <c r="X16" i="23"/>
  <c r="Y16" i="23" s="1"/>
  <c r="X21" i="23"/>
  <c r="Y21" i="23" s="1"/>
  <c r="X18" i="23"/>
  <c r="Y18" i="23" s="1"/>
  <c r="X19" i="23"/>
  <c r="Y19" i="23" s="1"/>
  <c r="X13" i="23"/>
  <c r="Y13" i="23" s="1"/>
  <c r="X17" i="23"/>
  <c r="Y17" i="23" s="1"/>
  <c r="X10" i="23"/>
  <c r="Y10" i="23" s="1"/>
  <c r="X23" i="23"/>
  <c r="Y23" i="23" s="1"/>
  <c r="X4" i="23"/>
  <c r="Y4" i="23" s="1"/>
  <c r="X5" i="44"/>
  <c r="Y5" i="44" s="1"/>
  <c r="X17" i="29"/>
  <c r="Y17" i="29" s="1"/>
  <c r="X4" i="29"/>
  <c r="Y4" i="29" s="1"/>
  <c r="X24" i="23"/>
  <c r="Y24" i="23" s="1"/>
  <c r="X11" i="29"/>
  <c r="Y11" i="29" s="1"/>
  <c r="X13" i="29"/>
  <c r="Y13" i="29" s="1"/>
  <c r="E24" i="25"/>
  <c r="F28" i="25"/>
  <c r="X11" i="23"/>
  <c r="Y11" i="23" s="1"/>
  <c r="X8" i="23"/>
  <c r="Y8" i="23" s="1"/>
  <c r="X21" i="44"/>
  <c r="Y21" i="44" s="1"/>
  <c r="X4" i="44"/>
  <c r="Y4" i="44" s="1"/>
  <c r="X9" i="29"/>
  <c r="Y9" i="29" s="1"/>
  <c r="X14" i="23"/>
  <c r="Y14" i="23" s="1"/>
  <c r="X5" i="23"/>
  <c r="X7" i="23"/>
  <c r="Y7" i="23" s="1"/>
  <c r="X9" i="23"/>
  <c r="Y9" i="23" s="1"/>
  <c r="X15" i="23"/>
  <c r="Y15" i="23" s="1"/>
  <c r="G28" i="26"/>
  <c r="L24" i="26"/>
  <c r="G24" i="26" s="1"/>
  <c r="X18" i="29"/>
  <c r="Y18" i="29" s="1"/>
  <c r="X19" i="29"/>
  <c r="Y19" i="29" s="1"/>
  <c r="X5" i="29"/>
  <c r="Y5" i="29" s="1"/>
  <c r="X12" i="44"/>
  <c r="Y12" i="44" s="1"/>
  <c r="X15" i="44"/>
  <c r="Y15" i="44" s="1"/>
  <c r="X6" i="44"/>
  <c r="Y6" i="44" s="1"/>
  <c r="X13" i="44"/>
  <c r="Y13" i="44" s="1"/>
  <c r="X22" i="29"/>
  <c r="Y22" i="29" s="1"/>
  <c r="X7" i="29"/>
  <c r="Y7" i="29" s="1"/>
  <c r="X14" i="44"/>
  <c r="Y14" i="44" s="1"/>
  <c r="X16" i="44"/>
  <c r="Y16" i="44" s="1"/>
  <c r="X6" i="29"/>
  <c r="Y6" i="29" s="1"/>
  <c r="X14" i="29"/>
  <c r="Y14" i="29" s="1"/>
  <c r="X24" i="44"/>
  <c r="Y24" i="44" s="1"/>
  <c r="X19" i="44"/>
  <c r="Y19" i="44" s="1"/>
  <c r="X11" i="44"/>
  <c r="Y11" i="44" s="1"/>
  <c r="X8" i="29"/>
  <c r="Y8" i="29" s="1"/>
  <c r="X12" i="29"/>
  <c r="Y12" i="29" s="1"/>
  <c r="X8" i="44"/>
  <c r="Y8" i="44" s="1"/>
  <c r="X23" i="44"/>
  <c r="Y23" i="44" s="1"/>
  <c r="X10" i="29"/>
  <c r="Y10" i="29" s="1"/>
  <c r="X23" i="29"/>
  <c r="Y23" i="29" s="1"/>
  <c r="K8" i="29"/>
  <c r="K9" i="29"/>
  <c r="K8" i="44"/>
  <c r="K9" i="44"/>
  <c r="X16" i="29"/>
  <c r="Y16" i="29" s="1"/>
  <c r="X9" i="44"/>
  <c r="Y9" i="44" s="1"/>
  <c r="X22" i="44"/>
  <c r="Y22" i="44" s="1"/>
  <c r="X20" i="44"/>
  <c r="Y20" i="44" s="1"/>
  <c r="X24" i="29"/>
  <c r="Y24" i="29" s="1"/>
  <c r="X18" i="44"/>
  <c r="Y18" i="44" s="1"/>
  <c r="X15" i="29"/>
  <c r="Y15" i="29" s="1"/>
  <c r="X21" i="29"/>
  <c r="Y21" i="29" s="1"/>
  <c r="X17" i="44"/>
  <c r="Y17" i="44" s="1"/>
  <c r="X10" i="44"/>
  <c r="Y10" i="44" s="1"/>
  <c r="X7" i="44"/>
  <c r="Y7" i="44" s="1"/>
  <c r="X20" i="29"/>
  <c r="Y20" i="29" s="1"/>
  <c r="J52" i="36"/>
  <c r="I52" i="36"/>
  <c r="F52" i="36"/>
  <c r="K52" i="36"/>
  <c r="H52" i="36"/>
  <c r="J57" i="36"/>
  <c r="H57" i="36"/>
  <c r="K57" i="36"/>
  <c r="I57" i="36"/>
  <c r="F57" i="36"/>
  <c r="AC7" i="23" l="1"/>
  <c r="G24" i="25"/>
  <c r="H24" i="25" s="1"/>
  <c r="F24" i="25"/>
  <c r="AC23" i="23"/>
  <c r="AC20" i="23"/>
  <c r="AC16" i="23"/>
  <c r="AC10" i="23"/>
  <c r="AC8" i="23"/>
  <c r="AC22" i="23"/>
  <c r="AC11" i="23"/>
  <c r="AC19" i="23"/>
  <c r="AC18" i="23"/>
  <c r="Y5" i="23"/>
  <c r="AC9" i="23"/>
  <c r="AC4" i="23"/>
  <c r="AC13" i="23"/>
  <c r="AC24" i="23"/>
  <c r="AC5" i="23"/>
  <c r="AC12" i="23"/>
  <c r="AC15" i="23"/>
  <c r="AC21" i="23"/>
  <c r="AC6" i="23"/>
  <c r="AC17" i="23"/>
  <c r="AC14" i="23"/>
  <c r="H24" i="26"/>
  <c r="F24" i="26"/>
  <c r="F28" i="26"/>
  <c r="H28" i="26"/>
  <c r="AC11" i="29"/>
  <c r="AC17" i="29"/>
  <c r="AC5" i="29"/>
  <c r="AC10" i="29"/>
  <c r="AC12" i="29"/>
  <c r="AC19" i="29"/>
  <c r="AC13" i="29"/>
  <c r="AC23" i="29"/>
  <c r="AC7" i="29"/>
  <c r="AC16" i="29"/>
  <c r="AC21" i="29"/>
  <c r="AC23" i="44"/>
  <c r="AC12" i="44"/>
  <c r="AC7" i="44"/>
  <c r="AC14" i="44"/>
  <c r="AC20" i="44"/>
  <c r="AC4" i="44"/>
  <c r="AC9" i="44"/>
  <c r="AC10" i="44"/>
  <c r="AC17" i="44"/>
  <c r="AC6" i="44"/>
  <c r="AC21" i="44"/>
  <c r="AC22" i="29"/>
  <c r="AC14" i="29"/>
  <c r="AC6" i="29"/>
  <c r="AC9" i="29"/>
  <c r="AC15" i="44"/>
  <c r="AC22" i="44"/>
  <c r="AC8" i="44"/>
  <c r="AC13" i="44"/>
  <c r="AC5" i="44"/>
  <c r="AC11" i="44"/>
  <c r="AC19" i="44"/>
  <c r="AC18" i="44"/>
  <c r="AC16" i="44"/>
  <c r="AC24" i="44"/>
  <c r="AC20" i="29"/>
  <c r="AC4" i="29"/>
  <c r="AC8" i="29"/>
  <c r="AC15" i="29"/>
  <c r="AC18" i="29"/>
  <c r="AC24" i="29"/>
</calcChain>
</file>

<file path=xl/sharedStrings.xml><?xml version="1.0" encoding="utf-8"?>
<sst xmlns="http://schemas.openxmlformats.org/spreadsheetml/2006/main" count="1390" uniqueCount="865">
  <si>
    <t>Robot weight</t>
  </si>
  <si>
    <t>lbs</t>
  </si>
  <si>
    <t>kg</t>
  </si>
  <si>
    <t>deg</t>
  </si>
  <si>
    <t>Normal Force</t>
  </si>
  <si>
    <t>Weight Force</t>
  </si>
  <si>
    <t>UNITS &amp; CONVERSIONS</t>
  </si>
  <si>
    <t>Force</t>
  </si>
  <si>
    <t>kg * m / sec^2</t>
  </si>
  <si>
    <t>lb f</t>
  </si>
  <si>
    <t>kg f</t>
  </si>
  <si>
    <t>N</t>
  </si>
  <si>
    <t>Torque</t>
  </si>
  <si>
    <t>Nm</t>
  </si>
  <si>
    <t>lbf ft</t>
  </si>
  <si>
    <t>lbf in</t>
  </si>
  <si>
    <t>kg-cm</t>
  </si>
  <si>
    <t>Ounce-in</t>
  </si>
  <si>
    <t>Power</t>
  </si>
  <si>
    <t>w</t>
  </si>
  <si>
    <t>Nm / sec</t>
  </si>
  <si>
    <t>volt amp</t>
  </si>
  <si>
    <t>joule / sec</t>
  </si>
  <si>
    <t>hp</t>
  </si>
  <si>
    <t>btu/hr</t>
  </si>
  <si>
    <t>ft lbf / sec</t>
  </si>
  <si>
    <t>power (kW) = (torque in newton-meters) × (rpm) × (2π radians)/(60 sec × 1000 W)</t>
  </si>
  <si>
    <t>Energy</t>
  </si>
  <si>
    <t>kg*m</t>
  </si>
  <si>
    <t>ft*lbs</t>
  </si>
  <si>
    <t>N*m</t>
  </si>
  <si>
    <t>in*lbs</t>
  </si>
  <si>
    <t>joule</t>
  </si>
  <si>
    <t>kinetic</t>
  </si>
  <si>
    <t>1/2 * m * v^2</t>
  </si>
  <si>
    <t>kg*m^2 / sec^2</t>
  </si>
  <si>
    <t>Distance</t>
  </si>
  <si>
    <t>in</t>
  </si>
  <si>
    <t>cm</t>
  </si>
  <si>
    <t>ft</t>
  </si>
  <si>
    <t>Speed</t>
  </si>
  <si>
    <t>Current</t>
  </si>
  <si>
    <t>Effic</t>
  </si>
  <si>
    <t>amps</t>
  </si>
  <si>
    <t>Wo</t>
  </si>
  <si>
    <t>%</t>
  </si>
  <si>
    <t>Input</t>
  </si>
  <si>
    <t>RPM</t>
  </si>
  <si>
    <t>Efficiency</t>
  </si>
  <si>
    <t>Reduction</t>
  </si>
  <si>
    <t>Wheel diameter</t>
  </si>
  <si>
    <t>Make</t>
  </si>
  <si>
    <t>Part Number</t>
  </si>
  <si>
    <t>Max Power (W)</t>
  </si>
  <si>
    <t>Stall Torque(oz-in)</t>
  </si>
  <si>
    <t>Free Speed(rpm)</t>
  </si>
  <si>
    <t>Free Current (A)</t>
  </si>
  <si>
    <t>Stall Current (A)</t>
  </si>
  <si>
    <t>CIM</t>
  </si>
  <si>
    <t>FR801-001</t>
  </si>
  <si>
    <r>
      <rPr>
        <sz val="16"/>
        <color theme="1"/>
        <rFont val="Calibri"/>
        <family val="2"/>
        <scheme val="minor"/>
      </rPr>
      <t>F</t>
    </r>
    <r>
      <rPr>
        <sz val="11"/>
        <color theme="1"/>
        <rFont val="Calibri"/>
        <family val="2"/>
        <scheme val="minor"/>
      </rPr>
      <t>g</t>
    </r>
  </si>
  <si>
    <r>
      <rPr>
        <sz val="16"/>
        <color theme="1"/>
        <rFont val="Calibri"/>
        <family val="2"/>
        <scheme val="minor"/>
      </rPr>
      <t>F</t>
    </r>
    <r>
      <rPr>
        <sz val="8"/>
        <color theme="1"/>
        <rFont val="Calibri"/>
        <family val="2"/>
        <scheme val="minor"/>
      </rPr>
      <t>N</t>
    </r>
  </si>
  <si>
    <t>θ</t>
  </si>
  <si>
    <t xml:space="preserve">Incline Angle </t>
  </si>
  <si>
    <r>
      <rPr>
        <sz val="16"/>
        <color theme="1"/>
        <rFont val="Calibri"/>
        <family val="2"/>
        <scheme val="minor"/>
      </rPr>
      <t>F</t>
    </r>
    <r>
      <rPr>
        <sz val="8"/>
        <color theme="1"/>
        <rFont val="Calibri"/>
        <family val="2"/>
        <scheme val="minor"/>
      </rPr>
      <t>W</t>
    </r>
  </si>
  <si>
    <t>Total Resistive</t>
  </si>
  <si>
    <t>RESISTIVE FORCES</t>
  </si>
  <si>
    <t>μ</t>
  </si>
  <si>
    <t xml:space="preserve">Coeffiencient of Friction </t>
  </si>
  <si>
    <t>MOTIVE FORCE</t>
  </si>
  <si>
    <t># CIM Motors per gear box</t>
  </si>
  <si>
    <t>to 1</t>
  </si>
  <si>
    <t>Gear efficiency</t>
  </si>
  <si>
    <t>ft lbs</t>
  </si>
  <si>
    <t>τ</t>
  </si>
  <si>
    <r>
      <rPr>
        <sz val="16"/>
        <color theme="1"/>
        <rFont val="Calibri"/>
        <family val="2"/>
        <scheme val="minor"/>
      </rPr>
      <t>F</t>
    </r>
    <r>
      <rPr>
        <sz val="8"/>
        <color theme="1"/>
        <rFont val="Calibri"/>
        <family val="2"/>
        <scheme val="minor"/>
      </rPr>
      <t>motive</t>
    </r>
  </si>
  <si>
    <t>Max Traction Force</t>
  </si>
  <si>
    <t>Max Motive Force</t>
  </si>
  <si>
    <t>MAXIMUM TRACTION</t>
  </si>
  <si>
    <t>NET FORCES</t>
  </si>
  <si>
    <t>Net Force</t>
  </si>
  <si>
    <t>Drive Train Forces - Straight Driving</t>
  </si>
  <si>
    <t>Gear ratio: Low speed</t>
  </si>
  <si>
    <t>Gear ratio: Hi speed</t>
  </si>
  <si>
    <t>% Torque</t>
  </si>
  <si>
    <t>Eff</t>
  </si>
  <si>
    <t>Length</t>
  </si>
  <si>
    <t>Holding Torque required at various angles</t>
  </si>
  <si>
    <t>Angle</t>
  </si>
  <si>
    <t>Radians</t>
  </si>
  <si>
    <t>Torque (ft-lbs)</t>
  </si>
  <si>
    <t>rpm</t>
  </si>
  <si>
    <t>ft-lbs</t>
  </si>
  <si>
    <t>Denso</t>
  </si>
  <si>
    <t>Center to Center Distance Calculation</t>
  </si>
  <si>
    <t>Number of Whole Links Calculation</t>
  </si>
  <si>
    <t>Chain Pitch</t>
  </si>
  <si>
    <t>Sprocket #1 Teeth</t>
  </si>
  <si>
    <t>Sprocket #2 Teeth</t>
  </si>
  <si>
    <t>Links</t>
  </si>
  <si>
    <t>Center Distance (Inches)</t>
  </si>
  <si>
    <t>Result: Center Distance (Inches)</t>
  </si>
  <si>
    <t>Result: Number Whole Links</t>
  </si>
  <si>
    <t>Sprocket Distance Calculator</t>
  </si>
  <si>
    <t>c=</t>
  </si>
  <si>
    <t>P=</t>
  </si>
  <si>
    <t>N=</t>
  </si>
  <si>
    <t>n=</t>
  </si>
  <si>
    <t>L=</t>
  </si>
  <si>
    <t>Table of Contents</t>
  </si>
  <si>
    <t>Drive Train Forces</t>
  </si>
  <si>
    <t>Good for transferring power over a distance as well as for adjusting speed/torque.</t>
  </si>
  <si>
    <t>Roller chain is called that because it is made with tiny rollers that smoothly engage the sprocket teeth.</t>
  </si>
  <si>
    <t>Unit Conversion</t>
  </si>
  <si>
    <t>Sprocket Distance Calculator**</t>
  </si>
  <si>
    <t>** Thanks to FRC 358 - Robotic Eagles</t>
  </si>
  <si>
    <t>BIMBA ACTUATORS</t>
  </si>
  <si>
    <t>5/16", 7/16", 9/16", 3/4", 7/8", 1-1/16", 1-1/4", 1-1/2", 1-3/4", 2", 2-1/2", and 3".</t>
  </si>
  <si>
    <t>PSI</t>
  </si>
  <si>
    <t>Bimba</t>
  </si>
  <si>
    <t>Bimba Part #</t>
  </si>
  <si>
    <t>Diameter</t>
  </si>
  <si>
    <t>Area</t>
  </si>
  <si>
    <t>"Power Factor"*</t>
  </si>
  <si>
    <t>First 2 digits</t>
  </si>
  <si>
    <t>5/16"</t>
  </si>
  <si>
    <t>007</t>
  </si>
  <si>
    <t>Next digit in part # is length of stroke</t>
  </si>
  <si>
    <t>7/16"</t>
  </si>
  <si>
    <t>01</t>
  </si>
  <si>
    <t>9/16"</t>
  </si>
  <si>
    <t>02</t>
  </si>
  <si>
    <t>3/4"</t>
  </si>
  <si>
    <t>04</t>
  </si>
  <si>
    <t>7/8"</t>
  </si>
  <si>
    <t>06</t>
  </si>
  <si>
    <t>1-1/16"</t>
  </si>
  <si>
    <t>09</t>
  </si>
  <si>
    <t>1-1/4"</t>
  </si>
  <si>
    <t>12</t>
  </si>
  <si>
    <t>1-1/2"</t>
  </si>
  <si>
    <t>17</t>
  </si>
  <si>
    <t>1-3/4"</t>
  </si>
  <si>
    <t>24</t>
  </si>
  <si>
    <t>2"</t>
  </si>
  <si>
    <t>31</t>
  </si>
  <si>
    <t>317 = 2" bore with 7" stroke</t>
  </si>
  <si>
    <t>Force = Bimba "Power Factor" times PSI Applied</t>
  </si>
  <si>
    <t>Bimba Pneumatic Cylinder Forces</t>
  </si>
  <si>
    <t>Ratio</t>
  </si>
  <si>
    <t>Pitch</t>
  </si>
  <si>
    <t>Teeth</t>
  </si>
  <si>
    <t>Output</t>
  </si>
  <si>
    <t>Input Gear / Sprocket</t>
  </si>
  <si>
    <t>Output Gear / Sprocket</t>
  </si>
  <si>
    <t>Stage 1</t>
  </si>
  <si>
    <t>Stage 2</t>
  </si>
  <si>
    <t>Stage 3</t>
  </si>
  <si>
    <t>Stage 4</t>
  </si>
  <si>
    <t>Stage 5</t>
  </si>
  <si>
    <t>Stage reduction</t>
  </si>
  <si>
    <t>TOTAL</t>
  </si>
  <si>
    <t>Dimetrial pitch (teeth per inch)</t>
  </si>
  <si>
    <t>Input Gear</t>
  </si>
  <si>
    <t>Output Gear</t>
  </si>
  <si>
    <t># of teeth</t>
  </si>
  <si>
    <t>Pitch Diameter</t>
  </si>
  <si>
    <t>Backlash</t>
  </si>
  <si>
    <t>Notes</t>
  </si>
  <si>
    <t>AndyMark</t>
  </si>
  <si>
    <t>262100-3030 (Right)</t>
  </si>
  <si>
    <t>262100-3040 (Left)</t>
  </si>
  <si>
    <t>Nippon-Denso</t>
  </si>
  <si>
    <t>VEX</t>
  </si>
  <si>
    <t>AE235100‐0160</t>
  </si>
  <si>
    <t>Pinion: 12 tooth, 20°PA, 0.75 module</t>
  </si>
  <si>
    <t>E6DF‐14A365‐BB</t>
  </si>
  <si>
    <t>E6DF‐14A366‐BB</t>
  </si>
  <si>
    <t>FRC Motors</t>
  </si>
  <si>
    <t>Torque (N-m)</t>
  </si>
  <si>
    <t>Max Power</t>
  </si>
  <si>
    <t>W</t>
  </si>
  <si>
    <t>Free Amps</t>
  </si>
  <si>
    <t>Free speed</t>
  </si>
  <si>
    <t>Stall Amps</t>
  </si>
  <si>
    <t>Stall Torque</t>
  </si>
  <si>
    <t>N-m</t>
  </si>
  <si>
    <t>rad/s</t>
  </si>
  <si>
    <t>Motor Performance</t>
  </si>
  <si>
    <t>HP</t>
  </si>
  <si>
    <t>ft lbf</t>
  </si>
  <si>
    <t>rps</t>
  </si>
  <si>
    <t xml:space="preserve"> = </t>
  </si>
  <si>
    <t>NN</t>
  </si>
  <si>
    <t>kg fkg f</t>
  </si>
  <si>
    <t>lb flb f</t>
  </si>
  <si>
    <t>kg * m / sec^2kg * m / sec^2</t>
  </si>
  <si>
    <t>Nkg * m / sec^2</t>
  </si>
  <si>
    <t>kg * m / sec^2N</t>
  </si>
  <si>
    <t>Nlb f</t>
  </si>
  <si>
    <t>lb fN</t>
  </si>
  <si>
    <t>lb fkg f</t>
  </si>
  <si>
    <t>kg flb f</t>
  </si>
  <si>
    <t>kg fN</t>
  </si>
  <si>
    <t>Nmlbf ft</t>
  </si>
  <si>
    <t>Nmlbf in</t>
  </si>
  <si>
    <t>Nmkg-cm</t>
  </si>
  <si>
    <t>lbf ftNm</t>
  </si>
  <si>
    <t>lbf ftlbf in</t>
  </si>
  <si>
    <t>Ounce-inlbf ft</t>
  </si>
  <si>
    <t>Ounce-inNm</t>
  </si>
  <si>
    <t>Ounce-inkg-cm</t>
  </si>
  <si>
    <t>kg-cmOunce-in</t>
  </si>
  <si>
    <t>NmNm</t>
  </si>
  <si>
    <t>lbf ftlbf ft</t>
  </si>
  <si>
    <t>lbf ftOunce-in</t>
  </si>
  <si>
    <t>ounce-inounce-in</t>
  </si>
  <si>
    <t>kg-cmkg-cm</t>
  </si>
  <si>
    <t>wNm / sec</t>
  </si>
  <si>
    <t>wvolt amp</t>
  </si>
  <si>
    <t>wjoule / sec</t>
  </si>
  <si>
    <t>whp</t>
  </si>
  <si>
    <t>wbtu/hr</t>
  </si>
  <si>
    <t>hpft lbf / sec</t>
  </si>
  <si>
    <t>hpw</t>
  </si>
  <si>
    <t>Nm / secNm / sec</t>
  </si>
  <si>
    <t>volt ampvolt amp</t>
  </si>
  <si>
    <t>joule / secjoule / sec</t>
  </si>
  <si>
    <t>hphp</t>
  </si>
  <si>
    <t>btu/hrbtu/hr</t>
  </si>
  <si>
    <t>ft lbf / secft lbf / sec</t>
  </si>
  <si>
    <t>ww</t>
  </si>
  <si>
    <t>kg*mft*lbs</t>
  </si>
  <si>
    <t>N*mft*lbs</t>
  </si>
  <si>
    <t>N*min*lbs</t>
  </si>
  <si>
    <t>N*mjoule</t>
  </si>
  <si>
    <t>kg*mkg*m</t>
  </si>
  <si>
    <t>N*mN*m</t>
  </si>
  <si>
    <t>ft*lbsft*lbs</t>
  </si>
  <si>
    <t>in*lbsin*lbs</t>
  </si>
  <si>
    <t>joulejoule</t>
  </si>
  <si>
    <t>incm</t>
  </si>
  <si>
    <t>ftm</t>
  </si>
  <si>
    <t>cmin</t>
  </si>
  <si>
    <t>inin</t>
  </si>
  <si>
    <t>cmcm</t>
  </si>
  <si>
    <t>ftft</t>
  </si>
  <si>
    <t>Gearing Calculations</t>
  </si>
  <si>
    <t>SPEED
 CHANGES</t>
  </si>
  <si>
    <t>Radius (in)</t>
  </si>
  <si>
    <t>Tip Speed</t>
  </si>
  <si>
    <t>Input speed (rpm)</t>
  </si>
  <si>
    <t>Output speed (rpm)</t>
  </si>
  <si>
    <t>Center-to-center gear distance</t>
  </si>
  <si>
    <t>GEAR CENTER CALCULATION</t>
  </si>
  <si>
    <t>Force (lb f)</t>
  </si>
  <si>
    <t>Gear Speed &amp; Center-to-Center Calculator</t>
  </si>
  <si>
    <t>Toggle Linkage / Mechanical Advantage</t>
  </si>
  <si>
    <t>Linkage arm lengths (in)</t>
  </si>
  <si>
    <t>Angle (deg)</t>
  </si>
  <si>
    <t>y</t>
  </si>
  <si>
    <t>x</t>
  </si>
  <si>
    <t>2x</t>
  </si>
  <si>
    <t>Force out</t>
  </si>
  <si>
    <t>Stroke Length</t>
  </si>
  <si>
    <t>X = torque radius (in)</t>
  </si>
  <si>
    <t>Motor torque = (ft-lbs)</t>
  </si>
  <si>
    <t>Y = push arm (in)</t>
  </si>
  <si>
    <t>Fa = Force input (lbs)</t>
  </si>
  <si>
    <t>horizontal</t>
  </si>
  <si>
    <t>vertical</t>
  </si>
  <si>
    <t>Cosine B</t>
  </si>
  <si>
    <t>B+C</t>
  </si>
  <si>
    <t>sin*B</t>
  </si>
  <si>
    <t>ROTATING ARM (with constant force spring)</t>
  </si>
  <si>
    <t>Arm weight</t>
  </si>
  <si>
    <t>Game piece weight</t>
  </si>
  <si>
    <t>Arm weight moment length (ft)</t>
  </si>
  <si>
    <t>Arm Weight Torque (ft-lbs)</t>
  </si>
  <si>
    <t>Spring pull radians</t>
  </si>
  <si>
    <t>Spring pull angle</t>
  </si>
  <si>
    <t>Spring down pull force</t>
  </si>
  <si>
    <t>Spring side pull force</t>
  </si>
  <si>
    <t>Spring pull torque</t>
  </si>
  <si>
    <t>Net arm torque with spring</t>
  </si>
  <si>
    <t>Game piece weight moment length</t>
  </si>
  <si>
    <t>Game piece Torque</t>
  </si>
  <si>
    <t>Arm + Game Piece Torque (unbalanced)</t>
  </si>
  <si>
    <t>Net arm torque with spring and game piece</t>
  </si>
  <si>
    <t># of motors</t>
  </si>
  <si>
    <t># of Motor &amp; Gear - sprocket ratio</t>
  </si>
  <si>
    <t>LOAD</t>
  </si>
  <si>
    <t>Needed torque</t>
  </si>
  <si>
    <t>Rotating Device Motor Selector</t>
  </si>
  <si>
    <t>Load</t>
  </si>
  <si>
    <t>Marker</t>
  </si>
  <si>
    <t>Motor Performance Curves</t>
  </si>
  <si>
    <t>Rotary Joint Gearing Design Calculations</t>
  </si>
  <si>
    <t>Motor Specs</t>
  </si>
  <si>
    <t>Spec Voltage (V)</t>
  </si>
  <si>
    <t>Free Speed (RPM)</t>
  </si>
  <si>
    <t>Stall Torque (N*m)</t>
  </si>
  <si>
    <t>Stall Current (Amp)</t>
  </si>
  <si>
    <t>Free Current (Amp)</t>
  </si>
  <si>
    <t>Mechanism Gearing:</t>
  </si>
  <si>
    <t>Driving Gear</t>
  </si>
  <si>
    <t>Driven Gear</t>
  </si>
  <si>
    <t>Overall Gear Reduction</t>
  </si>
  <si>
    <t>Mechanism Physical Chacteristics:</t>
  </si>
  <si>
    <t>Applied Motor Voltage (V)</t>
  </si>
  <si>
    <t>Load Torque Lever Arm (in)            [Arm Lengths]</t>
  </si>
  <si>
    <t>Gearbox Efficiency</t>
  </si>
  <si>
    <t>Mechanism Outputs Under Loading:</t>
  </si>
  <si>
    <t>Applied Load (lb)</t>
  </si>
  <si>
    <t>Max Loaded Current Draw (amp)</t>
  </si>
  <si>
    <t>Loaded Speed (degrees/sec)</t>
  </si>
  <si>
    <t>Time to move 90 Degrees</t>
  </si>
  <si>
    <t>Loaded Linear Tip Velocity (in/sec)</t>
  </si>
  <si>
    <t>Loaded Linear Tip Velocity (ft/sec)</t>
  </si>
  <si>
    <t>Mechanism Unloaded Performance Outputs:</t>
  </si>
  <si>
    <t>Stall Load (lb)</t>
  </si>
  <si>
    <t>Free Speed (degrees/sec)</t>
  </si>
  <si>
    <t>Linear Unloaded Tip Velocity (in/sec)</t>
  </si>
  <si>
    <t>Linear Unloaded Tip Velocity (ft/sec)</t>
  </si>
  <si>
    <t>Overall Reduction</t>
  </si>
  <si>
    <t>Motor Load Torque (N*m)</t>
  </si>
  <si>
    <t>Total Reduction</t>
  </si>
  <si>
    <t>Shaft Free Speed (RPM)</t>
  </si>
  <si>
    <t>Spec Voltage</t>
  </si>
  <si>
    <t>Spec voltage</t>
  </si>
  <si>
    <t>V</t>
  </si>
  <si>
    <t>Applied voltage</t>
  </si>
  <si>
    <t>A @</t>
  </si>
  <si>
    <t>Linear Motion Gearing Design Calculations</t>
  </si>
  <si>
    <t>Load Torque Lever Arm (in)            [Pulley Radius]</t>
  </si>
  <si>
    <t>Travel Distance (in)</t>
  </si>
  <si>
    <t>Time to move Travel Distance when under load (sec)</t>
  </si>
  <si>
    <t>Loaded Linear Speed (in/sec)</t>
  </si>
  <si>
    <t>Loaded Linear Speed (ft/sec)</t>
  </si>
  <si>
    <t>Loaded Rotational Speed (degrees/sec)</t>
  </si>
  <si>
    <t>Time to move Travel Distance when unloaded (sec)</t>
  </si>
  <si>
    <t>Linear Free Speed (in/sec)</t>
  </si>
  <si>
    <t>Linear Free Speed (ft/sec)</t>
  </si>
  <si>
    <t>JVN - Rotary Joint Design</t>
  </si>
  <si>
    <t>** Thanks to FRC 148 - Robowranglers - John Vielkind-Neun</t>
  </si>
  <si>
    <t>SELECT MOTOR</t>
  </si>
  <si>
    <t>Top View</t>
  </si>
  <si>
    <t>Front View</t>
  </si>
  <si>
    <t>Right View</t>
  </si>
  <si>
    <t>Size Constraint</t>
  </si>
  <si>
    <t>X - Length</t>
  </si>
  <si>
    <t>Y - Width</t>
  </si>
  <si>
    <t>Z - Height</t>
  </si>
  <si>
    <t>Weight</t>
  </si>
  <si>
    <t>Plot Data</t>
  </si>
  <si>
    <t>X</t>
  </si>
  <si>
    <t>Y</t>
  </si>
  <si>
    <t>Z</t>
  </si>
  <si>
    <t>Inspection Box</t>
  </si>
  <si>
    <t>&lt;--Enter data in shaded cells for both constraints and system estimates.</t>
  </si>
  <si>
    <t>Origin</t>
  </si>
  <si>
    <t xml:space="preserve">Size </t>
  </si>
  <si>
    <t>Center of Gravity Locations</t>
  </si>
  <si>
    <t>System Name</t>
  </si>
  <si>
    <t>dX</t>
  </si>
  <si>
    <t>dY</t>
  </si>
  <si>
    <t>dZ</t>
  </si>
  <si>
    <t>Weight 
Percentage</t>
  </si>
  <si>
    <t>gX</t>
  </si>
  <si>
    <t>gY</t>
  </si>
  <si>
    <t>gZ</t>
  </si>
  <si>
    <t>Drivetrain</t>
  </si>
  <si>
    <t>Electronics Board</t>
  </si>
  <si>
    <t>Mast</t>
  </si>
  <si>
    <t>Arm</t>
  </si>
  <si>
    <t>LH Ramp</t>
  </si>
  <si>
    <t>RH Ramp</t>
  </si>
  <si>
    <t>Manipulator</t>
  </si>
  <si>
    <t>System 6</t>
  </si>
  <si>
    <t>System 7</t>
  </si>
  <si>
    <t>System 8</t>
  </si>
  <si>
    <t>System 9</t>
  </si>
  <si>
    <t>System 10</t>
  </si>
  <si>
    <t>Total Weight</t>
  </si>
  <si>
    <t>Estimated CG =&gt;</t>
  </si>
  <si>
    <t>Bot Bounding Corners</t>
  </si>
  <si>
    <t>Approximate Tipping Angles</t>
  </si>
  <si>
    <t>Forward</t>
  </si>
  <si>
    <t>Backward</t>
  </si>
  <si>
    <t>Right</t>
  </si>
  <si>
    <t>Left</t>
  </si>
  <si>
    <t>Size</t>
  </si>
  <si>
    <t>Width</t>
  </si>
  <si>
    <t>Height</t>
  </si>
  <si>
    <t>** Thanks to FRC 1189 - Gearheads</t>
  </si>
  <si>
    <t>Reference</t>
  </si>
  <si>
    <t>Calculators</t>
  </si>
  <si>
    <t>Toggle Linkage</t>
  </si>
  <si>
    <t>Rotating Arm Loads</t>
  </si>
  <si>
    <t>Constant force spring</t>
  </si>
  <si>
    <r>
      <rPr>
        <b/>
        <sz val="14"/>
        <color theme="1"/>
        <rFont val="Calibri"/>
        <family val="2"/>
        <scheme val="minor"/>
      </rPr>
      <t>A</t>
    </r>
    <r>
      <rPr>
        <sz val="11"/>
        <color theme="1"/>
        <rFont val="Calibri"/>
        <family val="2"/>
        <scheme val="minor"/>
      </rPr>
      <t xml:space="preserve">   (pivot to arm COG)</t>
    </r>
  </si>
  <si>
    <r>
      <rPr>
        <b/>
        <sz val="14"/>
        <color theme="1"/>
        <rFont val="Calibri"/>
        <family val="2"/>
        <scheme val="minor"/>
      </rPr>
      <t xml:space="preserve">B </t>
    </r>
    <r>
      <rPr>
        <sz val="11"/>
        <color theme="1"/>
        <rFont val="Calibri"/>
        <family val="2"/>
        <scheme val="minor"/>
      </rPr>
      <t xml:space="preserve">  (pivot to spring connection)</t>
    </r>
  </si>
  <si>
    <r>
      <rPr>
        <b/>
        <sz val="14"/>
        <color theme="1"/>
        <rFont val="Calibri"/>
        <family val="2"/>
        <scheme val="minor"/>
      </rPr>
      <t>C</t>
    </r>
    <r>
      <rPr>
        <sz val="11"/>
        <color theme="1"/>
        <rFont val="Calibri"/>
        <family val="2"/>
        <scheme val="minor"/>
      </rPr>
      <t xml:space="preserve">   (mounting point for spring)</t>
    </r>
  </si>
  <si>
    <r>
      <rPr>
        <b/>
        <sz val="14"/>
        <color theme="1"/>
        <rFont val="Calibri"/>
        <family val="2"/>
        <scheme val="minor"/>
      </rPr>
      <t xml:space="preserve">D </t>
    </r>
    <r>
      <rPr>
        <sz val="11"/>
        <color theme="1"/>
        <rFont val="Calibri"/>
        <family val="2"/>
        <scheme val="minor"/>
      </rPr>
      <t xml:space="preserve">  (pivot to game piece COG)</t>
    </r>
  </si>
  <si>
    <t>Linear Device Motor Selector</t>
  </si>
  <si>
    <t>Operating V</t>
  </si>
  <si>
    <t>1-Speed Drivetrain Design Calculations</t>
  </si>
  <si>
    <t>Motor Specs and Drivetrain Parameters</t>
  </si>
  <si>
    <t>Applied Voltage (V)</t>
  </si>
  <si>
    <t>Adjusted Characteristics --&gt;</t>
  </si>
  <si>
    <t>Drivetrain Characteristics</t>
  </si>
  <si>
    <t>Gearboxes in Drivetrain</t>
  </si>
  <si>
    <t>Motors per Gearbox</t>
  </si>
  <si>
    <t>Drive Wheel Dia. (in)</t>
  </si>
  <si>
    <t>Contact Coeff of Friction</t>
  </si>
  <si>
    <t>Total Robot Weight (lbs)</t>
  </si>
  <si>
    <t>Weight on Driven Wheels</t>
  </si>
  <si>
    <t>Speed Loss Constant</t>
  </si>
  <si>
    <t>Drivetrain Efficiency</t>
  </si>
  <si>
    <t>Drive Wheel Radius (m)</t>
  </si>
  <si>
    <t>Drive Wheel Circum. (m/rev)</t>
  </si>
  <si>
    <t>Max Pushing Force (lbs)</t>
  </si>
  <si>
    <t>Slip Force per Gearbox (lbs)</t>
  </si>
  <si>
    <t>Slip Force per Gearbox (N)</t>
  </si>
  <si>
    <t>Required Gearbox Torque (N*m)</t>
  </si>
  <si>
    <t>Adjusted Torque (N*m)</t>
  </si>
  <si>
    <t>Drivetrain Ratios - Individual Stages &amp; Overall Gearing</t>
  </si>
  <si>
    <r>
      <t>General Reductions</t>
    </r>
    <r>
      <rPr>
        <b/>
        <sz val="8"/>
        <color indexed="10"/>
        <rFont val="Arial"/>
        <family val="2"/>
      </rPr>
      <t>:</t>
    </r>
  </si>
  <si>
    <t>Driving               Gear</t>
  </si>
  <si>
    <t>Driven                     Gear</t>
  </si>
  <si>
    <t>Gearbox &amp; Drivetrain Outputs</t>
  </si>
  <si>
    <t>Gearbox - General Outputs</t>
  </si>
  <si>
    <t xml:space="preserve">Output @ Max Continuous Load </t>
  </si>
  <si>
    <t>Max Wheel RPM</t>
  </si>
  <si>
    <t>Wheel Stall Torque (N*m)</t>
  </si>
  <si>
    <t>Robot Max Pushing Force (lbs)</t>
  </si>
  <si>
    <t>Motor Torque Load (N*m)</t>
  </si>
  <si>
    <t>Current Draw          per Motor (Amp)</t>
  </si>
  <si>
    <t>Total Drivetrain Current Draw (Amp)</t>
  </si>
  <si>
    <t>JVN Single Speed Drive Train</t>
  </si>
  <si>
    <t>No.</t>
  </si>
  <si>
    <t>Outside</t>
  </si>
  <si>
    <t>STANDARD ROLLER CHAIN SPROCKET DIAMETERS</t>
  </si>
  <si>
    <t>1/4 INCH PITCH - NO. 25</t>
  </si>
  <si>
    <t>.130-INCH DIAMETER ROLLER</t>
  </si>
  <si>
    <t>3/8 INCH PITCH - NO. 35</t>
  </si>
  <si>
    <t>.200-INCH DIAMETER ROLLER</t>
  </si>
  <si>
    <t>Chain tension at need torque load</t>
  </si>
  <si>
    <t>Chain</t>
  </si>
  <si>
    <t>pitch dia (in)</t>
  </si>
  <si>
    <t>tension (lbs)</t>
  </si>
  <si>
    <t># of Motor plus Gear / Sprocket ratio</t>
  </si>
  <si>
    <t>Make / Part</t>
  </si>
  <si>
    <t>217-3351 (Bag)</t>
  </si>
  <si>
    <t>217-3371 (mini CIM)</t>
  </si>
  <si>
    <t>am-2194 (RS775-125 motor)</t>
  </si>
  <si>
    <t>for the AndyMark PG27 gearmotor</t>
  </si>
  <si>
    <t>Output shaft</t>
  </si>
  <si>
    <t>JVN Linear</t>
  </si>
  <si>
    <t>Force needed</t>
  </si>
  <si>
    <t>Pulley radius</t>
  </si>
  <si>
    <t>Sprocket Dimensions - #25 &amp; #35</t>
  </si>
  <si>
    <t>Sprocket Dimensions</t>
  </si>
  <si>
    <t>Single Motor Performance Spec</t>
  </si>
  <si>
    <t>Input System Characteristics
 in yellow section</t>
  </si>
  <si>
    <t>Loaded Mechanism Outputs</t>
  </si>
  <si>
    <t>Degrees / sec</t>
  </si>
  <si>
    <t>Time to travel 90 degrees</t>
  </si>
  <si>
    <t>A</t>
  </si>
  <si>
    <t>sec</t>
  </si>
  <si>
    <t>Travel Distance</t>
  </si>
  <si>
    <t>Stall load</t>
  </si>
  <si>
    <t>Amperage at load</t>
  </si>
  <si>
    <t>RPM at load</t>
  </si>
  <si>
    <t>Travel rate</t>
  </si>
  <si>
    <t>in / sec</t>
  </si>
  <si>
    <t>CIM / FR801-001</t>
  </si>
  <si>
    <t>JVN DT Single Speed</t>
  </si>
  <si>
    <t>JVN DT Two Speed</t>
  </si>
  <si>
    <t>2-Speed Drivetrain Design Calculations</t>
  </si>
  <si>
    <t>General Reductions</t>
  </si>
  <si>
    <r>
      <t>Alternating Reductions</t>
    </r>
    <r>
      <rPr>
        <b/>
        <sz val="8"/>
        <color indexed="10"/>
        <rFont val="Arial"/>
        <family val="2"/>
      </rPr>
      <t>:</t>
    </r>
  </si>
  <si>
    <t>Driving              Gear</t>
  </si>
  <si>
    <t>Driven               Gear</t>
  </si>
  <si>
    <t>Low Gear --&gt;</t>
  </si>
  <si>
    <r>
      <t>High Gear --</t>
    </r>
    <r>
      <rPr>
        <sz val="10"/>
        <color indexed="15"/>
        <rFont val="Arial"/>
        <family val="2"/>
      </rPr>
      <t>&gt;</t>
    </r>
  </si>
  <si>
    <t>Overall Gearbox Reduction</t>
  </si>
  <si>
    <t>Equivalent Overall Reduction</t>
  </si>
  <si>
    <t>Reduction Difference</t>
  </si>
  <si>
    <r>
      <t>HIgh Gear --</t>
    </r>
    <r>
      <rPr>
        <sz val="10"/>
        <color indexed="15"/>
        <rFont val="Arial"/>
        <family val="2"/>
      </rPr>
      <t>&gt;</t>
    </r>
  </si>
  <si>
    <r>
      <t>Low Gear</t>
    </r>
    <r>
      <rPr>
        <b/>
        <sz val="14"/>
        <color indexed="9"/>
        <rFont val="Arial"/>
        <family val="2"/>
      </rPr>
      <t xml:space="preserve"> - General Outputs</t>
    </r>
  </si>
  <si>
    <t>Free-Speed (ft/s)</t>
  </si>
  <si>
    <t>Adjusted Speed (ft/s)</t>
  </si>
  <si>
    <t>CIM Current Draw (Amp)</t>
  </si>
  <si>
    <t>FP Current Draw (Amp)</t>
  </si>
  <si>
    <r>
      <t>High Gear</t>
    </r>
    <r>
      <rPr>
        <b/>
        <sz val="14"/>
        <color indexed="9"/>
        <rFont val="Arial"/>
        <family val="2"/>
      </rPr>
      <t xml:space="preserve"> - General Outputs</t>
    </r>
  </si>
  <si>
    <r>
      <t xml:space="preserve">Gearbox Design Toolset - Current Draw Limits                                                                          </t>
    </r>
    <r>
      <rPr>
        <b/>
        <sz val="16"/>
        <color indexed="9"/>
        <rFont val="Arial"/>
        <family val="2"/>
      </rPr>
      <t>How Much to Tweak Drivetrain Characteristics to Meet Goal Current Draw</t>
    </r>
  </si>
  <si>
    <t>Current Draw Goal:</t>
  </si>
  <si>
    <t>How To Meet Goal by Tweaking GEARING:</t>
  </si>
  <si>
    <t>Max Current Draw per Motor (Amp)</t>
  </si>
  <si>
    <t>Drivetrain Speed (ft/s)</t>
  </si>
  <si>
    <t>Max Motor Load (N*m)</t>
  </si>
  <si>
    <t>Required Gear Reduction</t>
  </si>
  <si>
    <r>
      <t xml:space="preserve">Tweaks Needed to Reach Current Draw Goal in </t>
    </r>
    <r>
      <rPr>
        <b/>
        <sz val="16"/>
        <color indexed="11"/>
        <rFont val="Arial"/>
        <family val="2"/>
      </rPr>
      <t>1st Gear</t>
    </r>
  </si>
  <si>
    <t>Don't change gearing and Tweak ONE of the following to achieve Current Draw goal:</t>
  </si>
  <si>
    <t>Additional Reduction</t>
  </si>
  <si>
    <t>New Wheel Diameter (in)</t>
  </si>
  <si>
    <t>New Drivetrain Efficiency</t>
  </si>
  <si>
    <t>New Coefficient of Friction</t>
  </si>
  <si>
    <t>New           Total Robot Weight (lb)</t>
  </si>
  <si>
    <r>
      <t xml:space="preserve">Tweaks Needed to Reach Current Draw Goal in </t>
    </r>
    <r>
      <rPr>
        <b/>
        <sz val="16"/>
        <color indexed="15"/>
        <rFont val="Arial"/>
        <family val="2"/>
      </rPr>
      <t>2nd Gear</t>
    </r>
  </si>
  <si>
    <t>1CIM</t>
  </si>
  <si>
    <t>2CIM - 1FP</t>
  </si>
  <si>
    <t>CIM - 37.495%</t>
  </si>
  <si>
    <t>CIM, Big CIM, FP</t>
  </si>
  <si>
    <t>CIM - 39.531%</t>
  </si>
  <si>
    <t>BCIM - 34.1%</t>
  </si>
  <si>
    <t>1CIM, 1 Big CIM</t>
  </si>
  <si>
    <t>CIM - 53.688%</t>
  </si>
  <si>
    <t>BCIM - 46.312%</t>
  </si>
  <si>
    <t>2CIM, 1 Big CIM</t>
  </si>
  <si>
    <t>CIM - 34.933%</t>
  </si>
  <si>
    <t>1 CIM, 1 FP</t>
  </si>
  <si>
    <t>CIM - 59.986%</t>
  </si>
  <si>
    <t>FP - 40.014%</t>
  </si>
  <si>
    <t>JVN Two Speed Drive Train</t>
  </si>
  <si>
    <t>JesseK DT Model - 1885 iLite</t>
  </si>
  <si>
    <t>Print Boundary -- ONLY Columns B thru O will print.  Put all non-print calculations to the RIGHT</t>
  </si>
  <si>
    <t>Motor</t>
  </si>
  <si>
    <t>Motor Load While Turning</t>
  </si>
  <si>
    <t>Stall Torque (Nm)</t>
  </si>
  <si>
    <t>Intermediary Calculations (useful for debugging, but not presentation)</t>
  </si>
  <si>
    <t>Motor Curve Data</t>
  </si>
  <si>
    <t>Voltage Ratio</t>
  </si>
  <si>
    <t>Index</t>
  </si>
  <si>
    <t>M Power</t>
  </si>
  <si>
    <t>E Power</t>
  </si>
  <si>
    <t>Norm. Tq</t>
  </si>
  <si>
    <t>Norm. Spd</t>
  </si>
  <si>
    <t>Norm. Cur</t>
  </si>
  <si>
    <t>Norm. Pwr</t>
  </si>
  <si>
    <t>B</t>
  </si>
  <si>
    <t>D</t>
  </si>
  <si>
    <t>Total # of Motors</t>
  </si>
  <si>
    <t>-D/B</t>
  </si>
  <si>
    <t>Mecanum Mult</t>
  </si>
  <si>
    <t>Time</t>
  </si>
  <si>
    <t>Distance (ft)</t>
  </si>
  <si>
    <t>Velocity (ft/s)</t>
  </si>
  <si>
    <t>Super Shifter Gearbox</t>
  </si>
  <si>
    <t>Driving</t>
  </si>
  <si>
    <t>Driven</t>
  </si>
  <si>
    <t xml:space="preserve"> Efficiency</t>
  </si>
  <si>
    <t>Torque Load (Nm)</t>
  </si>
  <si>
    <t>Speed (RPM)</t>
  </si>
  <si>
    <t>Current Draw (A)</t>
  </si>
  <si>
    <t>Motor Curve Load Points</t>
  </si>
  <si>
    <t>(seconds)</t>
  </si>
  <si>
    <t>Diff. between High/Low Gear</t>
  </si>
  <si>
    <t>High Gear:</t>
  </si>
  <si>
    <t>: 1</t>
  </si>
  <si>
    <t>Distance to Goal (m)</t>
  </si>
  <si>
    <t>Drive Train</t>
  </si>
  <si>
    <t>Mass (kg)</t>
  </si>
  <si>
    <t>Wheels</t>
  </si>
  <si>
    <t>Radius (m)</t>
  </si>
  <si>
    <t>Wheel Diameter (in)</t>
  </si>
  <si>
    <t>Gearbox Eff.</t>
  </si>
  <si>
    <t>Longitude Coefficient of Friction</t>
  </si>
  <si>
    <t># of Motors</t>
  </si>
  <si>
    <t>Lateral Coefficient of Friction</t>
  </si>
  <si>
    <t>Straight Line Current Consumed (mAh) vs Gearing</t>
  </si>
  <si>
    <t>Drop-Center Turn Multiplier</t>
  </si>
  <si>
    <t>Are center wheels dropped?</t>
  </si>
  <si>
    <t>YES</t>
  </si>
  <si>
    <t>Dist COA-COM (in)</t>
  </si>
  <si>
    <t>Omni-directional or Mecanum Drive Setup?</t>
  </si>
  <si>
    <t>NO</t>
  </si>
  <si>
    <t>Dimension Turn Cond.</t>
  </si>
  <si>
    <t>Force Turn Condition</t>
  </si>
  <si>
    <t>Force to Turn (N)</t>
  </si>
  <si>
    <t>Robot Inspection Weight (lbs)</t>
  </si>
  <si>
    <t>Total Torque to Turn (Nm)</t>
  </si>
  <si>
    <t>Bumper &amp; Auxilliary Weight (lbs)</t>
  </si>
  <si>
    <t>Low Gear Pushing Power (lbs) vs. Gearing</t>
  </si>
  <si>
    <t>Gearing Chart Load Points</t>
  </si>
  <si>
    <t>Battery Weight (lbs)</t>
  </si>
  <si>
    <t>Drive Base</t>
  </si>
  <si>
    <t>Wheel Base Length (in)</t>
  </si>
  <si>
    <t>Start:</t>
  </si>
  <si>
    <t>Step:</t>
  </si>
  <si>
    <t>End</t>
  </si>
  <si>
    <t>Wheel base Width (in)</t>
  </si>
  <si>
    <t>Option</t>
  </si>
  <si>
    <t>Weight Distribution (front)</t>
  </si>
  <si>
    <t>Total Momentary Turning Current Draw (A) vs. Gearing</t>
  </si>
  <si>
    <t>Weight Distribution (left/right)</t>
  </si>
  <si>
    <t>Current (A)</t>
  </si>
  <si>
    <t>Gearing</t>
  </si>
  <si>
    <t>Pivot Point Stall Torque (Nm)</t>
  </si>
  <si>
    <t>Field &amp; Match Characteristics</t>
  </si>
  <si>
    <t>Pivot Free Speed After Friction (rad/s)</t>
  </si>
  <si>
    <t>Distance to Goal (ft)</t>
  </si>
  <si>
    <t>Pivot Free Speed (RPM)</t>
  </si>
  <si>
    <t>Angle of Incline (degrees)</t>
  </si>
  <si>
    <t>Weight (lbs)</t>
  </si>
  <si>
    <t># of Times to do per Match</t>
  </si>
  <si>
    <t>Weight from Friction (N)</t>
  </si>
  <si>
    <t>Total Weight (N)</t>
  </si>
  <si>
    <t>Outputs</t>
  </si>
  <si>
    <t>Motor Load from Friction (Nm)</t>
  </si>
  <si>
    <t>Speed (ft/s)</t>
  </si>
  <si>
    <t>Low Gear (ft/s)</t>
  </si>
  <si>
    <t>Accel. Dist (ft)</t>
  </si>
  <si>
    <t>Time to Goal (s)</t>
  </si>
  <si>
    <t>Can Turn?</t>
  </si>
  <si>
    <t>Under-Torqued?</t>
  </si>
  <si>
    <t>High Gear Max Push</t>
  </si>
  <si>
    <t>Low Gear Max Push</t>
  </si>
  <si>
    <t>Battery Used (mAh)</t>
  </si>
  <si>
    <t>Wheel Radius (m)</t>
  </si>
  <si>
    <t>Graph Diameter (inches)</t>
  </si>
  <si>
    <t>Theoretical</t>
  </si>
  <si>
    <t>B_Constant</t>
  </si>
  <si>
    <t>Actual</t>
  </si>
  <si>
    <t>D_Constant</t>
  </si>
  <si>
    <t>Print Boundary</t>
  </si>
  <si>
    <t>B^2x/D</t>
  </si>
  <si>
    <t>Start Ratio</t>
  </si>
  <si>
    <t>GEARING CHART</t>
  </si>
  <si>
    <t>End Ratio</t>
  </si>
  <si>
    <t>Time To Goal</t>
  </si>
  <si>
    <t>Accel. Time</t>
  </si>
  <si>
    <t>Accel. Distance (ft)</t>
  </si>
  <si>
    <t>CREDITS</t>
  </si>
  <si>
    <t>Speed at the goal (ft/s)</t>
  </si>
  <si>
    <t>Prod Log --&gt;</t>
  </si>
  <si>
    <t>http://www.chiefdelphi.com/media/papers/2059</t>
  </si>
  <si>
    <t>Current from Friction (A)</t>
  </si>
  <si>
    <t>Robot Turning Forces by Mark Kramarczyk, Team 1189 "The Gearheads"</t>
  </si>
  <si>
    <t>Free Current = If + I(frict)</t>
  </si>
  <si>
    <t>http://www.chiefdelphi.com/media/papers/1917</t>
  </si>
  <si>
    <t>A_Const = (stall-free)</t>
  </si>
  <si>
    <t>Who based his spreadsheet is based upon a whitepaper written by Chris Hibner, Team 51 entitled "Drivetrain Basics (How to Be Sure Your Robot Will Turn)" - 10/2/2003</t>
  </si>
  <si>
    <t>Current during Accel. (mAh)</t>
  </si>
  <si>
    <t>http://www.chiefdelphi.com/media/papers/1443</t>
  </si>
  <si>
    <t>Current after accel before goal (mAh)</t>
  </si>
  <si>
    <t>Ether, an unaffiliated Systems Engineer, provided some incredible insights into the Physics of minibot races, which then provided the avenue to simplify this entire workbook:</t>
  </si>
  <si>
    <t>Total Current (mAh)</t>
  </si>
  <si>
    <t>Low Gear Pushing Power (lbs)</t>
  </si>
  <si>
    <t>http://www.chiefdelphi.com/media/papers/2470</t>
  </si>
  <si>
    <t>Turning Current Draw, High Gear (A)</t>
  </si>
  <si>
    <t>Turning Motor Load</t>
  </si>
  <si>
    <t>Jesse K Drive Train Model</t>
  </si>
  <si>
    <t>FROM</t>
  </si>
  <si>
    <t>TO</t>
  </si>
  <si>
    <t>CONVERSION</t>
  </si>
  <si>
    <t>POWER</t>
  </si>
  <si>
    <t>watt</t>
  </si>
  <si>
    <t>ft-lb/min</t>
  </si>
  <si>
    <t>Motors</t>
  </si>
  <si>
    <t>ft-lb/s</t>
  </si>
  <si>
    <t>Input Units</t>
  </si>
  <si>
    <t>Output Units</t>
  </si>
  <si>
    <t>in-lb/s</t>
  </si>
  <si>
    <t>watts</t>
  </si>
  <si>
    <t>ENERGY</t>
  </si>
  <si>
    <t>ft-lb</t>
  </si>
  <si>
    <t>joules</t>
  </si>
  <si>
    <t>Product Log Lookup Table</t>
  </si>
  <si>
    <t>Increment:</t>
  </si>
  <si>
    <t>W(A)</t>
  </si>
  <si>
    <t>inch</t>
  </si>
  <si>
    <t>meter</t>
  </si>
  <si>
    <t>Weight/Mass</t>
  </si>
  <si>
    <t>pound</t>
  </si>
  <si>
    <t>Newton</t>
  </si>
  <si>
    <t>Low Gear</t>
  </si>
  <si>
    <t>Hi Gear</t>
  </si>
  <si>
    <t>0.125 in</t>
  </si>
  <si>
    <t>10mm with 4mm key</t>
  </si>
  <si>
    <t>ft / sec</t>
  </si>
  <si>
    <t>Compound Spur Gear Sets</t>
  </si>
  <si>
    <t>2 Stage Cascade Elevator Loads (with constant force spring)</t>
  </si>
  <si>
    <r>
      <t xml:space="preserve">W1 - </t>
    </r>
    <r>
      <rPr>
        <sz val="12"/>
        <color theme="1"/>
        <rFont val="Calibri"/>
        <family val="2"/>
        <scheme val="minor"/>
      </rPr>
      <t>Weight of first stage</t>
    </r>
  </si>
  <si>
    <r>
      <t xml:space="preserve">W2 - </t>
    </r>
    <r>
      <rPr>
        <sz val="12"/>
        <color theme="1"/>
        <rFont val="Calibri"/>
        <family val="2"/>
        <scheme val="minor"/>
      </rPr>
      <t>Weight of second stage</t>
    </r>
  </si>
  <si>
    <r>
      <rPr>
        <b/>
        <sz val="12"/>
        <color theme="1"/>
        <rFont val="Calibri"/>
        <family val="2"/>
        <scheme val="minor"/>
      </rPr>
      <t xml:space="preserve">GP - </t>
    </r>
    <r>
      <rPr>
        <sz val="12"/>
        <color theme="1"/>
        <rFont val="Calibri"/>
        <family val="2"/>
        <scheme val="minor"/>
      </rPr>
      <t>Weight of the game piece (added to second stage weight)</t>
    </r>
  </si>
  <si>
    <t>Constant force spring counter balance</t>
  </si>
  <si>
    <r>
      <t xml:space="preserve">Force on motor cable 
</t>
    </r>
    <r>
      <rPr>
        <sz val="9"/>
        <color theme="1"/>
        <rFont val="Calibri"/>
        <family val="2"/>
        <scheme val="minor"/>
      </rPr>
      <t>W1+2*(W2+GP)- spring</t>
    </r>
  </si>
  <si>
    <t>Motor load</t>
  </si>
  <si>
    <r>
      <t xml:space="preserve">Diameter: </t>
    </r>
    <r>
      <rPr>
        <sz val="12"/>
        <color theme="1"/>
        <rFont val="Calibri"/>
        <family val="2"/>
        <scheme val="minor"/>
      </rPr>
      <t>cable drum or sprocket</t>
    </r>
  </si>
  <si>
    <t>in-lbs</t>
  </si>
  <si>
    <t>Torque needed</t>
  </si>
  <si>
    <t>Net force needed</t>
  </si>
  <si>
    <t>Stage 1 travel distance</t>
  </si>
  <si>
    <t>Stage 2 travel distance</t>
  </si>
  <si>
    <t>Total Distance</t>
  </si>
  <si>
    <t>RPM at stage 1 load</t>
  </si>
  <si>
    <t>Travel rate: Stage 1</t>
  </si>
  <si>
    <t>Travel Distance stage 1</t>
  </si>
  <si>
    <t>Travel rate: Stage 2</t>
  </si>
  <si>
    <t>AndyMark / PG27 Gearmotor (am-0915)</t>
  </si>
  <si>
    <t>\</t>
  </si>
  <si>
    <t>\\</t>
  </si>
  <si>
    <t>Torque Constant (Kt)</t>
  </si>
  <si>
    <t>Torque is proportional to current</t>
  </si>
  <si>
    <t>Units:  Nm / amp</t>
  </si>
  <si>
    <t>Voltage Constant (Ke)</t>
  </si>
  <si>
    <t>(aka - back emf)</t>
  </si>
  <si>
    <t>Internal voltage is proportional to rotational speed</t>
  </si>
  <si>
    <t>Units:  V/ (Rad/s)</t>
  </si>
  <si>
    <t>One rotation = 2pi radians</t>
  </si>
  <si>
    <t>Torque loss</t>
  </si>
  <si>
    <t>Resistance (internal)</t>
  </si>
  <si>
    <t>Units: ohms</t>
  </si>
  <si>
    <t>Key parameters</t>
  </si>
  <si>
    <t xml:space="preserve">Stall torque  </t>
  </si>
  <si>
    <t>Stall amps</t>
  </si>
  <si>
    <t>Free speed amps</t>
  </si>
  <si>
    <t>Torque loss at free speed</t>
  </si>
  <si>
    <t>Kt (Nm/amp)</t>
  </si>
  <si>
    <t>Equation:   R = Voltage / Stall current</t>
  </si>
  <si>
    <t>R</t>
  </si>
  <si>
    <t>Equation:  Kt = Stall torque/(stall amps - free speed amps)</t>
  </si>
  <si>
    <t>Ke (V/(rad/s)</t>
  </si>
  <si>
    <t>Free speed (rad/s)</t>
  </si>
  <si>
    <t>Tloss</t>
  </si>
  <si>
    <t>Units: Nm</t>
  </si>
  <si>
    <t>Equation:  Tloss = Kt * free speed amps</t>
  </si>
  <si>
    <t>Simplified model</t>
  </si>
  <si>
    <t>Voltage = Ke*speed +  current*R</t>
  </si>
  <si>
    <t>Torque = Kt*current - Tloss</t>
  </si>
  <si>
    <t>Equation:  Ke = (Voltage - Free Current*R)/Free speed</t>
  </si>
  <si>
    <t>Current = (Torque + Tloss)/Kt</t>
  </si>
  <si>
    <t>Speed = (Voltage - Current*R)/Ke</t>
  </si>
  <si>
    <t>Power output = Torque * speed     (Nm * rad /s)</t>
  </si>
  <si>
    <t>Power input = Voltage * current</t>
  </si>
  <si>
    <t>Power loss = Power input - power output</t>
  </si>
  <si>
    <t>Efficiency = Power output / Power input</t>
  </si>
  <si>
    <t>Assumes all wheels are driven</t>
  </si>
  <si>
    <t>775pro</t>
  </si>
  <si>
    <t>am-0912 (w/ Vex performance data)</t>
  </si>
  <si>
    <t>Performance data published at motors.vex.com</t>
  </si>
  <si>
    <t>ft/sec</t>
  </si>
  <si>
    <t>in/sec</t>
  </si>
  <si>
    <t>Radius</t>
  </si>
  <si>
    <t>25 Chain</t>
  </si>
  <si>
    <t>35 Chain</t>
  </si>
  <si>
    <t xml:space="preserve">pitch </t>
  </si>
  <si>
    <t>dia</t>
  </si>
  <si>
    <t>radius</t>
  </si>
  <si>
    <t>Max Wheel RPM adjusted</t>
  </si>
  <si>
    <t>TOC</t>
  </si>
  <si>
    <t>Table of contents</t>
  </si>
  <si>
    <t>Units</t>
  </si>
  <si>
    <t>Unit conversions</t>
  </si>
  <si>
    <t>Motor characteristics</t>
  </si>
  <si>
    <t>Tab</t>
  </si>
  <si>
    <t>Contents</t>
  </si>
  <si>
    <t>update with 2015 legal motors - remove banebots, add Vexpro</t>
  </si>
  <si>
    <t>Graphs motor performance curves from characteristics data</t>
  </si>
  <si>
    <t xml:space="preserve">Primarily a visual aid.   Please note that the x-axis is torque - not speed.  </t>
  </si>
  <si>
    <t>Motor Equations</t>
  </si>
  <si>
    <t xml:space="preserve">DC Motor Math </t>
  </si>
  <si>
    <t>Reference only.</t>
  </si>
  <si>
    <t>Cylinder reference sheet</t>
  </si>
  <si>
    <t>Sprocket Sizes</t>
  </si>
  <si>
    <t>25 and 35 sprocket dimensions</t>
  </si>
  <si>
    <t>CALCULATORS</t>
  </si>
  <si>
    <t>Sprocket Distance</t>
  </si>
  <si>
    <t>Calculates center-to-center distance for sprockets</t>
  </si>
  <si>
    <t>25 or 35 chain</t>
  </si>
  <si>
    <t>Gear Calculations</t>
  </si>
  <si>
    <t>Calculates gear / speed reduction ratios based on tooth count</t>
  </si>
  <si>
    <t>Visualize forces while driving on flat surface or ramp.</t>
  </si>
  <si>
    <t>Use to estimate if your drive train will be traction limited.</t>
  </si>
  <si>
    <t>Resource Links</t>
  </si>
  <si>
    <t>Links to various vendor and team websites</t>
  </si>
  <si>
    <t>FRC Team Design Resources</t>
  </si>
  <si>
    <t>http://www.team358.org/files/electrical/</t>
  </si>
  <si>
    <t>http://www.team358.org/files/mechanical/</t>
  </si>
  <si>
    <t>http://www.team358.org/files/pneumatic/</t>
  </si>
  <si>
    <t>https://www.youtube.com/watch?v=WPX3z-qLSk0</t>
  </si>
  <si>
    <t>http://thinktank.wpi.edu/Portal</t>
  </si>
  <si>
    <t>WPI - "Think Tank" Resources</t>
  </si>
  <si>
    <t>http://www.simbotics.org/resources</t>
  </si>
  <si>
    <t>https://www.youtube.com/watch?v=ADcqUWYyHgk&amp;index=4&amp;list=PLG_KOHBuXHNdxeFJBcio6sOEVMR821tkV</t>
  </si>
  <si>
    <t>FRC 1114 - Resouce link</t>
  </si>
  <si>
    <t>FRC 1114 - Drive Train Design</t>
  </si>
  <si>
    <t>FRC 358 - Mechanical Resources</t>
  </si>
  <si>
    <t>FRC 358 - Pneumatic Resources</t>
  </si>
  <si>
    <t>FRC 358 - Electrical Resources</t>
  </si>
  <si>
    <t>http://www.chiefdelphi.com/media/papers/3188</t>
  </si>
  <si>
    <t>JVN Calculator - Chief Delphi Paper</t>
  </si>
  <si>
    <t>http://www.indgassprings.com/how-gas-springs-work.html</t>
  </si>
  <si>
    <t>Gas Springs</t>
  </si>
  <si>
    <t>FRC / Robotics Suppliers</t>
  </si>
  <si>
    <t>GameSense Behind the Lines - Motor Calculations Seminar</t>
  </si>
  <si>
    <t>http://www.andymark.com/Education-s/194.htm</t>
  </si>
  <si>
    <t>AndyMark Education Material</t>
  </si>
  <si>
    <t>http://motors.vex.com/</t>
  </si>
  <si>
    <t>Vex Robotics - Motor information</t>
  </si>
  <si>
    <t>http://www.bbman.com/catalog/belt-length-calculator.html</t>
  </si>
  <si>
    <t>Belt Length Calculator</t>
  </si>
  <si>
    <t>Other Suppliers</t>
  </si>
  <si>
    <t>SPREADSHEET NOTES</t>
  </si>
  <si>
    <t>Force, torque, power, energy and distance conversions</t>
  </si>
  <si>
    <t>Select units from dropdown lists.</t>
  </si>
  <si>
    <t>Enter known units in column A</t>
  </si>
  <si>
    <t>NOTES</t>
  </si>
  <si>
    <t>Other Resource Links</t>
  </si>
  <si>
    <t>RESOURCE LINKS</t>
  </si>
  <si>
    <t>PG188 Gearmotor (am-2193a)</t>
  </si>
  <si>
    <t>3.5ft-lbs needed to backdrive, 188:1 gearbox with am-2765 motor. Maximum torque applied at shaft which breaks gearbox: 39 ft-lbs (breakage point is shearing of shaft)</t>
  </si>
  <si>
    <t>1.3ft-lbs needed to backdrive.  3 stage 71:1 reduction.  AM-2765 motor. Maximum torque applied at shaft which breaks gearbox: 39 ft-lbs (breakage point is shearing of shaft)</t>
  </si>
  <si>
    <t>Snowblower (am-2235)</t>
  </si>
  <si>
    <t>PG27 Gearmotor (am-0915a)</t>
  </si>
  <si>
    <t>0.3ft-lbs needed to backdrive, 26.9:1 gear reduction.  AM-2766 motor.</t>
  </si>
  <si>
    <t>PG71 Gearmotor w/ RS755 (am-2971)</t>
  </si>
  <si>
    <t>PG71 Gearmotor w/ am 9015 (am-2084)</t>
  </si>
  <si>
    <t>AM 9015 (am-0912)</t>
  </si>
  <si>
    <t>AndyMark / AM 9015 (am-0912)</t>
  </si>
  <si>
    <t>Rotational speed with no torque load on motor</t>
  </si>
  <si>
    <t>Comment</t>
  </si>
  <si>
    <t>radians / sec</t>
  </si>
  <si>
    <t>Current draw at rated voltage with no torque load on motor</t>
  </si>
  <si>
    <t>Current draw at rated voltage with motor stalled</t>
  </si>
  <si>
    <t>Newton-meters</t>
  </si>
  <si>
    <t>amperes</t>
  </si>
  <si>
    <t>Motor torque delivered at stall conditions at rated voltage</t>
  </si>
  <si>
    <t>Simplified DC Motor Equations</t>
  </si>
  <si>
    <t>REFERENCE  MATERIAL</t>
  </si>
  <si>
    <t>JVN-DT</t>
  </si>
  <si>
    <t>JVN-DT 2 speed</t>
  </si>
  <si>
    <t>JeeseK_DT_Model</t>
  </si>
  <si>
    <t>Cascade Elevator</t>
  </si>
  <si>
    <t>Load estimator for a cascade style 3 stage elevator</t>
  </si>
  <si>
    <t>Also includes a description of the cascade elevator rigging</t>
  </si>
  <si>
    <t>Rotating Arm</t>
  </si>
  <si>
    <t>Load estimator for a rotating arm joint</t>
  </si>
  <si>
    <t>Also includes a constant force spring calculation to offset the load</t>
  </si>
  <si>
    <t>BaneBots</t>
  </si>
  <si>
    <t>BaneBots / M5-RS550-12</t>
  </si>
  <si>
    <t>M5-RS550-12</t>
  </si>
  <si>
    <t>Can use Banebot P60 5nn gearboxes up to 35ft-lbs of needed torque.  Stock gear ratios 4:1, 5:1, 16:1, 20:1, 26:1, 64, 81, 104, 132, 256:1</t>
  </si>
  <si>
    <t>BaneBots / M7-RS775-18</t>
  </si>
  <si>
    <t>M7-RS775-18</t>
  </si>
  <si>
    <t>18V nominal motor.  Specifications listed for 12V nominal performance.  Can use Banebot P60 7nn gearboxes up to 35ft-lbs of needed torque.  Stock gear ratios 4:1,16:1, 64:1, 256:1</t>
  </si>
  <si>
    <r>
      <t>F</t>
    </r>
    <r>
      <rPr>
        <sz val="8"/>
        <color rgb="FF000000"/>
        <rFont val="Calibri"/>
        <family val="2"/>
        <scheme val="minor"/>
      </rPr>
      <t>DRAG</t>
    </r>
  </si>
  <si>
    <t>Air Drag</t>
  </si>
  <si>
    <r>
      <t>F</t>
    </r>
    <r>
      <rPr>
        <sz val="9"/>
        <color rgb="FF000000"/>
        <rFont val="Calibri"/>
        <family val="2"/>
        <scheme val="minor"/>
      </rPr>
      <t>rr</t>
    </r>
  </si>
  <si>
    <t>Rolling resistance</t>
  </si>
  <si>
    <t>Axle Torque at stall - low speed gear</t>
  </si>
  <si>
    <t>Axle Torque at stall - hi speed gear</t>
  </si>
  <si>
    <t>NOTE:  User input is marked with a yellow highlighted cell.   Be careful not to erase any formulas.   Cells are not locked.</t>
  </si>
  <si>
    <t>Single speed drive train calculator</t>
  </si>
  <si>
    <t>Published on Chief Delphi.   Refer to Resource link tab</t>
  </si>
  <si>
    <t>2 speed drive calculator</t>
  </si>
  <si>
    <t>Models acceleration, time to distance, speed, and turning forces of a drive train.</t>
  </si>
  <si>
    <t>Select motor / gearbox combination for a linear device</t>
  </si>
  <si>
    <t>Linear devices include single stage elevators / lifts, conveyors, and intake mechanisms</t>
  </si>
  <si>
    <t>JVN-Linear</t>
  </si>
  <si>
    <t>JVN Rotary</t>
  </si>
  <si>
    <t>Source material for Linear Device tab</t>
  </si>
  <si>
    <t>Source material for Rorating Device tab</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</si>
</sst>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3" formatCode="_(* #,##0.00_);_(* \(#,##0.00\);_(* &quot;-&quot;??_);_(@_)"/>
    <numFmt numFmtId="164" formatCode="_(* #,##0.0_);_(* \(#,##0.0\);_(* &quot;-&quot;??_);_(@_)"/>
    <numFmt numFmtId="165" formatCode="_(* #,##0_);_(* \(#,##0\);_(* &quot;-&quot;??_);_(@_)"/>
    <numFmt numFmtId="166" formatCode="_(* #,##0.000_);_(* \(#,##0.000\);_(* &quot;-&quot;??_);_(@_)"/>
    <numFmt numFmtId="167" formatCode="0.0"/>
    <numFmt numFmtId="168" formatCode="0.000"/>
    <numFmt numFmtId="169" formatCode="_(* #,##0_);_(* \(#,##0\);_(* &quot;-&quot;???_);_(@_)"/>
    <numFmt numFmtId="170" formatCode="_(* #,##0.000_);_(* \(#,##0.000\);_(* &quot;-&quot;???_);_(@_)"/>
    <numFmt numFmtId="171" formatCode="0.0000"/>
    <numFmt numFmtId="172" formatCode="0.0&quot; : 1&quot;"/>
    <numFmt numFmtId="173" formatCode="_(* #,##0.0000_);_(* \(#,##0.0000\);_(* &quot;-&quot;??_);_(@_)"/>
    <numFmt numFmtId="174" formatCode="0.0%"/>
    <numFmt numFmtId="175" formatCode="0.00000"/>
    <numFmt numFmtId="176" formatCode="_(* #,##0.00000_);_(* \(#,##0.00000\);_(* &quot;-&quot;??_);_(@_)"/>
  </numFmts>
  <fonts count="106" x14ac:knownFonts="1">
    <font>
      <sz val="11"/>
      <color theme="1"/>
      <name val="Calibri"/>
      <family val="2"/>
      <scheme val="minor"/>
    </font>
    <font>
      <sz val="11"/>
      <color theme="1"/>
      <name val="Calibri"/>
      <family val="2"/>
      <scheme val="minor"/>
    </font>
    <font>
      <i/>
      <sz val="9"/>
      <color theme="1"/>
      <name val="Calibri"/>
      <family val="2"/>
      <scheme val="minor"/>
    </font>
    <font>
      <b/>
      <sz val="12"/>
      <color theme="1"/>
      <name val="Calibri"/>
      <family val="2"/>
      <scheme val="minor"/>
    </font>
    <font>
      <sz val="12"/>
      <color theme="1"/>
      <name val="Calibri"/>
      <family val="2"/>
      <scheme val="minor"/>
    </font>
    <font>
      <i/>
      <sz val="9"/>
      <color theme="0"/>
      <name val="Calibri"/>
      <family val="2"/>
      <scheme val="minor"/>
    </font>
    <font>
      <sz val="10"/>
      <color theme="1"/>
      <name val="Calibri"/>
      <family val="2"/>
      <scheme val="minor"/>
    </font>
    <font>
      <sz val="14"/>
      <name val="Arial"/>
      <family val="2"/>
    </font>
    <font>
      <b/>
      <sz val="12"/>
      <name val="Arial"/>
      <family val="2"/>
    </font>
    <font>
      <b/>
      <sz val="10"/>
      <name val="Arial"/>
      <family val="2"/>
    </font>
    <font>
      <sz val="11"/>
      <color theme="0"/>
      <name val="Calibri"/>
      <family val="2"/>
      <scheme val="minor"/>
    </font>
    <font>
      <sz val="16"/>
      <color theme="1"/>
      <name val="Calibri"/>
      <family val="2"/>
      <scheme val="minor"/>
    </font>
    <font>
      <b/>
      <sz val="18"/>
      <color theme="1"/>
      <name val="Calibri"/>
      <family val="2"/>
      <scheme val="minor"/>
    </font>
    <font>
      <sz val="8"/>
      <color theme="1"/>
      <name val="Calibri"/>
      <family val="2"/>
      <scheme val="minor"/>
    </font>
    <font>
      <sz val="16"/>
      <color theme="1"/>
      <name val="Calibri"/>
      <family val="2"/>
    </font>
    <font>
      <b/>
      <i/>
      <sz val="9"/>
      <color theme="1"/>
      <name val="Calibri"/>
      <family val="2"/>
      <scheme val="minor"/>
    </font>
    <font>
      <sz val="14"/>
      <color theme="0"/>
      <name val="Calibri"/>
      <family val="2"/>
      <scheme val="minor"/>
    </font>
    <font>
      <i/>
      <sz val="10"/>
      <color theme="1"/>
      <name val="Calibri"/>
      <family val="2"/>
      <scheme val="minor"/>
    </font>
    <font>
      <b/>
      <i/>
      <sz val="12"/>
      <color theme="1"/>
      <name val="Calibri"/>
      <family val="2"/>
      <scheme val="minor"/>
    </font>
    <font>
      <b/>
      <sz val="11"/>
      <color theme="1"/>
      <name val="Calibri"/>
      <family val="2"/>
      <scheme val="minor"/>
    </font>
    <font>
      <b/>
      <sz val="14"/>
      <color theme="1"/>
      <name val="Calibri"/>
      <family val="2"/>
      <scheme val="minor"/>
    </font>
    <font>
      <b/>
      <sz val="16"/>
      <color theme="1"/>
      <name val="Calibri"/>
      <family val="2"/>
      <scheme val="minor"/>
    </font>
    <font>
      <sz val="10"/>
      <color theme="1"/>
      <name val="Arial"/>
      <family val="2"/>
    </font>
    <font>
      <sz val="11"/>
      <name val="Calibri"/>
      <family val="2"/>
      <scheme val="minor"/>
    </font>
    <font>
      <i/>
      <sz val="10"/>
      <color theme="1"/>
      <name val="Arial"/>
      <family val="2"/>
    </font>
    <font>
      <b/>
      <sz val="12"/>
      <color theme="0"/>
      <name val="Arial"/>
      <family val="2"/>
    </font>
    <font>
      <b/>
      <i/>
      <sz val="12"/>
      <name val="Arial"/>
      <family val="2"/>
    </font>
    <font>
      <b/>
      <sz val="12"/>
      <name val="Calibri"/>
      <family val="2"/>
      <scheme val="minor"/>
    </font>
    <font>
      <sz val="11"/>
      <color rgb="FF000000"/>
      <name val="Calibri"/>
      <family val="2"/>
    </font>
    <font>
      <i/>
      <sz val="11"/>
      <color theme="1"/>
      <name val="Calibri"/>
      <family val="2"/>
      <scheme val="minor"/>
    </font>
    <font>
      <sz val="14"/>
      <name val="Arial"/>
      <family val="2"/>
    </font>
    <font>
      <sz val="8"/>
      <color indexed="63"/>
      <name val="Arial"/>
      <family val="2"/>
    </font>
    <font>
      <sz val="8"/>
      <name val="Arial"/>
      <family val="2"/>
    </font>
    <font>
      <b/>
      <sz val="11"/>
      <color theme="0"/>
      <name val="Calibri"/>
      <family val="2"/>
      <scheme val="minor"/>
    </font>
    <font>
      <b/>
      <sz val="14"/>
      <color theme="0"/>
      <name val="Calibri"/>
      <family val="2"/>
      <scheme val="minor"/>
    </font>
    <font>
      <b/>
      <sz val="16"/>
      <color theme="0"/>
      <name val="Calibri"/>
      <family val="2"/>
      <scheme val="minor"/>
    </font>
    <font>
      <sz val="14"/>
      <color theme="1"/>
      <name val="Calibri"/>
      <family val="2"/>
      <scheme val="minor"/>
    </font>
    <font>
      <sz val="18"/>
      <color theme="1"/>
      <name val="Calibri"/>
      <family val="2"/>
      <scheme val="minor"/>
    </font>
    <font>
      <b/>
      <i/>
      <sz val="11"/>
      <color theme="1"/>
      <name val="Calibri"/>
      <family val="2"/>
      <scheme val="minor"/>
    </font>
    <font>
      <b/>
      <sz val="20"/>
      <color indexed="9"/>
      <name val="Arial"/>
      <family val="2"/>
    </font>
    <font>
      <b/>
      <sz val="9"/>
      <color indexed="10"/>
      <name val="Arial"/>
      <family val="2"/>
    </font>
    <font>
      <b/>
      <sz val="11"/>
      <name val="Arial"/>
      <family val="2"/>
    </font>
    <font>
      <sz val="12"/>
      <name val="Arial"/>
      <family val="2"/>
    </font>
    <font>
      <b/>
      <sz val="8"/>
      <color indexed="10"/>
      <name val="Arial"/>
      <family val="2"/>
    </font>
    <font>
      <b/>
      <sz val="14"/>
      <name val="Arial"/>
      <family val="2"/>
    </font>
    <font>
      <b/>
      <sz val="16"/>
      <color indexed="9"/>
      <name val="Arial"/>
      <family val="2"/>
    </font>
    <font>
      <sz val="11"/>
      <color rgb="FF3F3F76"/>
      <name val="Calibri"/>
      <family val="2"/>
      <scheme val="minor"/>
    </font>
    <font>
      <sz val="10"/>
      <name val="Verdana"/>
      <family val="2"/>
    </font>
    <font>
      <sz val="20"/>
      <color theme="0"/>
      <name val="Calibri"/>
      <family val="2"/>
      <scheme val="minor"/>
    </font>
    <font>
      <b/>
      <sz val="9"/>
      <name val="Arial"/>
      <family val="2"/>
    </font>
    <font>
      <sz val="11"/>
      <name val="Arial"/>
      <family val="2"/>
    </font>
    <font>
      <b/>
      <u/>
      <sz val="10"/>
      <color indexed="10"/>
      <name val="Arial"/>
      <family val="2"/>
    </font>
    <font>
      <b/>
      <sz val="14"/>
      <color indexed="10"/>
      <name val="Arial"/>
      <family val="2"/>
    </font>
    <font>
      <b/>
      <sz val="10"/>
      <color indexed="11"/>
      <name val="Arial"/>
      <family val="2"/>
    </font>
    <font>
      <b/>
      <i/>
      <sz val="10"/>
      <name val="Arial"/>
      <family val="2"/>
    </font>
    <font>
      <b/>
      <sz val="14"/>
      <color indexed="9"/>
      <name val="Arial"/>
      <family val="2"/>
    </font>
    <font>
      <b/>
      <sz val="12"/>
      <color indexed="9"/>
      <name val="Arial"/>
      <family val="2"/>
    </font>
    <font>
      <b/>
      <sz val="22"/>
      <name val="Arial"/>
      <family val="2"/>
    </font>
    <font>
      <b/>
      <sz val="16"/>
      <color indexed="10"/>
      <name val="Arial"/>
      <family val="2"/>
    </font>
    <font>
      <b/>
      <sz val="12"/>
      <color indexed="10"/>
      <name val="Arial"/>
      <family val="2"/>
    </font>
    <font>
      <b/>
      <sz val="9"/>
      <color theme="1"/>
      <name val="Verdana"/>
      <family val="2"/>
    </font>
    <font>
      <sz val="9"/>
      <color theme="1"/>
      <name val="Verdana"/>
      <family val="2"/>
    </font>
    <font>
      <b/>
      <sz val="18"/>
      <color theme="3"/>
      <name val="Cambria"/>
      <family val="2"/>
      <scheme val="major"/>
    </font>
    <font>
      <b/>
      <sz val="11"/>
      <color theme="3"/>
      <name val="Calibri"/>
      <family val="2"/>
      <scheme val="minor"/>
    </font>
    <font>
      <sz val="11"/>
      <color rgb="FF9C6500"/>
      <name val="Calibri"/>
      <family val="2"/>
      <scheme val="minor"/>
    </font>
    <font>
      <b/>
      <sz val="10"/>
      <color indexed="15"/>
      <name val="Arial"/>
      <family val="2"/>
    </font>
    <font>
      <sz val="10"/>
      <color indexed="15"/>
      <name val="Arial"/>
      <family val="2"/>
    </font>
    <font>
      <b/>
      <sz val="14"/>
      <color indexed="11"/>
      <name val="Arial"/>
      <family val="2"/>
    </font>
    <font>
      <b/>
      <sz val="18"/>
      <color indexed="17"/>
      <name val="Arial"/>
      <family val="2"/>
    </font>
    <font>
      <sz val="10"/>
      <color indexed="10"/>
      <name val="Arial"/>
      <family val="2"/>
    </font>
    <font>
      <b/>
      <sz val="14"/>
      <color indexed="15"/>
      <name val="Arial"/>
      <family val="2"/>
    </font>
    <font>
      <b/>
      <sz val="18"/>
      <color indexed="48"/>
      <name val="Arial"/>
      <family val="2"/>
    </font>
    <font>
      <b/>
      <sz val="16"/>
      <color indexed="11"/>
      <name val="Arial"/>
      <family val="2"/>
    </font>
    <font>
      <b/>
      <sz val="16"/>
      <color indexed="15"/>
      <name val="Arial"/>
      <family val="2"/>
    </font>
    <font>
      <sz val="10"/>
      <color theme="1"/>
      <name val="Calibri"/>
      <family val="1"/>
      <scheme val="minor"/>
    </font>
    <font>
      <b/>
      <sz val="20"/>
      <color theme="7" tint="-0.249977111117893"/>
      <name val="Arial Black"/>
      <family val="2"/>
    </font>
    <font>
      <b/>
      <sz val="10"/>
      <color theme="0"/>
      <name val="Arial Black"/>
      <family val="2"/>
    </font>
    <font>
      <b/>
      <sz val="14"/>
      <name val="Calibri"/>
      <family val="2"/>
      <scheme val="minor"/>
    </font>
    <font>
      <b/>
      <sz val="10"/>
      <color theme="1"/>
      <name val="Calibri"/>
      <family val="1"/>
      <scheme val="minor"/>
    </font>
    <font>
      <b/>
      <sz val="10"/>
      <color theme="1"/>
      <name val="Calibri"/>
      <family val="2"/>
      <scheme val="minor"/>
    </font>
    <font>
      <b/>
      <sz val="11"/>
      <name val="Calibri"/>
      <family val="2"/>
      <scheme val="minor"/>
    </font>
    <font>
      <b/>
      <sz val="10"/>
      <color theme="3"/>
      <name val="Calibri"/>
      <family val="2"/>
      <scheme val="minor"/>
    </font>
    <font>
      <b/>
      <sz val="9"/>
      <color theme="1"/>
      <name val="Calibri"/>
      <family val="2"/>
      <scheme val="minor"/>
    </font>
    <font>
      <sz val="8"/>
      <color theme="1"/>
      <name val="Calibri"/>
      <family val="1"/>
      <scheme val="minor"/>
    </font>
    <font>
      <b/>
      <sz val="18"/>
      <name val="Cambria"/>
      <family val="2"/>
      <scheme val="major"/>
    </font>
    <font>
      <sz val="8"/>
      <color theme="0"/>
      <name val="Calibri"/>
      <family val="2"/>
      <scheme val="minor"/>
    </font>
    <font>
      <sz val="10"/>
      <color theme="1" tint="0.34998626667073579"/>
      <name val="Calibri"/>
      <family val="1"/>
      <scheme val="minor"/>
    </font>
    <font>
      <sz val="10"/>
      <color theme="0" tint="-0.34998626667073579"/>
      <name val="Calibri"/>
      <family val="2"/>
      <scheme val="minor"/>
    </font>
    <font>
      <sz val="10"/>
      <color theme="0"/>
      <name val="Calibri"/>
      <family val="1"/>
      <scheme val="minor"/>
    </font>
    <font>
      <b/>
      <sz val="10"/>
      <color rgb="FFFF0000"/>
      <name val="Calibri"/>
      <family val="2"/>
      <scheme val="minor"/>
    </font>
    <font>
      <b/>
      <sz val="10"/>
      <color rgb="FF3F3F76"/>
      <name val="Calibri"/>
      <family val="2"/>
      <scheme val="minor"/>
    </font>
    <font>
      <b/>
      <sz val="18"/>
      <color rgb="FFFF0000"/>
      <name val="Aharoni"/>
      <charset val="177"/>
    </font>
    <font>
      <b/>
      <sz val="18"/>
      <color theme="1"/>
      <name val="Aharoni"/>
      <charset val="177"/>
    </font>
    <font>
      <u/>
      <sz val="10"/>
      <color theme="10"/>
      <name val="Calibri"/>
      <family val="2"/>
    </font>
    <font>
      <u/>
      <sz val="10"/>
      <color indexed="12"/>
      <name val="Arial"/>
      <family val="2"/>
    </font>
    <font>
      <b/>
      <sz val="12"/>
      <color theme="0"/>
      <name val="Calibri"/>
      <family val="2"/>
      <scheme val="minor"/>
    </font>
    <font>
      <b/>
      <sz val="12"/>
      <color rgb="FFFF0000"/>
      <name val="Calibri"/>
      <family val="2"/>
      <scheme val="minor"/>
    </font>
    <font>
      <b/>
      <sz val="10"/>
      <color theme="0"/>
      <name val="Calibri"/>
      <family val="2"/>
      <scheme val="minor"/>
    </font>
    <font>
      <sz val="10"/>
      <color theme="0"/>
      <name val="Calibri"/>
      <family val="2"/>
      <scheme val="minor"/>
    </font>
    <font>
      <sz val="9"/>
      <color theme="1"/>
      <name val="Calibri"/>
      <family val="2"/>
      <scheme val="minor"/>
    </font>
    <font>
      <i/>
      <sz val="14"/>
      <color theme="1"/>
      <name val="Calibri"/>
      <family val="2"/>
    </font>
    <font>
      <b/>
      <sz val="10"/>
      <color theme="1"/>
      <name val="Verdana"/>
      <family val="2"/>
    </font>
    <font>
      <u/>
      <sz val="11"/>
      <color theme="10"/>
      <name val="Calibri"/>
      <family val="2"/>
    </font>
    <font>
      <sz val="16"/>
      <color rgb="FF000000"/>
      <name val="Calibri"/>
      <family val="2"/>
      <scheme val="minor"/>
    </font>
    <font>
      <sz val="8"/>
      <color rgb="FF000000"/>
      <name val="Calibri"/>
      <family val="2"/>
      <scheme val="minor"/>
    </font>
    <font>
      <sz val="9"/>
      <color rgb="FF000000"/>
      <name val="Calibri"/>
      <family val="2"/>
      <scheme val="minor"/>
    </font>
  </fonts>
  <fills count="3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theme="0"/>
        <bgColor indexed="64"/>
      </patternFill>
    </fill>
    <fill>
      <patternFill patternType="solid">
        <fgColor rgb="FF002060"/>
        <bgColor indexed="64"/>
      </patternFill>
    </fill>
    <fill>
      <patternFill patternType="solid">
        <fgColor rgb="FFFFC000"/>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0000"/>
        <bgColor indexed="64"/>
      </patternFill>
    </fill>
    <fill>
      <patternFill patternType="solid">
        <fgColor theme="3"/>
        <bgColor indexed="64"/>
      </patternFill>
    </fill>
    <fill>
      <patternFill patternType="solid">
        <fgColor indexed="8"/>
        <bgColor indexed="64"/>
      </patternFill>
    </fill>
    <fill>
      <patternFill patternType="solid">
        <fgColor indexed="51"/>
        <bgColor indexed="64"/>
      </patternFill>
    </fill>
    <fill>
      <patternFill patternType="solid">
        <fgColor rgb="FFFFCC99"/>
      </patternFill>
    </fill>
    <fill>
      <patternFill patternType="solid">
        <fgColor indexed="22"/>
        <bgColor indexed="64"/>
      </patternFill>
    </fill>
    <fill>
      <patternFill patternType="solid">
        <fgColor theme="4" tint="0.79998168889431442"/>
        <bgColor indexed="64"/>
      </patternFill>
    </fill>
    <fill>
      <patternFill patternType="solid">
        <fgColor indexed="45"/>
        <bgColor indexed="64"/>
      </patternFill>
    </fill>
    <fill>
      <patternFill patternType="solid">
        <fgColor indexed="9"/>
        <bgColor indexed="64"/>
      </patternFill>
    </fill>
    <fill>
      <patternFill patternType="solid">
        <fgColor rgb="FF92D050"/>
        <bgColor indexed="64"/>
      </patternFill>
    </fill>
    <fill>
      <patternFill patternType="solid">
        <fgColor rgb="FFFFEB9C"/>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indexed="11"/>
        <bgColor indexed="64"/>
      </patternFill>
    </fill>
    <fill>
      <patternFill patternType="solid">
        <fgColor indexed="15"/>
        <bgColor indexed="64"/>
      </patternFill>
    </fill>
    <fill>
      <patternFill patternType="solid">
        <fgColor theme="1"/>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rgb="FF00B050"/>
        <bgColor indexed="64"/>
      </patternFill>
    </fill>
    <fill>
      <patternFill patternType="solid">
        <fgColor theme="0" tint="-0.34998626667073579"/>
        <bgColor indexed="64"/>
      </patternFill>
    </fill>
  </fills>
  <borders count="9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DDDDDD"/>
      </left>
      <right style="thin">
        <color rgb="FFDDDDDD"/>
      </right>
      <top style="thin">
        <color rgb="FFDDDDDD"/>
      </top>
      <bottom style="thin">
        <color rgb="FFDDDDDD"/>
      </bottom>
      <diagonal/>
    </border>
    <border>
      <left/>
      <right/>
      <top/>
      <bottom style="thin">
        <color rgb="FFDDDDDD"/>
      </bottom>
      <diagonal/>
    </border>
    <border>
      <left/>
      <right style="thin">
        <color rgb="FFDDDDDD"/>
      </right>
      <top style="thin">
        <color rgb="FFDDDDDD"/>
      </top>
      <bottom style="thin">
        <color rgb="FFDDDDDD"/>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bottom style="medium">
        <color indexed="64"/>
      </bottom>
      <diagonal/>
    </border>
    <border>
      <left style="thin">
        <color theme="0" tint="-0.14996795556505021"/>
      </left>
      <right/>
      <top/>
      <bottom/>
      <diagonal/>
    </border>
    <border>
      <left style="medium">
        <color indexed="64"/>
      </left>
      <right/>
      <top/>
      <bottom style="medium">
        <color indexed="64"/>
      </bottom>
      <diagonal/>
    </border>
    <border>
      <left style="thin">
        <color theme="0" tint="-0.14996795556505021"/>
      </left>
      <right style="thin">
        <color theme="0" tint="-0.14996795556505021"/>
      </right>
      <top style="thin">
        <color theme="0" tint="-0.14996795556505021"/>
      </top>
      <bottom style="medium">
        <color indexed="64"/>
      </bottom>
      <diagonal/>
    </border>
    <border>
      <left/>
      <right style="medium">
        <color indexed="64"/>
      </right>
      <top/>
      <bottom style="medium">
        <color indexed="64"/>
      </bottom>
      <diagonal/>
    </border>
    <border>
      <left style="thin">
        <color theme="0" tint="-0.14996795556505021"/>
      </left>
      <right style="thin">
        <color theme="0" tint="-0.14993743705557422"/>
      </right>
      <top style="thin">
        <color theme="0" tint="-0.14993743705557422"/>
      </top>
      <bottom style="thin">
        <color theme="0" tint="-0.14993743705557422"/>
      </bottom>
      <diagonal/>
    </border>
    <border>
      <left style="thin">
        <color theme="0" tint="-0.14993743705557422"/>
      </left>
      <right style="medium">
        <color indexed="64"/>
      </right>
      <top style="thin">
        <color theme="0" tint="-0.14993743705557422"/>
      </top>
      <bottom style="thin">
        <color theme="0" tint="-0.14993743705557422"/>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style="medium">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bottom style="thin">
        <color rgb="FF000000"/>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rgb="FF7F7F7F"/>
      </bottom>
      <diagonal/>
    </border>
    <border>
      <left style="medium">
        <color indexed="64"/>
      </left>
      <right style="thin">
        <color rgb="FF7F7F7F"/>
      </right>
      <top style="thin">
        <color rgb="FF7F7F7F"/>
      </top>
      <bottom style="medium">
        <color indexed="64"/>
      </bottom>
      <diagonal/>
    </border>
    <border>
      <left/>
      <right style="thin">
        <color rgb="FF7F7F7F"/>
      </right>
      <top style="thin">
        <color rgb="FF7F7F7F"/>
      </top>
      <bottom style="medium">
        <color indexed="64"/>
      </bottom>
      <diagonal/>
    </border>
    <border>
      <left/>
      <right/>
      <top style="thin">
        <color indexed="64"/>
      </top>
      <bottom style="thin">
        <color indexed="64"/>
      </bottom>
      <diagonal/>
    </border>
    <border>
      <left style="thin">
        <color rgb="FFDDDDDD"/>
      </left>
      <right style="thin">
        <color rgb="FFDDDDDD"/>
      </right>
      <top style="thin">
        <color rgb="FFDDDDDD"/>
      </top>
      <bottom/>
      <diagonal/>
    </border>
  </borders>
  <cellStyleXfs count="11">
    <xf numFmtId="0" fontId="0" fillId="0" borderId="0"/>
    <xf numFmtId="43" fontId="1" fillId="0" borderId="0" applyFont="0" applyFill="0" applyBorder="0" applyAlignment="0" applyProtection="0"/>
    <xf numFmtId="9" fontId="1" fillId="0" borderId="0" applyFont="0" applyFill="0" applyBorder="0" applyAlignment="0" applyProtection="0"/>
    <xf numFmtId="0" fontId="46" fillId="13" borderId="69"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19" borderId="0" applyNumberFormat="0" applyBorder="0" applyAlignment="0" applyProtection="0"/>
    <xf numFmtId="0" fontId="10"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3" fillId="0" borderId="0" applyNumberFormat="0" applyFill="0" applyBorder="0" applyAlignment="0" applyProtection="0">
      <alignment vertical="top"/>
      <protection locked="0"/>
    </xf>
  </cellStyleXfs>
  <cellXfs count="834">
    <xf numFmtId="0" fontId="0" fillId="0" borderId="0" xfId="0"/>
    <xf numFmtId="0" fontId="0" fillId="0" borderId="0" xfId="0" applyAlignment="1">
      <alignment horizontal="center"/>
    </xf>
    <xf numFmtId="0" fontId="7" fillId="0" borderId="0" xfId="0" applyFont="1"/>
    <xf numFmtId="0" fontId="0" fillId="0" borderId="4" xfId="0" applyBorder="1"/>
    <xf numFmtId="0" fontId="0" fillId="0" borderId="0" xfId="0" applyBorder="1"/>
    <xf numFmtId="0" fontId="0" fillId="0" borderId="0" xfId="0" applyAlignment="1">
      <alignment horizontal="left"/>
    </xf>
    <xf numFmtId="9" fontId="0" fillId="0" borderId="0" xfId="0" applyNumberFormat="1"/>
    <xf numFmtId="43" fontId="0" fillId="0" borderId="0" xfId="1" applyFont="1"/>
    <xf numFmtId="43" fontId="0" fillId="0" borderId="0" xfId="0" applyNumberFormat="1"/>
    <xf numFmtId="0" fontId="12" fillId="0" borderId="0" xfId="0" applyFont="1"/>
    <xf numFmtId="0" fontId="0" fillId="0" borderId="5" xfId="0" applyBorder="1" applyAlignment="1">
      <alignment vertical="center"/>
    </xf>
    <xf numFmtId="0" fontId="4" fillId="0" borderId="5" xfId="0" applyFont="1" applyBorder="1" applyAlignment="1">
      <alignment vertical="center"/>
    </xf>
    <xf numFmtId="164" fontId="4" fillId="0" borderId="5" xfId="1" applyNumberFormat="1" applyFont="1" applyBorder="1" applyAlignment="1">
      <alignment vertical="center"/>
    </xf>
    <xf numFmtId="0" fontId="2" fillId="0" borderId="5" xfId="0" applyFont="1" applyBorder="1" applyAlignment="1">
      <alignment vertical="center"/>
    </xf>
    <xf numFmtId="0" fontId="14" fillId="0" borderId="5" xfId="0" applyFont="1" applyBorder="1" applyAlignment="1">
      <alignment vertical="center"/>
    </xf>
    <xf numFmtId="0" fontId="0" fillId="0" borderId="5" xfId="0" applyBorder="1" applyAlignment="1">
      <alignment vertical="center" wrapText="1"/>
    </xf>
    <xf numFmtId="0" fontId="0" fillId="0" borderId="5" xfId="0" applyBorder="1"/>
    <xf numFmtId="0" fontId="4" fillId="0" borderId="5" xfId="0" applyFont="1" applyBorder="1" applyAlignment="1">
      <alignment vertical="center" wrapText="1"/>
    </xf>
    <xf numFmtId="43" fontId="0" fillId="4" borderId="5" xfId="1" applyFont="1" applyFill="1" applyBorder="1" applyAlignment="1">
      <alignment vertical="center"/>
    </xf>
    <xf numFmtId="0" fontId="17" fillId="0" borderId="5" xfId="0" applyFont="1" applyBorder="1" applyAlignment="1">
      <alignment vertical="center"/>
    </xf>
    <xf numFmtId="0" fontId="5" fillId="0" borderId="5" xfId="0" applyFont="1" applyBorder="1" applyAlignment="1">
      <alignment vertical="center"/>
    </xf>
    <xf numFmtId="164" fontId="6" fillId="0" borderId="5" xfId="0" applyNumberFormat="1" applyFont="1" applyBorder="1" applyAlignment="1">
      <alignment vertical="center" wrapText="1"/>
    </xf>
    <xf numFmtId="0" fontId="0" fillId="7" borderId="5" xfId="0" applyFill="1" applyBorder="1"/>
    <xf numFmtId="0" fontId="3" fillId="7" borderId="5" xfId="0" applyFont="1" applyFill="1" applyBorder="1" applyAlignment="1">
      <alignment vertical="center"/>
    </xf>
    <xf numFmtId="0" fontId="15" fillId="7" borderId="5" xfId="0" applyFont="1" applyFill="1" applyBorder="1" applyAlignment="1">
      <alignment vertical="center"/>
    </xf>
    <xf numFmtId="0" fontId="18" fillId="7" borderId="5" xfId="0" applyFont="1" applyFill="1" applyBorder="1" applyAlignment="1">
      <alignment vertical="center"/>
    </xf>
    <xf numFmtId="164" fontId="20" fillId="3" borderId="5" xfId="1" applyNumberFormat="1" applyFont="1" applyFill="1" applyBorder="1" applyAlignment="1">
      <alignment vertical="center"/>
    </xf>
    <xf numFmtId="165" fontId="20" fillId="3" borderId="5" xfId="1" applyNumberFormat="1" applyFont="1" applyFill="1" applyBorder="1" applyAlignment="1">
      <alignment vertical="center"/>
    </xf>
    <xf numFmtId="165" fontId="20" fillId="3" borderId="5" xfId="1" applyNumberFormat="1" applyFont="1" applyFill="1" applyBorder="1" applyAlignment="1">
      <alignment horizontal="center" vertical="center"/>
    </xf>
    <xf numFmtId="43" fontId="20" fillId="3" borderId="5" xfId="1" applyFont="1" applyFill="1" applyBorder="1" applyAlignment="1">
      <alignment vertical="center"/>
    </xf>
    <xf numFmtId="9" fontId="20" fillId="3" borderId="5" xfId="0" applyNumberFormat="1" applyFont="1" applyFill="1" applyBorder="1" applyAlignment="1">
      <alignment vertical="center"/>
    </xf>
    <xf numFmtId="43" fontId="3" fillId="3" borderId="5" xfId="1" applyNumberFormat="1" applyFont="1" applyFill="1" applyBorder="1" applyAlignment="1">
      <alignment vertical="center"/>
    </xf>
    <xf numFmtId="164" fontId="20" fillId="7" borderId="5" xfId="1" applyNumberFormat="1" applyFont="1" applyFill="1" applyBorder="1" applyAlignment="1">
      <alignment vertical="center"/>
    </xf>
    <xf numFmtId="9" fontId="0" fillId="0" borderId="0" xfId="2" applyFont="1"/>
    <xf numFmtId="0" fontId="22" fillId="0" borderId="0" xfId="0" applyFont="1"/>
    <xf numFmtId="168" fontId="0" fillId="0" borderId="0" xfId="0" applyNumberFormat="1"/>
    <xf numFmtId="1" fontId="0" fillId="0" borderId="0" xfId="0" applyNumberFormat="1"/>
    <xf numFmtId="0" fontId="23" fillId="0" borderId="0" xfId="0" applyFont="1"/>
    <xf numFmtId="0" fontId="23" fillId="0" borderId="0" xfId="0" applyFont="1" applyAlignment="1">
      <alignment horizontal="left" vertical="center"/>
    </xf>
    <xf numFmtId="0" fontId="22" fillId="0" borderId="13" xfId="0" applyFont="1" applyBorder="1"/>
    <xf numFmtId="0" fontId="22" fillId="0" borderId="0" xfId="0" applyFont="1" applyBorder="1"/>
    <xf numFmtId="0" fontId="0" fillId="0" borderId="14" xfId="0" applyBorder="1"/>
    <xf numFmtId="0" fontId="24" fillId="0" borderId="0" xfId="0" applyFont="1" applyBorder="1"/>
    <xf numFmtId="168" fontId="0" fillId="3" borderId="14" xfId="0" applyNumberFormat="1" applyFill="1" applyBorder="1"/>
    <xf numFmtId="1" fontId="0" fillId="3" borderId="14" xfId="0" applyNumberFormat="1" applyFill="1" applyBorder="1"/>
    <xf numFmtId="0" fontId="24" fillId="0" borderId="0" xfId="0" quotePrefix="1" applyFont="1" applyBorder="1"/>
    <xf numFmtId="0" fontId="8" fillId="7" borderId="15" xfId="0" applyFont="1" applyFill="1" applyBorder="1"/>
    <xf numFmtId="0" fontId="26" fillId="7" borderId="16" xfId="0" applyFont="1" applyFill="1" applyBorder="1"/>
    <xf numFmtId="168" fontId="27" fillId="7" borderId="17" xfId="0" applyNumberFormat="1" applyFont="1" applyFill="1" applyBorder="1"/>
    <xf numFmtId="0" fontId="22" fillId="0" borderId="13" xfId="0" applyFont="1" applyBorder="1" applyAlignment="1">
      <alignment horizontal="left" indent="2"/>
    </xf>
    <xf numFmtId="0" fontId="0" fillId="0" borderId="0" xfId="0" applyAlignment="1">
      <alignment horizontal="left" vertical="center"/>
    </xf>
    <xf numFmtId="0" fontId="29" fillId="0" borderId="0" xfId="0" applyFont="1" applyAlignment="1">
      <alignment vertical="top"/>
    </xf>
    <xf numFmtId="164" fontId="27" fillId="7" borderId="17" xfId="1" applyNumberFormat="1" applyFont="1" applyFill="1" applyBorder="1"/>
    <xf numFmtId="0" fontId="30" fillId="0" borderId="0" xfId="0" applyFont="1"/>
    <xf numFmtId="0" fontId="31" fillId="0" borderId="0" xfId="0" applyFont="1"/>
    <xf numFmtId="0" fontId="9" fillId="0" borderId="0" xfId="0" applyFont="1"/>
    <xf numFmtId="0" fontId="9" fillId="0" borderId="21" xfId="0" applyFont="1" applyBorder="1" applyAlignment="1">
      <alignment horizontal="center"/>
    </xf>
    <xf numFmtId="0" fontId="9" fillId="0" borderId="22" xfId="0" applyFont="1" applyBorder="1" applyAlignment="1">
      <alignment horizontal="center"/>
    </xf>
    <xf numFmtId="0" fontId="9" fillId="0" borderId="23" xfId="0" applyFont="1" applyBorder="1" applyAlignment="1">
      <alignment horizontal="center"/>
    </xf>
    <xf numFmtId="0" fontId="9" fillId="0" borderId="0" xfId="0" applyFont="1" applyAlignment="1">
      <alignment horizontal="center"/>
    </xf>
    <xf numFmtId="0" fontId="0" fillId="0" borderId="4" xfId="0" quotePrefix="1" applyBorder="1"/>
    <xf numFmtId="168" fontId="0" fillId="0" borderId="26" xfId="0" applyNumberFormat="1" applyBorder="1" applyAlignment="1">
      <alignment horizontal="center"/>
    </xf>
    <xf numFmtId="167" fontId="0" fillId="0" borderId="27" xfId="0" applyNumberFormat="1" applyBorder="1"/>
    <xf numFmtId="167" fontId="0" fillId="0" borderId="4" xfId="0" applyNumberFormat="1" applyBorder="1"/>
    <xf numFmtId="167" fontId="0" fillId="0" borderId="28" xfId="0" applyNumberFormat="1" applyBorder="1"/>
    <xf numFmtId="0" fontId="0" fillId="0" borderId="29" xfId="0" applyBorder="1" applyAlignment="1">
      <alignment horizontal="center"/>
    </xf>
    <xf numFmtId="0" fontId="0" fillId="0" borderId="29" xfId="0" quotePrefix="1" applyBorder="1" applyAlignment="1">
      <alignment horizontal="center"/>
    </xf>
    <xf numFmtId="167" fontId="0" fillId="0" borderId="30" xfId="0" applyNumberFormat="1" applyBorder="1"/>
    <xf numFmtId="167" fontId="0" fillId="0" borderId="31" xfId="0" applyNumberFormat="1" applyBorder="1"/>
    <xf numFmtId="167" fontId="0" fillId="0" borderId="32" xfId="0" applyNumberFormat="1" applyBorder="1"/>
    <xf numFmtId="0" fontId="0" fillId="0" borderId="0" xfId="0" quotePrefix="1" applyFill="1" applyBorder="1" applyAlignment="1">
      <alignment horizontal="left"/>
    </xf>
    <xf numFmtId="0" fontId="0" fillId="0" borderId="35" xfId="0" applyBorder="1"/>
    <xf numFmtId="0" fontId="0" fillId="0" borderId="31" xfId="0" applyBorder="1"/>
    <xf numFmtId="0" fontId="0" fillId="8" borderId="10" xfId="0" applyFill="1" applyBorder="1"/>
    <xf numFmtId="164" fontId="0" fillId="8" borderId="11" xfId="1" applyNumberFormat="1" applyFont="1" applyFill="1" applyBorder="1"/>
    <xf numFmtId="0" fontId="0" fillId="8" borderId="11" xfId="0" applyFill="1" applyBorder="1"/>
    <xf numFmtId="0" fontId="0" fillId="8" borderId="12" xfId="0" applyFill="1" applyBorder="1"/>
    <xf numFmtId="164" fontId="10" fillId="9" borderId="11" xfId="1" applyNumberFormat="1" applyFont="1" applyFill="1" applyBorder="1"/>
    <xf numFmtId="0" fontId="10" fillId="9" borderId="11" xfId="0" applyFont="1" applyFill="1" applyBorder="1"/>
    <xf numFmtId="43" fontId="10" fillId="9" borderId="11" xfId="0" applyNumberFormat="1" applyFont="1" applyFill="1" applyBorder="1"/>
    <xf numFmtId="0" fontId="10" fillId="9" borderId="12" xfId="0" applyFont="1" applyFill="1" applyBorder="1"/>
    <xf numFmtId="0" fontId="33" fillId="9" borderId="10" xfId="0" applyFont="1" applyFill="1" applyBorder="1"/>
    <xf numFmtId="0" fontId="0" fillId="8" borderId="13" xfId="0" applyFill="1" applyBorder="1"/>
    <xf numFmtId="164" fontId="0" fillId="8" borderId="0" xfId="1" applyNumberFormat="1" applyFont="1" applyFill="1" applyBorder="1"/>
    <xf numFmtId="0" fontId="0" fillId="8" borderId="0" xfId="0" applyFill="1" applyBorder="1"/>
    <xf numFmtId="0" fontId="0" fillId="8" borderId="14" xfId="0" applyFill="1" applyBorder="1"/>
    <xf numFmtId="0" fontId="0" fillId="8" borderId="15" xfId="0" applyFill="1" applyBorder="1"/>
    <xf numFmtId="165" fontId="0" fillId="8" borderId="16" xfId="1" applyNumberFormat="1" applyFont="1" applyFill="1" applyBorder="1"/>
    <xf numFmtId="0" fontId="0" fillId="8" borderId="16" xfId="0" applyFill="1" applyBorder="1"/>
    <xf numFmtId="0" fontId="0" fillId="8" borderId="17" xfId="0" quotePrefix="1" applyFill="1" applyBorder="1"/>
    <xf numFmtId="43" fontId="0" fillId="8" borderId="16" xfId="1" applyFont="1" applyFill="1" applyBorder="1"/>
    <xf numFmtId="0" fontId="0" fillId="8" borderId="17" xfId="0" applyFill="1" applyBorder="1"/>
    <xf numFmtId="0" fontId="0" fillId="0" borderId="45" xfId="0" applyBorder="1"/>
    <xf numFmtId="43" fontId="0" fillId="0" borderId="45" xfId="1" applyFont="1" applyBorder="1"/>
    <xf numFmtId="164" fontId="0" fillId="0" borderId="45" xfId="1" applyNumberFormat="1" applyFont="1" applyBorder="1"/>
    <xf numFmtId="165" fontId="0" fillId="0" borderId="45" xfId="1" applyNumberFormat="1" applyFont="1" applyBorder="1"/>
    <xf numFmtId="0" fontId="0" fillId="0" borderId="46" xfId="0" applyBorder="1"/>
    <xf numFmtId="43" fontId="0" fillId="0" borderId="46" xfId="1" applyFont="1" applyBorder="1"/>
    <xf numFmtId="164" fontId="0" fillId="0" borderId="46" xfId="1" applyNumberFormat="1" applyFont="1" applyBorder="1"/>
    <xf numFmtId="165" fontId="0" fillId="0" borderId="46" xfId="1" applyNumberFormat="1" applyFont="1" applyBorder="1"/>
    <xf numFmtId="0" fontId="0" fillId="0" borderId="47" xfId="0" applyBorder="1" applyAlignment="1">
      <alignment horizontal="center"/>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20" fillId="0" borderId="0" xfId="0" applyFont="1"/>
    <xf numFmtId="166" fontId="0" fillId="0" borderId="45" xfId="1" applyNumberFormat="1" applyFont="1" applyBorder="1"/>
    <xf numFmtId="0" fontId="0" fillId="0" borderId="45" xfId="0" applyBorder="1" applyAlignment="1">
      <alignment horizontal="center" vertical="center"/>
    </xf>
    <xf numFmtId="166" fontId="0" fillId="0" borderId="45" xfId="1" applyNumberFormat="1" applyFont="1" applyBorder="1" applyAlignment="1">
      <alignment horizontal="center" vertical="center"/>
    </xf>
    <xf numFmtId="0" fontId="0" fillId="3" borderId="45" xfId="0" applyFill="1" applyBorder="1" applyAlignment="1">
      <alignment horizontal="center" vertical="center"/>
    </xf>
    <xf numFmtId="0" fontId="36" fillId="3" borderId="45" xfId="0" applyFont="1" applyFill="1" applyBorder="1" applyAlignment="1">
      <alignment horizontal="center" vertical="center"/>
    </xf>
    <xf numFmtId="0" fontId="0" fillId="0" borderId="19" xfId="0" applyBorder="1"/>
    <xf numFmtId="0" fontId="19" fillId="0" borderId="19" xfId="0" applyFont="1" applyBorder="1" applyAlignment="1">
      <alignment horizontal="center"/>
    </xf>
    <xf numFmtId="0" fontId="0" fillId="10" borderId="19" xfId="0" applyFill="1" applyBorder="1"/>
    <xf numFmtId="0" fontId="0" fillId="10" borderId="20" xfId="0" applyFill="1" applyBorder="1"/>
    <xf numFmtId="0" fontId="0" fillId="10" borderId="0" xfId="0" applyFill="1" applyBorder="1"/>
    <xf numFmtId="0" fontId="0" fillId="10" borderId="25" xfId="0" applyFill="1" applyBorder="1"/>
    <xf numFmtId="0" fontId="0" fillId="0" borderId="56" xfId="0" applyBorder="1"/>
    <xf numFmtId="0" fontId="0" fillId="0" borderId="56" xfId="0" applyBorder="1" applyAlignment="1">
      <alignment horizontal="center" vertical="center"/>
    </xf>
    <xf numFmtId="0" fontId="0" fillId="10" borderId="53" xfId="0" applyFill="1" applyBorder="1"/>
    <xf numFmtId="0" fontId="0" fillId="10" borderId="57" xfId="0" applyFill="1" applyBorder="1"/>
    <xf numFmtId="0" fontId="0" fillId="0" borderId="59" xfId="0" applyBorder="1"/>
    <xf numFmtId="0" fontId="36" fillId="7" borderId="45" xfId="0" applyFont="1" applyFill="1" applyBorder="1"/>
    <xf numFmtId="0" fontId="0" fillId="7" borderId="45" xfId="0" applyFill="1" applyBorder="1" applyAlignment="1">
      <alignment horizontal="center" vertical="center"/>
    </xf>
    <xf numFmtId="0" fontId="36" fillId="7" borderId="56" xfId="0" applyFont="1" applyFill="1" applyBorder="1" applyAlignment="1">
      <alignment horizontal="center" vertical="center"/>
    </xf>
    <xf numFmtId="166" fontId="0" fillId="3" borderId="45" xfId="1" applyNumberFormat="1" applyFont="1" applyFill="1" applyBorder="1"/>
    <xf numFmtId="0" fontId="0" fillId="3" borderId="60" xfId="0" applyFill="1" applyBorder="1" applyAlignment="1">
      <alignment horizontal="center" vertical="center"/>
    </xf>
    <xf numFmtId="0" fontId="0" fillId="0" borderId="61" xfId="0" applyBorder="1"/>
    <xf numFmtId="0" fontId="0" fillId="0" borderId="60" xfId="0" applyBorder="1" applyAlignment="1">
      <alignment horizontal="center"/>
    </xf>
    <xf numFmtId="0" fontId="0" fillId="0" borderId="60" xfId="0" applyBorder="1"/>
    <xf numFmtId="0" fontId="3" fillId="7" borderId="55" xfId="0" applyFont="1" applyFill="1" applyBorder="1"/>
    <xf numFmtId="0" fontId="4" fillId="7" borderId="53" xfId="0" applyFont="1" applyFill="1" applyBorder="1"/>
    <xf numFmtId="166" fontId="36" fillId="7" borderId="53" xfId="0" applyNumberFormat="1" applyFont="1" applyFill="1" applyBorder="1"/>
    <xf numFmtId="0" fontId="0" fillId="7" borderId="57" xfId="0" applyFill="1" applyBorder="1"/>
    <xf numFmtId="0" fontId="37" fillId="0" borderId="0" xfId="0" applyFont="1"/>
    <xf numFmtId="43" fontId="0" fillId="3" borderId="0" xfId="1" applyFont="1" applyFill="1"/>
    <xf numFmtId="0" fontId="19" fillId="0" borderId="0" xfId="0" applyFont="1" applyAlignment="1">
      <alignment horizontal="right"/>
    </xf>
    <xf numFmtId="43" fontId="0" fillId="0" borderId="45" xfId="0" applyNumberFormat="1" applyBorder="1"/>
    <xf numFmtId="0" fontId="38" fillId="0" borderId="0" xfId="0" applyFont="1" applyAlignment="1">
      <alignment horizontal="right"/>
    </xf>
    <xf numFmtId="166" fontId="0" fillId="0" borderId="0" xfId="1" applyNumberFormat="1" applyFont="1"/>
    <xf numFmtId="170" fontId="0" fillId="0" borderId="0" xfId="0" applyNumberFormat="1"/>
    <xf numFmtId="0" fontId="0" fillId="0" borderId="0" xfId="0" applyAlignment="1">
      <alignment horizontal="center" wrapText="1"/>
    </xf>
    <xf numFmtId="0" fontId="0" fillId="3" borderId="13" xfId="0" applyFill="1" applyBorder="1"/>
    <xf numFmtId="0" fontId="0" fillId="3" borderId="0" xfId="0" applyFill="1" applyBorder="1"/>
    <xf numFmtId="0" fontId="0" fillId="3" borderId="14" xfId="0" applyFill="1" applyBorder="1"/>
    <xf numFmtId="165" fontId="3" fillId="3" borderId="0" xfId="1" applyNumberFormat="1" applyFont="1" applyFill="1" applyBorder="1"/>
    <xf numFmtId="164" fontId="3" fillId="3" borderId="0" xfId="1" applyNumberFormat="1" applyFont="1" applyFill="1" applyBorder="1"/>
    <xf numFmtId="9" fontId="3" fillId="3" borderId="0" xfId="2" applyFont="1" applyFill="1" applyBorder="1"/>
    <xf numFmtId="43" fontId="0" fillId="8" borderId="16" xfId="1" applyNumberFormat="1" applyFont="1" applyFill="1" applyBorder="1"/>
    <xf numFmtId="43" fontId="0" fillId="8" borderId="16" xfId="0" applyNumberFormat="1" applyFill="1" applyBorder="1"/>
    <xf numFmtId="0" fontId="0" fillId="0" borderId="24" xfId="0" applyBorder="1"/>
    <xf numFmtId="0" fontId="40" fillId="0" borderId="0" xfId="0" applyFont="1" applyFill="1" applyBorder="1" applyAlignment="1">
      <alignment horizontal="left" vertical="center"/>
    </xf>
    <xf numFmtId="0" fontId="0" fillId="0" borderId="25" xfId="0" applyBorder="1"/>
    <xf numFmtId="0" fontId="41" fillId="0" borderId="0" xfId="0" applyFont="1" applyBorder="1" applyAlignment="1">
      <alignment horizontal="center" vertical="center" wrapText="1"/>
    </xf>
    <xf numFmtId="0" fontId="41" fillId="0" borderId="24" xfId="0" applyFont="1" applyBorder="1" applyAlignment="1">
      <alignment horizontal="center" vertical="center" wrapText="1"/>
    </xf>
    <xf numFmtId="0" fontId="41" fillId="0" borderId="31" xfId="0" applyFont="1" applyBorder="1" applyAlignment="1">
      <alignment horizontal="center" vertical="center" wrapText="1"/>
    </xf>
    <xf numFmtId="0" fontId="41" fillId="0" borderId="25" xfId="0" applyFont="1" applyBorder="1" applyAlignment="1">
      <alignment horizontal="center" vertical="center" wrapText="1"/>
    </xf>
    <xf numFmtId="0" fontId="41" fillId="0" borderId="0" xfId="0" applyFont="1" applyAlignment="1">
      <alignment horizontal="center" vertical="center" wrapText="1"/>
    </xf>
    <xf numFmtId="0" fontId="42" fillId="0" borderId="0" xfId="0" applyFont="1" applyBorder="1" applyAlignment="1">
      <alignment horizontal="center"/>
    </xf>
    <xf numFmtId="0" fontId="42" fillId="0" borderId="24" xfId="0" applyFont="1" applyBorder="1" applyAlignment="1">
      <alignment horizontal="center"/>
    </xf>
    <xf numFmtId="0" fontId="42" fillId="0" borderId="0" xfId="0" applyFont="1" applyFill="1" applyBorder="1" applyAlignment="1">
      <alignment horizontal="center"/>
    </xf>
    <xf numFmtId="0" fontId="42" fillId="0" borderId="25" xfId="0" applyFont="1" applyFill="1" applyBorder="1" applyAlignment="1">
      <alignment horizontal="center"/>
    </xf>
    <xf numFmtId="0" fontId="42" fillId="0" borderId="0" xfId="0" applyFont="1" applyAlignment="1">
      <alignment horizontal="center"/>
    </xf>
    <xf numFmtId="0" fontId="42" fillId="0" borderId="64" xfId="0" applyFont="1" applyBorder="1" applyAlignment="1">
      <alignment horizontal="center"/>
    </xf>
    <xf numFmtId="0" fontId="43" fillId="0" borderId="0" xfId="0" applyFont="1" applyFill="1" applyBorder="1"/>
    <xf numFmtId="0" fontId="0" fillId="0" borderId="0" xfId="0" applyFill="1" applyBorder="1"/>
    <xf numFmtId="0" fontId="0" fillId="0" borderId="25" xfId="0" applyFill="1" applyBorder="1"/>
    <xf numFmtId="0" fontId="41" fillId="0" borderId="25" xfId="0" applyFont="1" applyFill="1" applyBorder="1" applyAlignment="1">
      <alignment vertical="center" wrapText="1"/>
    </xf>
    <xf numFmtId="0" fontId="41" fillId="0" borderId="0" xfId="0" applyFont="1" applyFill="1" applyBorder="1" applyAlignment="1">
      <alignment horizontal="center" vertical="center" wrapText="1"/>
    </xf>
    <xf numFmtId="0" fontId="32" fillId="0" borderId="24" xfId="0" applyFont="1" applyBorder="1" applyAlignment="1">
      <alignment horizontal="right"/>
    </xf>
    <xf numFmtId="0" fontId="42" fillId="2" borderId="64" xfId="0" applyFont="1" applyFill="1" applyBorder="1" applyAlignment="1">
      <alignment horizontal="center"/>
    </xf>
    <xf numFmtId="168" fontId="42" fillId="0" borderId="64" xfId="0" applyNumberFormat="1" applyFont="1" applyFill="1" applyBorder="1" applyAlignment="1">
      <alignment horizontal="center"/>
    </xf>
    <xf numFmtId="0" fontId="42" fillId="0" borderId="25" xfId="0" applyFont="1" applyFill="1" applyBorder="1" applyAlignment="1"/>
    <xf numFmtId="0" fontId="0" fillId="0" borderId="0" xfId="0" applyBorder="1" applyAlignment="1">
      <alignment horizontal="center"/>
    </xf>
    <xf numFmtId="0" fontId="0" fillId="0" borderId="24" xfId="0" applyBorder="1" applyAlignment="1">
      <alignment horizontal="center"/>
    </xf>
    <xf numFmtId="0" fontId="42" fillId="2" borderId="4" xfId="0" applyFont="1" applyFill="1" applyBorder="1" applyAlignment="1">
      <alignment horizontal="center"/>
    </xf>
    <xf numFmtId="168" fontId="42" fillId="0" borderId="4" xfId="0" applyNumberFormat="1" applyFont="1" applyFill="1" applyBorder="1" applyAlignment="1">
      <alignment horizontal="center"/>
    </xf>
    <xf numFmtId="0" fontId="0" fillId="0" borderId="0" xfId="0" applyFill="1" applyAlignment="1">
      <alignment horizontal="center"/>
    </xf>
    <xf numFmtId="0" fontId="0" fillId="0" borderId="24" xfId="0" applyFill="1" applyBorder="1" applyAlignment="1">
      <alignment horizontal="center"/>
    </xf>
    <xf numFmtId="171" fontId="42" fillId="0" borderId="0" xfId="0" applyNumberFormat="1" applyFont="1" applyFill="1" applyBorder="1" applyAlignment="1">
      <alignment horizontal="center"/>
    </xf>
    <xf numFmtId="0" fontId="0" fillId="0" borderId="0" xfId="0" applyFill="1"/>
    <xf numFmtId="0" fontId="42" fillId="2" borderId="64" xfId="0" applyFont="1" applyFill="1" applyBorder="1" applyAlignment="1">
      <alignment horizontal="center" vertical="center"/>
    </xf>
    <xf numFmtId="9" fontId="42" fillId="2" borderId="64" xfId="0" applyNumberFormat="1" applyFont="1" applyFill="1" applyBorder="1" applyAlignment="1">
      <alignment horizontal="center" vertical="center" wrapText="1"/>
    </xf>
    <xf numFmtId="9" fontId="42"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24" xfId="0" applyBorder="1" applyAlignment="1">
      <alignment horizontal="center" vertical="center" wrapText="1"/>
    </xf>
    <xf numFmtId="0" fontId="42" fillId="2" borderId="64" xfId="0" applyFont="1" applyFill="1" applyBorder="1" applyAlignment="1">
      <alignment horizontal="center" vertical="center" wrapText="1"/>
    </xf>
    <xf numFmtId="2" fontId="42" fillId="0" borderId="64" xfId="0" applyNumberFormat="1" applyFont="1" applyBorder="1" applyAlignment="1">
      <alignment horizontal="center" vertical="center" wrapText="1"/>
    </xf>
    <xf numFmtId="0" fontId="0" fillId="0" borderId="25" xfId="0" applyBorder="1" applyAlignment="1">
      <alignment horizontal="center" vertical="center" wrapText="1"/>
    </xf>
    <xf numFmtId="0" fontId="42" fillId="0" borderId="0" xfId="0" applyFont="1" applyFill="1" applyBorder="1" applyAlignment="1">
      <alignment horizontal="center" vertical="center" wrapText="1"/>
    </xf>
    <xf numFmtId="2" fontId="42" fillId="0" borderId="0" xfId="0" applyNumberFormat="1" applyFont="1" applyBorder="1" applyAlignment="1">
      <alignment horizontal="center" vertical="center" wrapText="1"/>
    </xf>
    <xf numFmtId="0" fontId="0" fillId="0" borderId="0" xfId="0" applyBorder="1" applyAlignment="1">
      <alignment horizontal="center" vertical="center" wrapText="1"/>
    </xf>
    <xf numFmtId="2" fontId="42" fillId="0" borderId="64" xfId="0" applyNumberFormat="1" applyFont="1" applyBorder="1" applyAlignment="1">
      <alignment horizontal="center"/>
    </xf>
    <xf numFmtId="0" fontId="0" fillId="0" borderId="55" xfId="0" applyBorder="1"/>
    <xf numFmtId="0" fontId="0" fillId="0" borderId="53" xfId="0" applyBorder="1"/>
    <xf numFmtId="0" fontId="0" fillId="0" borderId="57" xfId="0" applyBorder="1"/>
    <xf numFmtId="0" fontId="41" fillId="0" borderId="2" xfId="0" applyFont="1" applyBorder="1" applyAlignment="1">
      <alignment horizontal="center" vertical="center" wrapText="1"/>
    </xf>
    <xf numFmtId="0" fontId="42" fillId="0" borderId="64" xfId="0" applyFont="1" applyFill="1" applyBorder="1" applyAlignment="1">
      <alignment horizontal="center"/>
    </xf>
    <xf numFmtId="171" fontId="42" fillId="0" borderId="64" xfId="0" applyNumberFormat="1" applyFont="1" applyBorder="1" applyAlignment="1">
      <alignment horizontal="center" vertical="center" wrapText="1"/>
    </xf>
    <xf numFmtId="0" fontId="41" fillId="0" borderId="31" xfId="0" applyFont="1" applyFill="1" applyBorder="1" applyAlignment="1">
      <alignment horizontal="center" vertical="center" wrapText="1"/>
    </xf>
    <xf numFmtId="164" fontId="42" fillId="12" borderId="64" xfId="0" applyNumberFormat="1" applyFont="1" applyFill="1" applyBorder="1" applyAlignment="1">
      <alignment horizontal="center"/>
    </xf>
    <xf numFmtId="165" fontId="42" fillId="12" borderId="64" xfId="0" applyNumberFormat="1" applyFont="1" applyFill="1" applyBorder="1" applyAlignment="1">
      <alignment horizontal="center"/>
    </xf>
    <xf numFmtId="43" fontId="42" fillId="12" borderId="64" xfId="0" applyNumberFormat="1" applyFont="1" applyFill="1" applyBorder="1" applyAlignment="1">
      <alignment horizontal="center"/>
    </xf>
    <xf numFmtId="1" fontId="42" fillId="2" borderId="64" xfId="0" applyNumberFormat="1" applyFont="1" applyFill="1" applyBorder="1" applyAlignment="1">
      <alignment horizontal="center" vertical="center" wrapText="1"/>
    </xf>
    <xf numFmtId="0" fontId="3" fillId="3" borderId="0" xfId="0" applyFont="1" applyFill="1"/>
    <xf numFmtId="0" fontId="0" fillId="3" borderId="0" xfId="0" applyFill="1"/>
    <xf numFmtId="0" fontId="0" fillId="0" borderId="0" xfId="0" applyAlignment="1">
      <alignment horizontal="right"/>
    </xf>
    <xf numFmtId="0" fontId="46" fillId="13" borderId="0" xfId="3" applyBorder="1" applyAlignment="1" applyProtection="1">
      <alignment horizontal="right"/>
      <protection locked="0"/>
    </xf>
    <xf numFmtId="0" fontId="0" fillId="0" borderId="18" xfId="0" applyBorder="1"/>
    <xf numFmtId="0" fontId="0" fillId="14" borderId="19" xfId="0" applyFill="1" applyBorder="1"/>
    <xf numFmtId="0" fontId="0" fillId="0" borderId="20" xfId="0" applyBorder="1"/>
    <xf numFmtId="0" fontId="0" fillId="14" borderId="0" xfId="0" applyFill="1" applyBorder="1"/>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42" xfId="0" applyFill="1" applyBorder="1" applyAlignment="1">
      <alignment horizont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10" fontId="0" fillId="0" borderId="37" xfId="0" applyNumberFormat="1" applyBorder="1"/>
    <xf numFmtId="0" fontId="0" fillId="0" borderId="33" xfId="0" applyBorder="1"/>
    <xf numFmtId="0" fontId="0" fillId="0" borderId="36" xfId="0" applyBorder="1"/>
    <xf numFmtId="0" fontId="0" fillId="14" borderId="53" xfId="0" applyFill="1" applyBorder="1"/>
    <xf numFmtId="0" fontId="0" fillId="0" borderId="27" xfId="0" applyBorder="1"/>
    <xf numFmtId="0" fontId="0" fillId="0" borderId="28" xfId="0" applyBorder="1"/>
    <xf numFmtId="10" fontId="0" fillId="0" borderId="39" xfId="0" applyNumberFormat="1" applyBorder="1"/>
    <xf numFmtId="0" fontId="0" fillId="0" borderId="30" xfId="0" applyBorder="1"/>
    <xf numFmtId="0" fontId="0" fillId="0" borderId="32" xfId="0" applyBorder="1"/>
    <xf numFmtId="0" fontId="0" fillId="0" borderId="10" xfId="0" applyBorder="1"/>
    <xf numFmtId="0" fontId="0" fillId="0" borderId="11" xfId="0" applyBorder="1"/>
    <xf numFmtId="0" fontId="0" fillId="0" borderId="12" xfId="0" applyBorder="1"/>
    <xf numFmtId="0" fontId="0" fillId="0" borderId="15" xfId="0" applyBorder="1"/>
    <xf numFmtId="0" fontId="0" fillId="0" borderId="16" xfId="0" applyBorder="1"/>
    <xf numFmtId="0" fontId="0" fillId="0" borderId="17" xfId="0" applyBorder="1"/>
    <xf numFmtId="0" fontId="47" fillId="0" borderId="0" xfId="0" applyFont="1"/>
    <xf numFmtId="0" fontId="46" fillId="3" borderId="4" xfId="3" applyFill="1" applyBorder="1" applyProtection="1">
      <protection locked="0"/>
    </xf>
    <xf numFmtId="0" fontId="46" fillId="3" borderId="0" xfId="3" applyFill="1" applyBorder="1" applyAlignment="1" applyProtection="1">
      <alignment horizontal="right"/>
      <protection locked="0"/>
    </xf>
    <xf numFmtId="0" fontId="46" fillId="3" borderId="27" xfId="3" applyFill="1" applyBorder="1" applyProtection="1">
      <protection locked="0"/>
    </xf>
    <xf numFmtId="0" fontId="46" fillId="3" borderId="28" xfId="3" applyFill="1" applyBorder="1" applyProtection="1">
      <protection locked="0"/>
    </xf>
    <xf numFmtId="0" fontId="46" fillId="3" borderId="70" xfId="3" applyFill="1" applyBorder="1" applyProtection="1">
      <protection locked="0"/>
    </xf>
    <xf numFmtId="0" fontId="46" fillId="3" borderId="30" xfId="3" applyFill="1" applyBorder="1" applyProtection="1">
      <protection locked="0"/>
    </xf>
    <xf numFmtId="0" fontId="46" fillId="3" borderId="31" xfId="3" applyFill="1" applyBorder="1" applyProtection="1">
      <protection locked="0"/>
    </xf>
    <xf numFmtId="0" fontId="46" fillId="3" borderId="32" xfId="3" applyFill="1" applyBorder="1" applyProtection="1">
      <protection locked="0"/>
    </xf>
    <xf numFmtId="0" fontId="46" fillId="3" borderId="71" xfId="3" applyFill="1" applyBorder="1" applyProtection="1">
      <protection locked="0"/>
    </xf>
    <xf numFmtId="0" fontId="4" fillId="0" borderId="4" xfId="0" applyFont="1" applyBorder="1" applyAlignment="1">
      <alignment horizontal="center" vertical="center"/>
    </xf>
    <xf numFmtId="0" fontId="0" fillId="15" borderId="0" xfId="0" applyFill="1"/>
    <xf numFmtId="0" fontId="11" fillId="15" borderId="0" xfId="0" applyFont="1" applyFill="1" applyAlignment="1">
      <alignment horizontal="left" vertical="center"/>
    </xf>
    <xf numFmtId="0" fontId="0" fillId="15" borderId="0" xfId="0" applyFill="1" applyAlignment="1">
      <alignment horizontal="left" vertical="center"/>
    </xf>
    <xf numFmtId="0" fontId="19" fillId="0" borderId="4" xfId="0" applyFont="1" applyBorder="1"/>
    <xf numFmtId="0" fontId="0" fillId="3" borderId="4" xfId="0" applyFill="1" applyBorder="1"/>
    <xf numFmtId="16" fontId="0" fillId="0" borderId="0" xfId="0" applyNumberFormat="1"/>
    <xf numFmtId="164" fontId="0" fillId="3" borderId="11" xfId="1" applyNumberFormat="1" applyFont="1" applyFill="1" applyBorder="1"/>
    <xf numFmtId="0" fontId="0" fillId="0" borderId="15" xfId="0" applyFill="1" applyBorder="1"/>
    <xf numFmtId="165" fontId="0" fillId="0" borderId="16" xfId="1" applyNumberFormat="1" applyFont="1" applyFill="1" applyBorder="1"/>
    <xf numFmtId="0" fontId="0" fillId="0" borderId="16" xfId="0" applyFill="1" applyBorder="1"/>
    <xf numFmtId="0" fontId="0" fillId="0" borderId="17" xfId="0" quotePrefix="1" applyFill="1" applyBorder="1"/>
    <xf numFmtId="0" fontId="0" fillId="0" borderId="10" xfId="0" applyFill="1" applyBorder="1"/>
    <xf numFmtId="164" fontId="0" fillId="0" borderId="11" xfId="1" applyNumberFormat="1" applyFont="1" applyFill="1" applyBorder="1"/>
    <xf numFmtId="0" fontId="0" fillId="0" borderId="11" xfId="0" applyFill="1" applyBorder="1"/>
    <xf numFmtId="0" fontId="0" fillId="0" borderId="12" xfId="0" applyFill="1" applyBorder="1"/>
    <xf numFmtId="43" fontId="0" fillId="0" borderId="16" xfId="1" applyFont="1" applyFill="1" applyBorder="1"/>
    <xf numFmtId="0" fontId="0" fillId="0" borderId="17" xfId="0" applyFill="1" applyBorder="1"/>
    <xf numFmtId="43" fontId="0" fillId="0" borderId="12" xfId="0" applyNumberFormat="1" applyBorder="1"/>
    <xf numFmtId="0" fontId="33" fillId="9" borderId="18" xfId="0" applyFont="1" applyFill="1" applyBorder="1"/>
    <xf numFmtId="164" fontId="10" fillId="9" borderId="19" xfId="1" applyNumberFormat="1" applyFont="1" applyFill="1" applyBorder="1"/>
    <xf numFmtId="0" fontId="10" fillId="9" borderId="19" xfId="0" applyFont="1" applyFill="1" applyBorder="1"/>
    <xf numFmtId="43" fontId="10" fillId="9" borderId="19" xfId="0" applyNumberFormat="1" applyFont="1" applyFill="1" applyBorder="1"/>
    <xf numFmtId="0" fontId="10" fillId="9" borderId="72" xfId="0" applyFont="1" applyFill="1" applyBorder="1"/>
    <xf numFmtId="0" fontId="0" fillId="8" borderId="24" xfId="0" applyFill="1" applyBorder="1"/>
    <xf numFmtId="0" fontId="0" fillId="8" borderId="73" xfId="0" applyFill="1" applyBorder="1"/>
    <xf numFmtId="0" fontId="0" fillId="8" borderId="55" xfId="0" applyFill="1" applyBorder="1"/>
    <xf numFmtId="165" fontId="0" fillId="8" borderId="53" xfId="1" applyNumberFormat="1" applyFont="1" applyFill="1" applyBorder="1"/>
    <xf numFmtId="0" fontId="0" fillId="8" borderId="53" xfId="0" applyFill="1" applyBorder="1"/>
    <xf numFmtId="0" fontId="0" fillId="8" borderId="74" xfId="0" quotePrefix="1" applyFill="1" applyBorder="1"/>
    <xf numFmtId="43" fontId="0" fillId="0" borderId="53" xfId="0" applyNumberFormat="1" applyBorder="1"/>
    <xf numFmtId="0" fontId="0" fillId="8" borderId="75" xfId="0" applyFill="1" applyBorder="1"/>
    <xf numFmtId="43" fontId="0" fillId="8" borderId="53" xfId="1" applyNumberFormat="1" applyFont="1" applyFill="1" applyBorder="1"/>
    <xf numFmtId="43" fontId="0" fillId="8" borderId="53" xfId="0" applyNumberFormat="1" applyFill="1" applyBorder="1"/>
    <xf numFmtId="0" fontId="0" fillId="8" borderId="57" xfId="0" applyFill="1" applyBorder="1"/>
    <xf numFmtId="169" fontId="21" fillId="7" borderId="45" xfId="0" applyNumberFormat="1" applyFont="1" applyFill="1" applyBorder="1" applyAlignment="1">
      <alignment horizontal="center" vertical="center"/>
    </xf>
    <xf numFmtId="173" fontId="0" fillId="0" borderId="0" xfId="1" applyNumberFormat="1" applyFont="1"/>
    <xf numFmtId="43" fontId="0" fillId="0" borderId="0" xfId="1" applyNumberFormat="1" applyFont="1"/>
    <xf numFmtId="0" fontId="41" fillId="0" borderId="31" xfId="0" applyFont="1" applyBorder="1" applyAlignment="1">
      <alignment horizontal="center" vertical="center" wrapText="1"/>
    </xf>
    <xf numFmtId="0" fontId="0" fillId="0" borderId="0" xfId="0" applyBorder="1" applyAlignment="1">
      <alignment vertical="center"/>
    </xf>
    <xf numFmtId="0" fontId="0" fillId="0" borderId="24" xfId="0" applyBorder="1" applyAlignment="1">
      <alignment vertical="center"/>
    </xf>
    <xf numFmtId="0" fontId="0" fillId="0" borderId="25" xfId="0" applyBorder="1" applyAlignment="1">
      <alignment vertical="center"/>
    </xf>
    <xf numFmtId="0" fontId="45" fillId="0" borderId="24" xfId="0" applyFont="1" applyFill="1" applyBorder="1" applyAlignment="1">
      <alignment horizontal="center" vertical="center"/>
    </xf>
    <xf numFmtId="0" fontId="45" fillId="0" borderId="0" xfId="0" applyFont="1" applyFill="1" applyBorder="1" applyAlignment="1">
      <alignment horizontal="center" vertical="center"/>
    </xf>
    <xf numFmtId="0" fontId="45" fillId="0" borderId="25" xfId="0" applyFont="1" applyFill="1" applyBorder="1" applyAlignment="1">
      <alignment horizontal="center" vertical="center"/>
    </xf>
    <xf numFmtId="0" fontId="40" fillId="0" borderId="0" xfId="0" applyFont="1" applyFill="1" applyBorder="1" applyAlignment="1">
      <alignment horizontal="left"/>
    </xf>
    <xf numFmtId="0" fontId="42" fillId="0" borderId="25" xfId="0" applyFont="1" applyBorder="1" applyAlignment="1">
      <alignment horizontal="center"/>
    </xf>
    <xf numFmtId="0" fontId="0" fillId="16" borderId="0" xfId="0" applyFill="1" applyBorder="1"/>
    <xf numFmtId="0" fontId="0" fillId="16" borderId="24" xfId="0" applyFill="1" applyBorder="1"/>
    <xf numFmtId="0" fontId="49" fillId="16" borderId="0" xfId="0" applyFont="1" applyFill="1" applyBorder="1" applyAlignment="1">
      <alignment horizontal="right"/>
    </xf>
    <xf numFmtId="0" fontId="42" fillId="16" borderId="4" xfId="0" applyFont="1" applyFill="1" applyBorder="1" applyAlignment="1">
      <alignment horizontal="center"/>
    </xf>
    <xf numFmtId="0" fontId="0" fillId="16" borderId="25" xfId="0" applyFill="1" applyBorder="1"/>
    <xf numFmtId="0" fontId="49" fillId="0" borderId="0" xfId="0" applyFont="1" applyBorder="1" applyAlignment="1">
      <alignment horizontal="right"/>
    </xf>
    <xf numFmtId="0" fontId="0" fillId="0" borderId="0" xfId="0" applyBorder="1" applyAlignment="1"/>
    <xf numFmtId="0" fontId="0" fillId="0" borderId="24" xfId="0" applyBorder="1" applyAlignment="1"/>
    <xf numFmtId="9" fontId="42" fillId="2" borderId="64" xfId="0" applyNumberFormat="1" applyFont="1" applyFill="1" applyBorder="1" applyAlignment="1">
      <alignment horizontal="center" vertical="center"/>
    </xf>
    <xf numFmtId="0" fontId="0" fillId="0" borderId="25" xfId="0" applyBorder="1" applyAlignment="1"/>
    <xf numFmtId="0" fontId="42" fillId="0" borderId="0" xfId="0" applyFont="1" applyFill="1" applyBorder="1" applyAlignment="1">
      <alignment horizontal="center" vertical="center"/>
    </xf>
    <xf numFmtId="0" fontId="41" fillId="16" borderId="0" xfId="0" applyFont="1" applyFill="1" applyBorder="1" applyAlignment="1">
      <alignment horizontal="center" vertical="center" wrapText="1"/>
    </xf>
    <xf numFmtId="0" fontId="41" fillId="16" borderId="24" xfId="0" applyFont="1" applyFill="1" applyBorder="1" applyAlignment="1">
      <alignment horizontal="center" vertical="center" wrapText="1"/>
    </xf>
    <xf numFmtId="0" fontId="50" fillId="16" borderId="0" xfId="0" applyFont="1" applyFill="1" applyBorder="1" applyAlignment="1">
      <alignment horizontal="center" vertical="center" wrapText="1"/>
    </xf>
    <xf numFmtId="171" fontId="42" fillId="16" borderId="0" xfId="0" applyNumberFormat="1" applyFont="1" applyFill="1" applyBorder="1" applyAlignment="1">
      <alignment horizontal="center"/>
    </xf>
    <xf numFmtId="0" fontId="42" fillId="16" borderId="0" xfId="0" applyFont="1" applyFill="1" applyBorder="1" applyAlignment="1">
      <alignment horizontal="center" vertical="center"/>
    </xf>
    <xf numFmtId="0" fontId="42" fillId="16" borderId="24" xfId="0" applyFont="1" applyFill="1" applyBorder="1" applyAlignment="1">
      <alignment horizontal="center" vertical="center"/>
    </xf>
    <xf numFmtId="2" fontId="42" fillId="16" borderId="0" xfId="0" applyNumberFormat="1" applyFont="1" applyFill="1" applyBorder="1" applyAlignment="1">
      <alignment horizontal="center" vertical="center"/>
    </xf>
    <xf numFmtId="0" fontId="42" fillId="0" borderId="0" xfId="0" applyFont="1" applyBorder="1" applyAlignment="1">
      <alignment horizontal="center" vertical="center"/>
    </xf>
    <xf numFmtId="0" fontId="42" fillId="0" borderId="24" xfId="0" applyFont="1" applyBorder="1" applyAlignment="1">
      <alignment horizontal="center" vertical="center"/>
    </xf>
    <xf numFmtId="0" fontId="0" fillId="0" borderId="24" xfId="0" applyFill="1" applyBorder="1"/>
    <xf numFmtId="0" fontId="51" fillId="0" borderId="0" xfId="0" applyFont="1" applyBorder="1" applyAlignment="1">
      <alignment vertical="center" wrapText="1"/>
    </xf>
    <xf numFmtId="0" fontId="51" fillId="0" borderId="25" xfId="0" applyFont="1" applyBorder="1" applyAlignment="1">
      <alignment vertical="center" wrapText="1"/>
    </xf>
    <xf numFmtId="0" fontId="41" fillId="0" borderId="24" xfId="0" applyFont="1" applyFill="1" applyBorder="1" applyAlignment="1">
      <alignment horizontal="center" vertical="center" wrapText="1"/>
    </xf>
    <xf numFmtId="0" fontId="43" fillId="0" borderId="0" xfId="0" applyFont="1" applyBorder="1" applyAlignment="1">
      <alignment vertical="center" wrapText="1"/>
    </xf>
    <xf numFmtId="0" fontId="43" fillId="0" borderId="25" xfId="0" applyFont="1" applyBorder="1" applyAlignment="1">
      <alignment vertical="center" wrapText="1"/>
    </xf>
    <xf numFmtId="0" fontId="41" fillId="0" borderId="25" xfId="0" applyFont="1" applyFill="1" applyBorder="1" applyAlignment="1">
      <alignment horizontal="center" vertical="center" wrapText="1"/>
    </xf>
    <xf numFmtId="0" fontId="42" fillId="0" borderId="24" xfId="0" applyFont="1" applyFill="1" applyBorder="1" applyAlignment="1">
      <alignment horizontal="center"/>
    </xf>
    <xf numFmtId="0" fontId="32" fillId="0" borderId="0" xfId="0" applyFont="1" applyFill="1" applyBorder="1" applyAlignment="1">
      <alignment horizontal="right"/>
    </xf>
    <xf numFmtId="171" fontId="42" fillId="0" borderId="64" xfId="0" applyNumberFormat="1" applyFont="1" applyFill="1" applyBorder="1" applyAlignment="1">
      <alignment horizontal="center"/>
    </xf>
    <xf numFmtId="0" fontId="42" fillId="0" borderId="41" xfId="0" applyFont="1" applyFill="1" applyBorder="1" applyAlignment="1">
      <alignment horizontal="center"/>
    </xf>
    <xf numFmtId="171" fontId="52" fillId="17" borderId="17" xfId="0" applyNumberFormat="1" applyFont="1" applyFill="1" applyBorder="1" applyAlignment="1">
      <alignment horizontal="center"/>
    </xf>
    <xf numFmtId="172" fontId="8" fillId="0" borderId="64" xfId="0" applyNumberFormat="1" applyFont="1" applyFill="1" applyBorder="1" applyAlignment="1">
      <alignment horizontal="center" vertical="center"/>
    </xf>
    <xf numFmtId="171" fontId="42" fillId="0" borderId="4" xfId="0" applyNumberFormat="1" applyFont="1" applyFill="1" applyBorder="1" applyAlignment="1">
      <alignment horizontal="center"/>
    </xf>
    <xf numFmtId="0" fontId="53" fillId="17" borderId="0" xfId="0" applyFont="1" applyFill="1" applyBorder="1" applyAlignment="1">
      <alignment horizontal="right" vertical="center"/>
    </xf>
    <xf numFmtId="171" fontId="52" fillId="17" borderId="0" xfId="0" applyNumberFormat="1" applyFont="1" applyFill="1" applyBorder="1" applyAlignment="1">
      <alignment horizontal="center"/>
    </xf>
    <xf numFmtId="172" fontId="8" fillId="17" borderId="0" xfId="0" applyNumberFormat="1" applyFont="1" applyFill="1" applyBorder="1" applyAlignment="1">
      <alignment horizontal="center" vertical="center"/>
    </xf>
    <xf numFmtId="9" fontId="8" fillId="0" borderId="0" xfId="0" applyNumberFormat="1" applyFont="1" applyBorder="1" applyAlignment="1">
      <alignment horizontal="center" vertical="center"/>
    </xf>
    <xf numFmtId="9" fontId="8" fillId="0" borderId="25" xfId="0" applyNumberFormat="1" applyFont="1" applyBorder="1" applyAlignment="1">
      <alignment horizontal="center" vertical="center"/>
    </xf>
    <xf numFmtId="0" fontId="9" fillId="0" borderId="0" xfId="0" applyFont="1" applyFill="1" applyBorder="1" applyAlignment="1">
      <alignment vertical="center" wrapText="1"/>
    </xf>
    <xf numFmtId="0" fontId="54" fillId="0" borderId="53" xfId="0" applyFont="1" applyBorder="1" applyAlignment="1">
      <alignment horizontal="right" vertical="center"/>
    </xf>
    <xf numFmtId="0" fontId="8" fillId="0" borderId="53" xfId="0" applyFont="1" applyFill="1" applyBorder="1" applyAlignment="1">
      <alignment horizontal="center"/>
    </xf>
    <xf numFmtId="171" fontId="42" fillId="0" borderId="53" xfId="0" applyNumberFormat="1" applyFont="1" applyFill="1" applyBorder="1" applyAlignment="1">
      <alignment horizontal="center"/>
    </xf>
    <xf numFmtId="171" fontId="52" fillId="0" borderId="53" xfId="0" applyNumberFormat="1" applyFont="1" applyFill="1" applyBorder="1" applyAlignment="1">
      <alignment horizontal="center"/>
    </xf>
    <xf numFmtId="2" fontId="0" fillId="0" borderId="53" xfId="0" applyNumberFormat="1" applyBorder="1"/>
    <xf numFmtId="167" fontId="8" fillId="0" borderId="53" xfId="0" applyNumberFormat="1" applyFont="1" applyBorder="1" applyAlignment="1">
      <alignment horizontal="right" vertical="center"/>
    </xf>
    <xf numFmtId="167" fontId="8" fillId="0" borderId="53" xfId="0" applyNumberFormat="1" applyFont="1" applyBorder="1" applyAlignment="1">
      <alignment horizontal="left" vertical="center"/>
    </xf>
    <xf numFmtId="167" fontId="8" fillId="0" borderId="57" xfId="0" applyNumberFormat="1" applyFont="1" applyBorder="1" applyAlignment="1">
      <alignment horizontal="left" vertical="center"/>
    </xf>
    <xf numFmtId="0" fontId="54" fillId="0" borderId="0" xfId="0" applyFont="1" applyBorder="1" applyAlignment="1">
      <alignment horizontal="right" vertical="center"/>
    </xf>
    <xf numFmtId="0" fontId="8" fillId="0" borderId="0" xfId="0" applyFont="1" applyFill="1" applyBorder="1" applyAlignment="1">
      <alignment horizontal="center"/>
    </xf>
    <xf numFmtId="171" fontId="52" fillId="0" borderId="0" xfId="0" applyNumberFormat="1" applyFont="1" applyFill="1" applyBorder="1" applyAlignment="1">
      <alignment horizontal="center"/>
    </xf>
    <xf numFmtId="2" fontId="0" fillId="0" borderId="0" xfId="0" applyNumberFormat="1" applyBorder="1"/>
    <xf numFmtId="167" fontId="8" fillId="0" borderId="0" xfId="0" applyNumberFormat="1" applyFont="1" applyBorder="1" applyAlignment="1">
      <alignment horizontal="right" vertical="center"/>
    </xf>
    <xf numFmtId="167" fontId="8" fillId="0" borderId="0" xfId="0" applyNumberFormat="1" applyFont="1" applyBorder="1" applyAlignment="1">
      <alignment horizontal="left" vertical="center"/>
    </xf>
    <xf numFmtId="0" fontId="43" fillId="0" borderId="25" xfId="0" applyFont="1" applyFill="1" applyBorder="1" applyAlignment="1"/>
    <xf numFmtId="0" fontId="0" fillId="0" borderId="0" xfId="0" applyFill="1" applyBorder="1" applyAlignment="1">
      <alignment horizontal="center"/>
    </xf>
    <xf numFmtId="0" fontId="0" fillId="0" borderId="25" xfId="0" applyFill="1" applyBorder="1" applyAlignment="1">
      <alignment horizontal="center"/>
    </xf>
    <xf numFmtId="0" fontId="0" fillId="17" borderId="0" xfId="0" applyFill="1" applyBorder="1"/>
    <xf numFmtId="0" fontId="56" fillId="17" borderId="25" xfId="0" applyFont="1" applyFill="1" applyBorder="1" applyAlignment="1">
      <alignment horizontal="center" vertical="center" wrapText="1"/>
    </xf>
    <xf numFmtId="0" fontId="41" fillId="17" borderId="74" xfId="0" applyFont="1" applyFill="1" applyBorder="1" applyAlignment="1">
      <alignment horizontal="center" vertical="center" wrapText="1"/>
    </xf>
    <xf numFmtId="0" fontId="41" fillId="17" borderId="31" xfId="0" applyFont="1" applyFill="1" applyBorder="1" applyAlignment="1">
      <alignment horizontal="center" vertical="center" wrapText="1"/>
    </xf>
    <xf numFmtId="172" fontId="57" fillId="17" borderId="0" xfId="0" applyNumberFormat="1" applyFont="1" applyFill="1" applyBorder="1" applyAlignment="1">
      <alignment horizontal="center" vertical="center"/>
    </xf>
    <xf numFmtId="0" fontId="41" fillId="17" borderId="38" xfId="0" applyFont="1" applyFill="1" applyBorder="1" applyAlignment="1">
      <alignment horizontal="center" vertical="center" wrapText="1"/>
    </xf>
    <xf numFmtId="0" fontId="41" fillId="17" borderId="25" xfId="0" applyFont="1" applyFill="1" applyBorder="1" applyAlignment="1">
      <alignment horizontal="center" vertical="center" wrapText="1"/>
    </xf>
    <xf numFmtId="2" fontId="58" fillId="0" borderId="40" xfId="0" applyNumberFormat="1" applyFont="1" applyBorder="1" applyAlignment="1">
      <alignment horizontal="center" vertical="center"/>
    </xf>
    <xf numFmtId="2" fontId="42" fillId="0" borderId="17" xfId="0" applyNumberFormat="1" applyFont="1" applyBorder="1" applyAlignment="1">
      <alignment horizontal="center" vertical="center"/>
    </xf>
    <xf numFmtId="2" fontId="42" fillId="0" borderId="64" xfId="0" applyNumberFormat="1" applyFont="1" applyBorder="1" applyAlignment="1">
      <alignment horizontal="center" vertical="center"/>
    </xf>
    <xf numFmtId="0" fontId="42" fillId="17" borderId="0" xfId="0" applyFont="1" applyFill="1" applyBorder="1" applyAlignment="1">
      <alignment horizontal="center" vertical="center"/>
    </xf>
    <xf numFmtId="2" fontId="8" fillId="0" borderId="64" xfId="0" applyNumberFormat="1" applyFont="1" applyBorder="1" applyAlignment="1">
      <alignment horizontal="center" vertical="center"/>
    </xf>
    <xf numFmtId="2" fontId="8" fillId="0" borderId="25" xfId="0" applyNumberFormat="1" applyFont="1" applyBorder="1" applyAlignment="1">
      <alignment horizontal="center" vertical="center"/>
    </xf>
    <xf numFmtId="0" fontId="42" fillId="0" borderId="25" xfId="0" applyFont="1" applyBorder="1" applyAlignment="1">
      <alignment horizontal="center" vertical="center"/>
    </xf>
    <xf numFmtId="0" fontId="44" fillId="0" borderId="53" xfId="0" applyFont="1" applyBorder="1" applyAlignment="1">
      <alignment vertical="center"/>
    </xf>
    <xf numFmtId="0" fontId="59" fillId="0" borderId="0" xfId="0" applyFont="1" applyFill="1" applyBorder="1" applyAlignment="1">
      <alignment horizontal="center"/>
    </xf>
    <xf numFmtId="165" fontId="0" fillId="0" borderId="0" xfId="1" applyNumberFormat="1" applyFont="1"/>
    <xf numFmtId="0" fontId="60" fillId="0" borderId="77" xfId="0" applyFont="1" applyBorder="1" applyAlignment="1">
      <alignment horizontal="center" vertical="center" wrapText="1"/>
    </xf>
    <xf numFmtId="0" fontId="60" fillId="0" borderId="78" xfId="0" applyFont="1" applyBorder="1" applyAlignment="1">
      <alignment horizontal="center" vertical="center" wrapText="1"/>
    </xf>
    <xf numFmtId="0" fontId="60" fillId="0" borderId="76" xfId="0" applyFont="1" applyBorder="1" applyAlignment="1">
      <alignment horizontal="center" vertical="center" wrapText="1"/>
    </xf>
    <xf numFmtId="0" fontId="61" fillId="0" borderId="76" xfId="0" applyFont="1" applyBorder="1" applyAlignment="1">
      <alignment horizontal="center" vertical="center" wrapText="1"/>
    </xf>
    <xf numFmtId="0" fontId="0" fillId="0" borderId="0" xfId="0" applyAlignment="1">
      <alignment horizontal="center" vertical="center"/>
    </xf>
    <xf numFmtId="0" fontId="60" fillId="0" borderId="0" xfId="0" applyFont="1" applyAlignment="1">
      <alignment horizontal="center" vertical="center"/>
    </xf>
    <xf numFmtId="0" fontId="3" fillId="0" borderId="0" xfId="0" applyFont="1" applyAlignment="1">
      <alignment vertical="top"/>
    </xf>
    <xf numFmtId="164" fontId="3" fillId="8" borderId="0" xfId="1" applyNumberFormat="1" applyFont="1" applyFill="1" applyBorder="1"/>
    <xf numFmtId="43" fontId="3" fillId="3" borderId="0" xfId="1" applyNumberFormat="1" applyFont="1" applyFill="1" applyBorder="1"/>
    <xf numFmtId="0" fontId="0" fillId="0" borderId="4" xfId="0" applyBorder="1" applyAlignment="1">
      <alignment horizontal="right"/>
    </xf>
    <xf numFmtId="0" fontId="0" fillId="18" borderId="0" xfId="0" applyFill="1"/>
    <xf numFmtId="0" fontId="0" fillId="18" borderId="0" xfId="0" applyFill="1" applyAlignment="1">
      <alignment horizontal="left" vertical="center"/>
    </xf>
    <xf numFmtId="0" fontId="11" fillId="18" borderId="0" xfId="0" applyFont="1" applyFill="1" applyAlignment="1">
      <alignment horizontal="left" vertical="center"/>
    </xf>
    <xf numFmtId="0" fontId="3" fillId="0" borderId="0" xfId="0" applyFont="1" applyAlignment="1">
      <alignment horizontal="left"/>
    </xf>
    <xf numFmtId="0" fontId="3" fillId="0" borderId="0" xfId="0" applyFont="1" applyAlignment="1">
      <alignment horizontal="center"/>
    </xf>
    <xf numFmtId="0" fontId="3" fillId="0" borderId="0" xfId="0" applyFont="1" applyAlignment="1">
      <alignment wrapText="1"/>
    </xf>
    <xf numFmtId="0" fontId="0" fillId="3" borderId="15" xfId="0" applyFill="1" applyBorder="1"/>
    <xf numFmtId="164" fontId="3" fillId="3" borderId="16" xfId="1" applyNumberFormat="1" applyFont="1" applyFill="1" applyBorder="1"/>
    <xf numFmtId="0" fontId="0" fillId="3" borderId="16" xfId="0" applyFill="1" applyBorder="1"/>
    <xf numFmtId="0" fontId="0" fillId="3" borderId="17" xfId="0" applyFill="1" applyBorder="1"/>
    <xf numFmtId="0" fontId="33" fillId="9" borderId="13" xfId="0" applyFont="1" applyFill="1" applyBorder="1"/>
    <xf numFmtId="164" fontId="10" fillId="9" borderId="0" xfId="1" applyNumberFormat="1" applyFont="1" applyFill="1" applyBorder="1"/>
    <xf numFmtId="0" fontId="10" fillId="9" borderId="0" xfId="0" applyFont="1" applyFill="1" applyBorder="1"/>
    <xf numFmtId="43" fontId="10" fillId="9" borderId="0" xfId="0" applyNumberFormat="1" applyFont="1" applyFill="1" applyBorder="1"/>
    <xf numFmtId="0" fontId="10" fillId="9" borderId="14" xfId="0" applyFont="1" applyFill="1" applyBorder="1"/>
    <xf numFmtId="164" fontId="0" fillId="8" borderId="16" xfId="1" applyNumberFormat="1" applyFont="1" applyFill="1" applyBorder="1"/>
    <xf numFmtId="165" fontId="0" fillId="0" borderId="0" xfId="1" applyNumberFormat="1" applyFont="1" applyBorder="1" applyAlignment="1"/>
    <xf numFmtId="0" fontId="6" fillId="0" borderId="0" xfId="0" applyFont="1" applyBorder="1" applyAlignment="1">
      <alignment horizontal="center"/>
    </xf>
    <xf numFmtId="0" fontId="6" fillId="8" borderId="4" xfId="0" applyFont="1" applyFill="1" applyBorder="1" applyAlignment="1">
      <alignment horizontal="center"/>
    </xf>
    <xf numFmtId="0" fontId="0" fillId="8" borderId="4" xfId="0" applyFill="1" applyBorder="1" applyAlignment="1">
      <alignment horizontal="center"/>
    </xf>
    <xf numFmtId="0" fontId="19" fillId="8" borderId="10" xfId="0" applyFont="1" applyFill="1" applyBorder="1"/>
    <xf numFmtId="0" fontId="19" fillId="8" borderId="13" xfId="0" applyFont="1" applyFill="1" applyBorder="1"/>
    <xf numFmtId="0" fontId="19" fillId="8" borderId="15" xfId="0" applyFont="1" applyFill="1" applyBorder="1"/>
    <xf numFmtId="164" fontId="19" fillId="8" borderId="11" xfId="1" applyNumberFormat="1" applyFont="1" applyFill="1" applyBorder="1"/>
    <xf numFmtId="165" fontId="19" fillId="8" borderId="0" xfId="1" applyNumberFormat="1" applyFont="1" applyFill="1" applyBorder="1"/>
    <xf numFmtId="43" fontId="19" fillId="8" borderId="16" xfId="1" applyFont="1" applyFill="1" applyBorder="1"/>
    <xf numFmtId="164" fontId="0" fillId="8" borderId="53" xfId="1" applyNumberFormat="1" applyFont="1" applyFill="1" applyBorder="1"/>
    <xf numFmtId="43" fontId="0" fillId="3" borderId="16" xfId="1" applyNumberFormat="1" applyFont="1" applyFill="1" applyBorder="1"/>
    <xf numFmtId="0" fontId="0" fillId="3" borderId="17" xfId="0" quotePrefix="1" applyFill="1" applyBorder="1"/>
    <xf numFmtId="43" fontId="19" fillId="8" borderId="0" xfId="1" applyFont="1" applyFill="1" applyBorder="1"/>
    <xf numFmtId="0" fontId="41" fillId="0" borderId="31" xfId="0" applyFont="1" applyBorder="1" applyAlignment="1">
      <alignment horizontal="center" vertical="center" wrapText="1"/>
    </xf>
    <xf numFmtId="0" fontId="0" fillId="0" borderId="0" xfId="0" applyAlignment="1">
      <alignment horizontal="center"/>
    </xf>
    <xf numFmtId="0" fontId="41" fillId="0" borderId="0" xfId="0" applyFont="1" applyFill="1" applyBorder="1" applyAlignment="1">
      <alignment vertical="center" wrapText="1"/>
    </xf>
    <xf numFmtId="0" fontId="53" fillId="11" borderId="0" xfId="0" applyFont="1" applyFill="1" applyBorder="1" applyAlignment="1">
      <alignment horizontal="right" vertical="center"/>
    </xf>
    <xf numFmtId="0" fontId="8" fillId="2" borderId="64" xfId="0" applyFont="1" applyFill="1" applyBorder="1" applyAlignment="1">
      <alignment horizontal="center"/>
    </xf>
    <xf numFmtId="0" fontId="65" fillId="11" borderId="0" xfId="0" applyFont="1" applyFill="1" applyBorder="1" applyAlignment="1">
      <alignment horizontal="right" vertical="center"/>
    </xf>
    <xf numFmtId="0" fontId="8" fillId="2" borderId="4" xfId="0" applyFont="1" applyFill="1" applyBorder="1" applyAlignment="1">
      <alignment horizontal="center"/>
    </xf>
    <xf numFmtId="171" fontId="52" fillId="23" borderId="64" xfId="0" applyNumberFormat="1" applyFont="1" applyFill="1" applyBorder="1" applyAlignment="1">
      <alignment horizontal="center"/>
    </xf>
    <xf numFmtId="9" fontId="8" fillId="0" borderId="64" xfId="0" applyNumberFormat="1" applyFont="1" applyBorder="1" applyAlignment="1">
      <alignment horizontal="center" vertical="center"/>
    </xf>
    <xf numFmtId="171" fontId="52" fillId="24" borderId="4" xfId="0" applyNumberFormat="1" applyFont="1" applyFill="1" applyBorder="1" applyAlignment="1">
      <alignment horizontal="center"/>
    </xf>
    <xf numFmtId="172" fontId="8" fillId="0" borderId="4" xfId="0" applyNumberFormat="1" applyFont="1" applyFill="1" applyBorder="1" applyAlignment="1">
      <alignment horizontal="center" vertical="center"/>
    </xf>
    <xf numFmtId="0" fontId="42" fillId="0" borderId="57" xfId="0" applyFont="1" applyFill="1" applyBorder="1" applyAlignment="1"/>
    <xf numFmtId="0" fontId="41" fillId="23" borderId="44" xfId="0" applyFont="1" applyFill="1" applyBorder="1" applyAlignment="1">
      <alignment horizontal="center" vertical="center" wrapText="1"/>
    </xf>
    <xf numFmtId="0" fontId="41" fillId="23" borderId="74" xfId="0" applyFont="1" applyFill="1" applyBorder="1" applyAlignment="1">
      <alignment horizontal="center" vertical="center" wrapText="1"/>
    </xf>
    <xf numFmtId="0" fontId="41" fillId="23" borderId="38" xfId="0" applyFont="1" applyFill="1" applyBorder="1" applyAlignment="1">
      <alignment horizontal="center" vertical="center" wrapText="1"/>
    </xf>
    <xf numFmtId="172" fontId="68" fillId="17" borderId="0" xfId="0" applyNumberFormat="1" applyFont="1" applyFill="1" applyBorder="1" applyAlignment="1">
      <alignment horizontal="center" vertical="center"/>
    </xf>
    <xf numFmtId="0" fontId="41" fillId="23" borderId="31" xfId="0" applyFont="1" applyFill="1" applyBorder="1" applyAlignment="1">
      <alignment horizontal="center" vertical="center" wrapText="1"/>
    </xf>
    <xf numFmtId="0" fontId="69" fillId="0" borderId="25" xfId="0" applyFont="1" applyFill="1" applyBorder="1"/>
    <xf numFmtId="0" fontId="41" fillId="24" borderId="43" xfId="0" applyFont="1" applyFill="1" applyBorder="1" applyAlignment="1">
      <alignment horizontal="center" vertical="center" wrapText="1"/>
    </xf>
    <xf numFmtId="0" fontId="41" fillId="24" borderId="17" xfId="0" applyFont="1" applyFill="1" applyBorder="1" applyAlignment="1">
      <alignment horizontal="center" vertical="center" wrapText="1"/>
    </xf>
    <xf numFmtId="0" fontId="41" fillId="24" borderId="64" xfId="0" applyFont="1" applyFill="1" applyBorder="1" applyAlignment="1">
      <alignment horizontal="center" vertical="center" wrapText="1"/>
    </xf>
    <xf numFmtId="172" fontId="71" fillId="0" borderId="0" xfId="0" applyNumberFormat="1" applyFont="1" applyFill="1" applyBorder="1" applyAlignment="1">
      <alignment horizontal="center" vertical="center"/>
    </xf>
    <xf numFmtId="0" fontId="41" fillId="24" borderId="31" xfId="0" applyFont="1" applyFill="1" applyBorder="1" applyAlignment="1">
      <alignment horizontal="center" vertical="center" wrapText="1"/>
    </xf>
    <xf numFmtId="2" fontId="42" fillId="0" borderId="29" xfId="0" applyNumberFormat="1" applyFont="1" applyBorder="1" applyAlignment="1">
      <alignment horizontal="center" vertical="center"/>
    </xf>
    <xf numFmtId="2" fontId="42" fillId="0" borderId="4" xfId="0" applyNumberFormat="1" applyFont="1" applyBorder="1" applyAlignment="1">
      <alignment horizontal="center" vertical="center"/>
    </xf>
    <xf numFmtId="0" fontId="44" fillId="0" borderId="0" xfId="0" applyFont="1" applyBorder="1" applyAlignment="1">
      <alignment vertical="center"/>
    </xf>
    <xf numFmtId="2" fontId="8" fillId="0" borderId="64" xfId="0" applyNumberFormat="1" applyFont="1" applyFill="1" applyBorder="1" applyAlignment="1">
      <alignment horizontal="center" vertical="center"/>
    </xf>
    <xf numFmtId="2" fontId="42" fillId="0" borderId="64" xfId="0" applyNumberFormat="1" applyFont="1" applyFill="1" applyBorder="1" applyAlignment="1">
      <alignment horizontal="center" vertical="center"/>
    </xf>
    <xf numFmtId="171" fontId="42" fillId="0" borderId="15" xfId="0" applyNumberFormat="1" applyFont="1" applyFill="1" applyBorder="1" applyAlignment="1">
      <alignment horizontal="center" vertical="center"/>
    </xf>
    <xf numFmtId="172" fontId="42" fillId="0" borderId="17" xfId="0" applyNumberFormat="1" applyFont="1" applyFill="1" applyBorder="1" applyAlignment="1">
      <alignment horizontal="center" vertical="center"/>
    </xf>
    <xf numFmtId="174" fontId="42" fillId="0" borderId="64" xfId="0" applyNumberFormat="1" applyFont="1" applyFill="1" applyBorder="1" applyAlignment="1">
      <alignment horizontal="center" vertical="center"/>
    </xf>
    <xf numFmtId="171" fontId="42" fillId="0" borderId="0" xfId="0" applyNumberFormat="1" applyFont="1" applyFill="1" applyBorder="1" applyAlignment="1">
      <alignment horizontal="center" vertical="center"/>
    </xf>
    <xf numFmtId="172" fontId="42" fillId="0" borderId="0" xfId="0" applyNumberFormat="1" applyFont="1" applyFill="1" applyBorder="1" applyAlignment="1">
      <alignment horizontal="center" vertical="center"/>
    </xf>
    <xf numFmtId="2" fontId="42" fillId="0" borderId="0" xfId="0" applyNumberFormat="1" applyFont="1" applyFill="1" applyBorder="1" applyAlignment="1">
      <alignment horizontal="center" vertical="center"/>
    </xf>
    <xf numFmtId="174" fontId="42" fillId="0" borderId="0" xfId="0" applyNumberFormat="1" applyFont="1" applyFill="1" applyBorder="1" applyAlignment="1">
      <alignment horizontal="center" vertical="center"/>
    </xf>
    <xf numFmtId="0" fontId="42" fillId="0" borderId="4" xfId="0" applyNumberFormat="1" applyFont="1" applyFill="1" applyBorder="1" applyAlignment="1">
      <alignment horizontal="center"/>
    </xf>
    <xf numFmtId="0" fontId="42" fillId="0" borderId="4" xfId="0" applyFont="1" applyFill="1" applyBorder="1" applyAlignment="1">
      <alignment horizontal="center"/>
    </xf>
    <xf numFmtId="0" fontId="74" fillId="0" borderId="0" xfId="0" applyFont="1" applyFill="1"/>
    <xf numFmtId="0" fontId="74" fillId="26" borderId="0" xfId="0" applyFont="1" applyFill="1"/>
    <xf numFmtId="0" fontId="74" fillId="0" borderId="0" xfId="0" applyFont="1" applyAlignment="1">
      <alignment horizontal="center"/>
    </xf>
    <xf numFmtId="0" fontId="74" fillId="0" borderId="0" xfId="0" applyFont="1" applyAlignment="1">
      <alignment horizontal="center" vertical="center"/>
    </xf>
    <xf numFmtId="0" fontId="74" fillId="0" borderId="0" xfId="0" applyFont="1"/>
    <xf numFmtId="0" fontId="74" fillId="27" borderId="20" xfId="0" applyFont="1" applyFill="1" applyBorder="1"/>
    <xf numFmtId="0" fontId="74" fillId="27" borderId="24" xfId="0" applyFont="1" applyFill="1" applyBorder="1"/>
    <xf numFmtId="0" fontId="74" fillId="0" borderId="4" xfId="0" applyFont="1" applyBorder="1" applyAlignment="1">
      <alignment horizontal="center" wrapText="1"/>
    </xf>
    <xf numFmtId="0" fontId="74" fillId="27" borderId="25" xfId="0" applyFont="1" applyFill="1" applyBorder="1"/>
    <xf numFmtId="0" fontId="74" fillId="27" borderId="24" xfId="0" applyFont="1" applyFill="1" applyBorder="1" applyAlignment="1"/>
    <xf numFmtId="0" fontId="74" fillId="27" borderId="0" xfId="0" applyFont="1" applyFill="1" applyBorder="1" applyAlignment="1"/>
    <xf numFmtId="0" fontId="74" fillId="27" borderId="25" xfId="0" applyFont="1" applyFill="1" applyBorder="1" applyAlignment="1"/>
    <xf numFmtId="0" fontId="74" fillId="0" borderId="1" xfId="0" applyFont="1" applyBorder="1"/>
    <xf numFmtId="168" fontId="74" fillId="0" borderId="0" xfId="0" applyNumberFormat="1" applyFont="1" applyAlignment="1">
      <alignment horizontal="center"/>
    </xf>
    <xf numFmtId="0" fontId="0" fillId="3" borderId="26" xfId="0" applyFill="1" applyBorder="1" applyAlignment="1">
      <alignment horizontal="center"/>
    </xf>
    <xf numFmtId="0" fontId="0" fillId="3" borderId="4" xfId="0" applyFill="1" applyBorder="1" applyAlignment="1">
      <alignment horizontal="center"/>
    </xf>
    <xf numFmtId="0" fontId="74" fillId="0" borderId="19" xfId="0" applyFont="1" applyBorder="1"/>
    <xf numFmtId="0" fontId="74" fillId="0" borderId="19" xfId="0" applyFont="1" applyBorder="1" applyAlignment="1">
      <alignment horizontal="right"/>
    </xf>
    <xf numFmtId="0" fontId="74" fillId="0" borderId="20" xfId="0" applyFont="1" applyBorder="1" applyAlignment="1">
      <alignment horizontal="center"/>
    </xf>
    <xf numFmtId="2" fontId="74" fillId="0" borderId="0" xfId="0" applyNumberFormat="1" applyFont="1" applyAlignment="1">
      <alignment horizontal="center"/>
    </xf>
    <xf numFmtId="0" fontId="74" fillId="27" borderId="0" xfId="0" applyFont="1" applyFill="1" applyBorder="1"/>
    <xf numFmtId="0" fontId="74" fillId="0" borderId="0" xfId="0" applyFont="1" applyBorder="1"/>
    <xf numFmtId="0" fontId="74" fillId="0" borderId="0" xfId="0" applyFont="1" applyBorder="1" applyAlignment="1">
      <alignment horizontal="right"/>
    </xf>
    <xf numFmtId="0" fontId="74" fillId="0" borderId="25" xfId="0" applyFont="1" applyBorder="1" applyAlignment="1">
      <alignment horizontal="center"/>
    </xf>
    <xf numFmtId="0" fontId="74" fillId="0" borderId="0" xfId="0" quotePrefix="1" applyFont="1" applyAlignment="1">
      <alignment horizontal="center"/>
    </xf>
    <xf numFmtId="0" fontId="74" fillId="27" borderId="55" xfId="0" applyFont="1" applyFill="1" applyBorder="1"/>
    <xf numFmtId="0" fontId="74" fillId="27" borderId="53" xfId="0" applyFont="1" applyFill="1" applyBorder="1"/>
    <xf numFmtId="0" fontId="74" fillId="27" borderId="53" xfId="0" applyFont="1" applyFill="1" applyBorder="1" applyAlignment="1">
      <alignment horizontal="right"/>
    </xf>
    <xf numFmtId="0" fontId="0" fillId="27" borderId="53" xfId="0" applyFill="1" applyBorder="1" applyAlignment="1">
      <alignment horizontal="center"/>
    </xf>
    <xf numFmtId="0" fontId="74" fillId="27" borderId="57" xfId="0" applyFont="1" applyFill="1" applyBorder="1"/>
    <xf numFmtId="0" fontId="74" fillId="0" borderId="0" xfId="0" applyFont="1" applyFill="1" applyAlignment="1">
      <alignment horizontal="right"/>
    </xf>
    <xf numFmtId="0" fontId="74" fillId="27" borderId="0" xfId="0" applyFont="1" applyFill="1" applyBorder="1" applyAlignment="1">
      <alignment horizontal="center"/>
    </xf>
    <xf numFmtId="2" fontId="74" fillId="0" borderId="0" xfId="0" applyNumberFormat="1" applyFont="1" applyAlignment="1">
      <alignment horizontal="center" vertical="center"/>
    </xf>
    <xf numFmtId="2" fontId="74" fillId="0" borderId="0" xfId="0" applyNumberFormat="1" applyFont="1"/>
    <xf numFmtId="0" fontId="78" fillId="27" borderId="0" xfId="0" applyFont="1" applyFill="1" applyBorder="1" applyAlignment="1">
      <alignment horizontal="right"/>
    </xf>
    <xf numFmtId="0" fontId="0" fillId="3" borderId="4" xfId="0" applyFill="1" applyBorder="1" applyAlignment="1">
      <alignment horizontal="center" vertical="center"/>
    </xf>
    <xf numFmtId="9" fontId="0" fillId="3" borderId="4" xfId="2" applyFont="1" applyFill="1" applyBorder="1" applyAlignment="1">
      <alignment horizontal="center" vertical="center"/>
    </xf>
    <xf numFmtId="2" fontId="74" fillId="27" borderId="0" xfId="0" applyNumberFormat="1" applyFont="1" applyFill="1" applyBorder="1" applyAlignment="1">
      <alignment horizontal="center"/>
    </xf>
    <xf numFmtId="0" fontId="74" fillId="0" borderId="53" xfId="0" applyFont="1" applyBorder="1"/>
    <xf numFmtId="0" fontId="74" fillId="0" borderId="53" xfId="0" applyFont="1" applyBorder="1" applyAlignment="1">
      <alignment horizontal="right"/>
    </xf>
    <xf numFmtId="1" fontId="74" fillId="0" borderId="57" xfId="0" applyNumberFormat="1" applyFont="1" applyBorder="1" applyAlignment="1">
      <alignment horizontal="center"/>
    </xf>
    <xf numFmtId="167" fontId="79" fillId="27" borderId="55" xfId="9" applyNumberFormat="1" applyFont="1" applyFill="1" applyBorder="1" applyAlignment="1">
      <alignment horizontal="center"/>
    </xf>
    <xf numFmtId="2" fontId="79" fillId="4" borderId="30" xfId="9" applyNumberFormat="1" applyFont="1" applyFill="1" applyBorder="1" applyAlignment="1">
      <alignment horizontal="center"/>
    </xf>
    <xf numFmtId="1" fontId="79" fillId="4" borderId="31" xfId="9" applyNumberFormat="1" applyFont="1" applyFill="1" applyBorder="1" applyAlignment="1">
      <alignment horizontal="center"/>
    </xf>
    <xf numFmtId="167" fontId="79" fillId="4" borderId="31" xfId="9" applyNumberFormat="1" applyFont="1" applyFill="1" applyBorder="1" applyAlignment="1">
      <alignment horizontal="center"/>
    </xf>
    <xf numFmtId="174" fontId="79" fillId="4" borderId="32" xfId="9" applyNumberFormat="1" applyFont="1" applyFill="1" applyBorder="1" applyAlignment="1">
      <alignment horizontal="center"/>
    </xf>
    <xf numFmtId="1" fontId="79" fillId="27" borderId="57" xfId="9" applyNumberFormat="1" applyFont="1" applyFill="1" applyBorder="1" applyAlignment="1">
      <alignment horizontal="center"/>
    </xf>
    <xf numFmtId="0" fontId="74" fillId="0" borderId="0" xfId="0" applyFont="1" applyAlignment="1">
      <alignment horizontal="right"/>
    </xf>
    <xf numFmtId="0" fontId="62" fillId="27" borderId="18" xfId="4" applyFill="1" applyBorder="1" applyAlignment="1"/>
    <xf numFmtId="0" fontId="74" fillId="0" borderId="25" xfId="0" applyFont="1" applyFill="1" applyBorder="1"/>
    <xf numFmtId="0" fontId="74" fillId="0" borderId="4" xfId="0" applyFont="1" applyBorder="1"/>
    <xf numFmtId="168" fontId="74" fillId="0" borderId="4" xfId="0" applyNumberFormat="1" applyFont="1" applyBorder="1" applyAlignment="1">
      <alignment horizontal="right"/>
    </xf>
    <xf numFmtId="0" fontId="74" fillId="0" borderId="4" xfId="0" applyFont="1" applyBorder="1" applyAlignment="1">
      <alignment horizontal="center"/>
    </xf>
    <xf numFmtId="2" fontId="0" fillId="3" borderId="4" xfId="2" applyNumberFormat="1" applyFont="1" applyFill="1" applyBorder="1" applyAlignment="1">
      <alignment horizontal="center" vertical="center"/>
    </xf>
    <xf numFmtId="0" fontId="74" fillId="27" borderId="0" xfId="0" applyFont="1" applyFill="1" applyBorder="1" applyAlignment="1">
      <alignment vertical="center"/>
    </xf>
    <xf numFmtId="0" fontId="74" fillId="27" borderId="25" xfId="0" applyFont="1" applyFill="1" applyBorder="1" applyAlignment="1">
      <alignment vertical="center"/>
    </xf>
    <xf numFmtId="2" fontId="78" fillId="27" borderId="53" xfId="0" applyNumberFormat="1" applyFont="1" applyFill="1" applyBorder="1" applyAlignment="1">
      <alignment horizontal="right"/>
    </xf>
    <xf numFmtId="0" fontId="78" fillId="27" borderId="53" xfId="0" applyFont="1" applyFill="1" applyBorder="1" applyAlignment="1"/>
    <xf numFmtId="9" fontId="74" fillId="27" borderId="53" xfId="2" applyFont="1" applyFill="1" applyBorder="1" applyAlignment="1">
      <alignment horizontal="center"/>
    </xf>
    <xf numFmtId="168" fontId="74" fillId="27" borderId="53" xfId="0" applyNumberFormat="1" applyFont="1" applyFill="1" applyBorder="1" applyAlignment="1">
      <alignment horizontal="center"/>
    </xf>
    <xf numFmtId="0" fontId="74" fillId="0" borderId="0" xfId="0" applyFont="1" applyFill="1" applyAlignment="1">
      <alignment horizontal="center"/>
    </xf>
    <xf numFmtId="2" fontId="0" fillId="0" borderId="0" xfId="0" applyNumberFormat="1" applyAlignment="1">
      <alignment horizontal="center" vertical="center"/>
    </xf>
    <xf numFmtId="168" fontId="0" fillId="0" borderId="0" xfId="0" applyNumberFormat="1" applyAlignment="1">
      <alignment horizontal="center"/>
    </xf>
    <xf numFmtId="0" fontId="74" fillId="3" borderId="28" xfId="0" applyFont="1" applyFill="1" applyBorder="1" applyAlignment="1">
      <alignment horizontal="center"/>
    </xf>
    <xf numFmtId="0" fontId="78" fillId="27" borderId="24" xfId="0" applyFont="1" applyFill="1" applyBorder="1" applyAlignment="1">
      <alignment vertical="center" textRotation="90"/>
    </xf>
    <xf numFmtId="9" fontId="74" fillId="0" borderId="0" xfId="0" applyNumberFormat="1" applyFont="1" applyAlignment="1">
      <alignment horizontal="center"/>
    </xf>
    <xf numFmtId="167" fontId="74" fillId="3" borderId="84" xfId="0" applyNumberFormat="1" applyFont="1" applyFill="1" applyBorder="1" applyAlignment="1">
      <alignment horizontal="center"/>
    </xf>
    <xf numFmtId="0" fontId="74" fillId="3" borderId="84" xfId="0" applyFont="1" applyFill="1" applyBorder="1" applyAlignment="1">
      <alignment horizontal="center"/>
    </xf>
    <xf numFmtId="0" fontId="82" fillId="27" borderId="24" xfId="0" applyFont="1" applyFill="1" applyBorder="1" applyAlignment="1">
      <alignment vertical="center"/>
    </xf>
    <xf numFmtId="0" fontId="74" fillId="3" borderId="32" xfId="0" applyFont="1" applyFill="1" applyBorder="1" applyAlignment="1">
      <alignment horizontal="center"/>
    </xf>
    <xf numFmtId="0" fontId="74" fillId="27" borderId="0" xfId="0" applyFont="1" applyFill="1" applyBorder="1" applyAlignment="1">
      <alignment horizontal="right"/>
    </xf>
    <xf numFmtId="1" fontId="74" fillId="0" borderId="0" xfId="0" applyNumberFormat="1" applyFont="1" applyAlignment="1">
      <alignment horizontal="center"/>
    </xf>
    <xf numFmtId="1" fontId="74" fillId="0" borderId="0" xfId="0" applyNumberFormat="1" applyFont="1" applyAlignment="1">
      <alignment horizontal="right"/>
    </xf>
    <xf numFmtId="0" fontId="82" fillId="27" borderId="24" xfId="0" applyFont="1" applyFill="1" applyBorder="1"/>
    <xf numFmtId="0" fontId="3" fillId="27" borderId="0" xfId="0" applyFont="1" applyFill="1" applyBorder="1" applyAlignment="1"/>
    <xf numFmtId="0" fontId="3" fillId="27" borderId="25" xfId="0" applyFont="1" applyFill="1" applyBorder="1" applyAlignment="1"/>
    <xf numFmtId="2" fontId="74" fillId="0" borderId="4" xfId="0" applyNumberFormat="1" applyFont="1" applyBorder="1" applyAlignment="1">
      <alignment horizontal="center"/>
    </xf>
    <xf numFmtId="0" fontId="62" fillId="27" borderId="0" xfId="4" applyFill="1" applyBorder="1" applyAlignment="1">
      <alignment vertical="center"/>
    </xf>
    <xf numFmtId="0" fontId="62" fillId="27" borderId="25" xfId="4" applyFill="1" applyBorder="1" applyAlignment="1">
      <alignment vertical="center"/>
    </xf>
    <xf numFmtId="0" fontId="83" fillId="0" borderId="0" xfId="0" applyFont="1" applyBorder="1" applyAlignment="1"/>
    <xf numFmtId="1" fontId="83" fillId="0" borderId="0" xfId="0" applyNumberFormat="1" applyFont="1" applyBorder="1" applyAlignment="1">
      <alignment horizontal="center"/>
    </xf>
    <xf numFmtId="0" fontId="74" fillId="26" borderId="0" xfId="0" applyFont="1" applyFill="1" applyAlignment="1">
      <alignment horizontal="center"/>
    </xf>
    <xf numFmtId="168" fontId="83" fillId="0" borderId="0" xfId="0" applyNumberFormat="1" applyFont="1" applyBorder="1" applyAlignment="1"/>
    <xf numFmtId="168" fontId="74" fillId="0" borderId="0" xfId="0" applyNumberFormat="1" applyFont="1" applyAlignment="1"/>
    <xf numFmtId="0" fontId="74" fillId="0" borderId="0" xfId="0" applyFont="1" applyAlignment="1"/>
    <xf numFmtId="0" fontId="74" fillId="0" borderId="4" xfId="0" applyFont="1" applyFill="1" applyBorder="1" applyAlignment="1">
      <alignment horizontal="center"/>
    </xf>
    <xf numFmtId="9" fontId="74" fillId="3" borderId="28" xfId="2" applyFont="1" applyFill="1" applyBorder="1" applyAlignment="1">
      <alignment horizontal="center"/>
    </xf>
    <xf numFmtId="1" fontId="74" fillId="0" borderId="0" xfId="0" applyNumberFormat="1" applyFont="1" applyAlignment="1"/>
    <xf numFmtId="167" fontId="74" fillId="0" borderId="4" xfId="0" applyNumberFormat="1" applyFont="1" applyFill="1" applyBorder="1" applyAlignment="1">
      <alignment horizontal="center"/>
    </xf>
    <xf numFmtId="167" fontId="74" fillId="0" borderId="4" xfId="0" applyNumberFormat="1" applyFont="1" applyBorder="1" applyAlignment="1">
      <alignment horizontal="center"/>
    </xf>
    <xf numFmtId="9" fontId="74" fillId="3" borderId="32" xfId="2" applyFont="1" applyFill="1" applyBorder="1" applyAlignment="1">
      <alignment horizontal="center"/>
    </xf>
    <xf numFmtId="168" fontId="64" fillId="19" borderId="4" xfId="6" applyNumberFormat="1" applyBorder="1" applyAlignment="1">
      <alignment horizontal="center"/>
    </xf>
    <xf numFmtId="9" fontId="74" fillId="27" borderId="0" xfId="2" applyFont="1" applyFill="1" applyBorder="1" applyAlignment="1">
      <alignment horizontal="center"/>
    </xf>
    <xf numFmtId="0" fontId="74" fillId="0" borderId="0" xfId="0" applyFont="1" applyFill="1" applyBorder="1"/>
    <xf numFmtId="0" fontId="6" fillId="0" borderId="0" xfId="0" applyFont="1" applyAlignment="1">
      <alignment horizontal="right"/>
    </xf>
    <xf numFmtId="171" fontId="74" fillId="0" borderId="4" xfId="0" applyNumberFormat="1" applyFont="1" applyBorder="1" applyAlignment="1">
      <alignment horizontal="center"/>
    </xf>
    <xf numFmtId="1" fontId="74" fillId="0" borderId="4" xfId="0" applyNumberFormat="1" applyFont="1" applyBorder="1" applyAlignment="1">
      <alignment horizontal="center"/>
    </xf>
    <xf numFmtId="167" fontId="74" fillId="3" borderId="28" xfId="0" applyNumberFormat="1" applyFont="1" applyFill="1" applyBorder="1" applyAlignment="1">
      <alignment horizontal="center"/>
    </xf>
    <xf numFmtId="1" fontId="64" fillId="19" borderId="4" xfId="6" applyNumberFormat="1" applyBorder="1" applyAlignment="1">
      <alignment horizontal="center"/>
    </xf>
    <xf numFmtId="0" fontId="74" fillId="3" borderId="85" xfId="0" applyFont="1" applyFill="1" applyBorder="1" applyAlignment="1">
      <alignment horizontal="center"/>
    </xf>
    <xf numFmtId="167" fontId="0" fillId="0" borderId="4" xfId="0" applyNumberFormat="1" applyBorder="1" applyAlignment="1">
      <alignment horizontal="center"/>
    </xf>
    <xf numFmtId="0" fontId="74" fillId="27" borderId="53" xfId="0" applyFont="1" applyFill="1" applyBorder="1" applyAlignment="1">
      <alignment horizontal="center"/>
    </xf>
    <xf numFmtId="168" fontId="74" fillId="0" borderId="4" xfId="0" applyNumberFormat="1" applyFont="1" applyBorder="1" applyAlignment="1">
      <alignment horizontal="center"/>
    </xf>
    <xf numFmtId="0" fontId="74" fillId="0" borderId="0" xfId="0" applyFont="1" applyBorder="1" applyAlignment="1">
      <alignment wrapText="1"/>
    </xf>
    <xf numFmtId="0" fontId="0" fillId="27" borderId="24" xfId="0" applyFill="1" applyBorder="1" applyAlignment="1"/>
    <xf numFmtId="0" fontId="0" fillId="27" borderId="0" xfId="0" applyFill="1" applyBorder="1" applyAlignment="1"/>
    <xf numFmtId="0" fontId="0" fillId="27" borderId="25" xfId="0" applyFill="1" applyBorder="1" applyAlignment="1"/>
    <xf numFmtId="0" fontId="86" fillId="27" borderId="0" xfId="0" applyFont="1" applyFill="1" applyBorder="1" applyAlignment="1">
      <alignment horizontal="right"/>
    </xf>
    <xf numFmtId="167" fontId="87" fillId="4" borderId="4" xfId="8" applyNumberFormat="1" applyFont="1" applyFill="1" applyBorder="1" applyAlignment="1">
      <alignment horizontal="center"/>
    </xf>
    <xf numFmtId="0" fontId="87" fillId="4" borderId="4" xfId="8" applyFont="1" applyFill="1" applyBorder="1" applyAlignment="1">
      <alignment horizontal="center"/>
    </xf>
    <xf numFmtId="0" fontId="6" fillId="0" borderId="0" xfId="0" applyFont="1" applyAlignment="1">
      <alignment horizontal="center"/>
    </xf>
    <xf numFmtId="0" fontId="0" fillId="27" borderId="55" xfId="0" applyFill="1" applyBorder="1" applyAlignment="1"/>
    <xf numFmtId="0" fontId="79" fillId="27" borderId="53" xfId="0" applyFont="1" applyFill="1" applyBorder="1" applyAlignment="1">
      <alignment horizontal="right"/>
    </xf>
    <xf numFmtId="0" fontId="0" fillId="27" borderId="53" xfId="0" applyFill="1" applyBorder="1" applyAlignment="1"/>
    <xf numFmtId="0" fontId="0" fillId="27" borderId="57" xfId="0" applyFill="1" applyBorder="1" applyAlignment="1"/>
    <xf numFmtId="0" fontId="88" fillId="4" borderId="24" xfId="0" applyFont="1" applyFill="1" applyBorder="1" applyAlignment="1">
      <alignment vertical="top"/>
    </xf>
    <xf numFmtId="0" fontId="88" fillId="4" borderId="0" xfId="0" applyFont="1" applyFill="1" applyBorder="1" applyAlignment="1">
      <alignment vertical="top"/>
    </xf>
    <xf numFmtId="0" fontId="0" fillId="0" borderId="87" xfId="0" applyFont="1" applyBorder="1" applyAlignment="1">
      <alignment horizontal="center"/>
    </xf>
    <xf numFmtId="0" fontId="0" fillId="0" borderId="19" xfId="0" applyFont="1" applyBorder="1" applyAlignment="1"/>
    <xf numFmtId="0" fontId="74" fillId="0" borderId="20" xfId="0" applyFont="1" applyBorder="1"/>
    <xf numFmtId="2" fontId="74" fillId="0" borderId="0" xfId="0" applyNumberFormat="1" applyFont="1" applyAlignment="1">
      <alignment horizontal="right"/>
    </xf>
    <xf numFmtId="0" fontId="88" fillId="4" borderId="55" xfId="0" applyFont="1" applyFill="1" applyBorder="1" applyAlignment="1">
      <alignment vertical="top"/>
    </xf>
    <xf numFmtId="0" fontId="88" fillId="4" borderId="53" xfId="0" applyFont="1" applyFill="1" applyBorder="1" applyAlignment="1">
      <alignment vertical="top"/>
    </xf>
    <xf numFmtId="0" fontId="90" fillId="3" borderId="88" xfId="3" applyFont="1" applyFill="1" applyBorder="1" applyAlignment="1"/>
    <xf numFmtId="0" fontId="79" fillId="0" borderId="53" xfId="0" applyFont="1" applyBorder="1" applyAlignment="1"/>
    <xf numFmtId="0" fontId="90" fillId="3" borderId="89" xfId="3" applyFont="1" applyFill="1" applyBorder="1" applyAlignment="1"/>
    <xf numFmtId="0" fontId="79" fillId="0" borderId="57" xfId="0" applyFont="1" applyBorder="1" applyAlignment="1"/>
    <xf numFmtId="0" fontId="74" fillId="4" borderId="0" xfId="0" applyFont="1" applyFill="1" applyAlignment="1"/>
    <xf numFmtId="0" fontId="92" fillId="0" borderId="43" xfId="0" applyFont="1" applyBorder="1" applyAlignment="1">
      <alignment horizontal="center" vertical="center"/>
    </xf>
    <xf numFmtId="0" fontId="93" fillId="0" borderId="0" xfId="10" applyBorder="1" applyAlignment="1" applyProtection="1"/>
    <xf numFmtId="0" fontId="74" fillId="0" borderId="0" xfId="0" applyFont="1" applyBorder="1" applyAlignment="1">
      <alignment horizontal="center"/>
    </xf>
    <xf numFmtId="0" fontId="74" fillId="0" borderId="25" xfId="0" applyFont="1" applyBorder="1"/>
    <xf numFmtId="0" fontId="0" fillId="0" borderId="19" xfId="0" applyBorder="1" applyAlignment="1">
      <alignment horizontal="right"/>
    </xf>
    <xf numFmtId="0" fontId="74" fillId="0" borderId="19" xfId="0" applyFont="1" applyBorder="1" applyAlignment="1">
      <alignment horizontal="center"/>
    </xf>
    <xf numFmtId="0" fontId="93" fillId="0" borderId="53" xfId="10" applyBorder="1" applyAlignment="1" applyProtection="1"/>
    <xf numFmtId="0" fontId="0" fillId="0" borderId="53" xfId="0" applyBorder="1" applyAlignment="1">
      <alignment horizontal="right"/>
    </xf>
    <xf numFmtId="0" fontId="74" fillId="0" borderId="53" xfId="0" applyFont="1" applyBorder="1" applyAlignment="1">
      <alignment horizontal="center"/>
    </xf>
    <xf numFmtId="0" fontId="74" fillId="0" borderId="57" xfId="0" applyFont="1" applyBorder="1"/>
    <xf numFmtId="0" fontId="94" fillId="0" borderId="55" xfId="10" applyFont="1" applyBorder="1" applyAlignment="1" applyProtection="1"/>
    <xf numFmtId="0" fontId="74" fillId="0" borderId="53" xfId="0" applyFont="1" applyBorder="1" applyAlignment="1">
      <alignment wrapText="1"/>
    </xf>
    <xf numFmtId="0" fontId="74" fillId="0" borderId="57" xfId="0" applyFont="1" applyBorder="1" applyAlignment="1">
      <alignment wrapText="1"/>
    </xf>
    <xf numFmtId="0" fontId="95" fillId="25" borderId="0" xfId="0" applyFont="1" applyFill="1" applyAlignment="1">
      <alignment horizontal="center"/>
    </xf>
    <xf numFmtId="0" fontId="0" fillId="0" borderId="4" xfId="0" applyBorder="1" applyAlignment="1">
      <alignment horizontal="center"/>
    </xf>
    <xf numFmtId="0" fontId="97" fillId="25" borderId="0" xfId="0" applyFont="1" applyFill="1" applyAlignment="1">
      <alignment horizontal="center"/>
    </xf>
    <xf numFmtId="0" fontId="97" fillId="25" borderId="0" xfId="0" applyFont="1" applyFill="1" applyBorder="1" applyAlignment="1">
      <alignment horizontal="center"/>
    </xf>
    <xf numFmtId="0" fontId="98" fillId="25" borderId="0" xfId="0" applyFont="1" applyFill="1"/>
    <xf numFmtId="175" fontId="0" fillId="0" borderId="0" xfId="0" applyNumberFormat="1" applyAlignment="1">
      <alignment horizontal="center"/>
    </xf>
    <xf numFmtId="0" fontId="0" fillId="0" borderId="0" xfId="0" applyAlignment="1">
      <alignment vertical="center"/>
    </xf>
    <xf numFmtId="0" fontId="0" fillId="0" borderId="0" xfId="0" quotePrefix="1"/>
    <xf numFmtId="43" fontId="0" fillId="0" borderId="4" xfId="1" applyFont="1" applyBorder="1"/>
    <xf numFmtId="0" fontId="3" fillId="0" borderId="4" xfId="0" applyFont="1" applyBorder="1"/>
    <xf numFmtId="0" fontId="4" fillId="0" borderId="4" xfId="0" applyFont="1" applyBorder="1" applyAlignment="1">
      <alignment wrapText="1"/>
    </xf>
    <xf numFmtId="0" fontId="4" fillId="0" borderId="4" xfId="0" applyFont="1" applyBorder="1"/>
    <xf numFmtId="0" fontId="20" fillId="0" borderId="4" xfId="0" applyFont="1" applyBorder="1" applyAlignment="1">
      <alignment wrapText="1"/>
    </xf>
    <xf numFmtId="0" fontId="0" fillId="3" borderId="4" xfId="0" applyFill="1" applyBorder="1" applyAlignment="1">
      <alignment vertical="center"/>
    </xf>
    <xf numFmtId="0" fontId="0" fillId="28" borderId="4" xfId="0" applyFill="1" applyBorder="1" applyAlignment="1">
      <alignment vertical="center"/>
    </xf>
    <xf numFmtId="43" fontId="0" fillId="28" borderId="4" xfId="1" applyFont="1" applyFill="1" applyBorder="1" applyAlignment="1">
      <alignment vertical="center"/>
    </xf>
    <xf numFmtId="164" fontId="3" fillId="8" borderId="16" xfId="1" applyNumberFormat="1" applyFont="1" applyFill="1" applyBorder="1"/>
    <xf numFmtId="43" fontId="0" fillId="0" borderId="0" xfId="1" applyFont="1" applyAlignment="1">
      <alignment horizontal="right"/>
    </xf>
    <xf numFmtId="0" fontId="93" fillId="0" borderId="0" xfId="10" applyAlignment="1" applyProtection="1"/>
    <xf numFmtId="176" fontId="0" fillId="0" borderId="0" xfId="1" applyNumberFormat="1" applyFont="1"/>
    <xf numFmtId="43" fontId="3" fillId="0" borderId="0" xfId="1" applyFont="1" applyAlignment="1">
      <alignment vertical="top"/>
    </xf>
    <xf numFmtId="176" fontId="3" fillId="0" borderId="0" xfId="1" applyNumberFormat="1" applyFont="1" applyAlignment="1">
      <alignment vertical="top"/>
    </xf>
    <xf numFmtId="0" fontId="20" fillId="3" borderId="58" xfId="0" applyFont="1" applyFill="1" applyBorder="1" applyAlignment="1">
      <alignment horizontal="center" vertical="center"/>
    </xf>
    <xf numFmtId="164" fontId="20" fillId="7" borderId="58" xfId="1" applyNumberFormat="1" applyFont="1" applyFill="1" applyBorder="1"/>
    <xf numFmtId="0" fontId="0" fillId="3" borderId="0" xfId="0" applyFill="1" applyAlignment="1">
      <alignment wrapText="1"/>
    </xf>
    <xf numFmtId="168" fontId="61" fillId="0" borderId="76" xfId="0" applyNumberFormat="1" applyFont="1" applyBorder="1" applyAlignment="1">
      <alignment horizontal="center" vertical="center" wrapText="1"/>
    </xf>
    <xf numFmtId="0" fontId="0" fillId="0" borderId="86" xfId="0" applyBorder="1"/>
    <xf numFmtId="0" fontId="0" fillId="0" borderId="86" xfId="0" applyBorder="1" applyAlignment="1">
      <alignment horizontal="center"/>
    </xf>
    <xf numFmtId="166" fontId="0" fillId="0" borderId="4" xfId="1" applyNumberFormat="1" applyFont="1" applyBorder="1"/>
    <xf numFmtId="3" fontId="0" fillId="0" borderId="0" xfId="0" applyNumberFormat="1"/>
    <xf numFmtId="0" fontId="101" fillId="0" borderId="0" xfId="0" applyFont="1"/>
    <xf numFmtId="14" fontId="0" fillId="0" borderId="0" xfId="0" applyNumberFormat="1"/>
    <xf numFmtId="0" fontId="0" fillId="0" borderId="0" xfId="0" applyAlignment="1">
      <alignment horizontal="left" vertical="top" wrapText="1" indent="1"/>
    </xf>
    <xf numFmtId="166" fontId="4" fillId="3" borderId="4" xfId="1" applyNumberFormat="1" applyFont="1" applyFill="1" applyBorder="1" applyAlignment="1">
      <alignment vertical="center"/>
    </xf>
    <xf numFmtId="0" fontId="4" fillId="3" borderId="4" xfId="0" applyFont="1" applyFill="1" applyBorder="1" applyAlignment="1">
      <alignment horizontal="left" vertical="center" indent="1"/>
    </xf>
    <xf numFmtId="166" fontId="4" fillId="7" borderId="4" xfId="1" applyNumberFormat="1" applyFont="1" applyFill="1" applyBorder="1" applyAlignment="1">
      <alignment vertical="center"/>
    </xf>
    <xf numFmtId="0" fontId="4" fillId="0" borderId="0" xfId="0" applyFont="1"/>
    <xf numFmtId="0" fontId="44" fillId="0" borderId="0" xfId="0" applyFont="1"/>
    <xf numFmtId="0" fontId="102" fillId="0" borderId="4" xfId="10" applyFont="1" applyBorder="1" applyAlignment="1" applyProtection="1">
      <alignment horizontal="left" indent="1"/>
    </xf>
    <xf numFmtId="0" fontId="4" fillId="0" borderId="4" xfId="0" applyFont="1" applyBorder="1" applyAlignment="1">
      <alignment horizontal="left" indent="1"/>
    </xf>
    <xf numFmtId="0" fontId="0" fillId="0" borderId="0" xfId="0" applyAlignment="1">
      <alignment horizontal="left" vertical="top" wrapText="1"/>
    </xf>
    <xf numFmtId="0" fontId="0" fillId="0" borderId="0" xfId="0" applyFill="1" applyAlignment="1">
      <alignment vertical="center" wrapText="1"/>
    </xf>
    <xf numFmtId="0" fontId="0" fillId="0" borderId="0" xfId="0" applyAlignment="1">
      <alignment vertical="center" wrapText="1"/>
    </xf>
    <xf numFmtId="43" fontId="0" fillId="0" borderId="0" xfId="1" applyFont="1" applyAlignment="1">
      <alignment vertical="center"/>
    </xf>
    <xf numFmtId="43" fontId="0" fillId="0" borderId="0" xfId="0" applyNumberFormat="1" applyAlignment="1">
      <alignment vertical="center"/>
    </xf>
    <xf numFmtId="164" fontId="0" fillId="0" borderId="0" xfId="1" applyNumberFormat="1" applyFont="1" applyAlignment="1">
      <alignment vertical="center"/>
    </xf>
    <xf numFmtId="176" fontId="0" fillId="0" borderId="0" xfId="1" applyNumberFormat="1" applyFont="1" applyAlignment="1">
      <alignment vertical="center"/>
    </xf>
    <xf numFmtId="165" fontId="0" fillId="0" borderId="0" xfId="0" applyNumberFormat="1" applyAlignment="1">
      <alignment vertical="center"/>
    </xf>
    <xf numFmtId="43" fontId="0" fillId="0" borderId="0" xfId="1" applyNumberFormat="1" applyFont="1" applyAlignment="1">
      <alignment vertical="center"/>
    </xf>
    <xf numFmtId="0" fontId="20" fillId="28" borderId="0" xfId="0" applyFont="1" applyFill="1" applyAlignment="1">
      <alignment horizontal="left" vertical="top" wrapText="1"/>
    </xf>
    <xf numFmtId="0" fontId="0" fillId="28" borderId="0" xfId="0" applyFill="1" applyAlignment="1">
      <alignment horizontal="left" vertical="top" wrapText="1"/>
    </xf>
    <xf numFmtId="0" fontId="0" fillId="28" borderId="0" xfId="0" applyFill="1" applyAlignment="1">
      <alignment horizontal="left" vertical="top" wrapText="1" indent="1"/>
    </xf>
    <xf numFmtId="0" fontId="20" fillId="28" borderId="0" xfId="0" applyFont="1" applyFill="1" applyAlignment="1">
      <alignment horizontal="left" vertical="top"/>
    </xf>
    <xf numFmtId="0" fontId="103" fillId="0" borderId="0" xfId="0" applyFont="1" applyAlignment="1">
      <alignment vertical="center"/>
    </xf>
    <xf numFmtId="0" fontId="3" fillId="7" borderId="4" xfId="0" applyFont="1" applyFill="1" applyBorder="1" applyAlignment="1">
      <alignment vertical="center"/>
    </xf>
    <xf numFmtId="0" fontId="0" fillId="0" borderId="91" xfId="0" applyBorder="1"/>
    <xf numFmtId="0" fontId="0" fillId="0" borderId="91" xfId="0" applyFill="1" applyBorder="1" applyAlignment="1">
      <alignment vertical="center"/>
    </xf>
    <xf numFmtId="165" fontId="20" fillId="3" borderId="91" xfId="1" applyNumberFormat="1" applyFont="1" applyFill="1" applyBorder="1" applyAlignment="1">
      <alignment vertical="center"/>
    </xf>
    <xf numFmtId="0" fontId="17" fillId="0" borderId="91" xfId="0" applyFont="1" applyBorder="1" applyAlignment="1">
      <alignment vertical="center"/>
    </xf>
    <xf numFmtId="0" fontId="0" fillId="7" borderId="4" xfId="0" applyFill="1" applyBorder="1"/>
    <xf numFmtId="164" fontId="20" fillId="7" borderId="4" xfId="1" applyNumberFormat="1" applyFont="1" applyFill="1" applyBorder="1" applyAlignment="1">
      <alignment vertical="center"/>
    </xf>
    <xf numFmtId="0" fontId="18" fillId="7" borderId="4" xfId="0" applyFont="1" applyFill="1" applyBorder="1" applyAlignment="1">
      <alignment vertical="center"/>
    </xf>
    <xf numFmtId="0" fontId="15" fillId="7" borderId="4" xfId="0" applyFont="1" applyFill="1" applyBorder="1" applyAlignment="1">
      <alignment vertical="center"/>
    </xf>
    <xf numFmtId="0" fontId="48" fillId="5" borderId="0" xfId="0" applyFont="1" applyFill="1" applyAlignment="1">
      <alignment horizontal="center"/>
    </xf>
    <xf numFmtId="0" fontId="34" fillId="10" borderId="53" xfId="0" applyFont="1" applyFill="1" applyBorder="1" applyAlignment="1">
      <alignment horizontal="center"/>
    </xf>
    <xf numFmtId="0" fontId="8" fillId="29" borderId="18" xfId="0" applyFont="1" applyFill="1" applyBorder="1" applyAlignment="1">
      <alignment horizontal="center"/>
    </xf>
    <xf numFmtId="0" fontId="8" fillId="29" borderId="19" xfId="0" applyFont="1" applyFill="1" applyBorder="1" applyAlignment="1">
      <alignment horizontal="center"/>
    </xf>
    <xf numFmtId="0" fontId="8" fillId="29" borderId="20" xfId="0" applyFont="1" applyFill="1" applyBorder="1" applyAlignment="1">
      <alignment horizontal="center"/>
    </xf>
    <xf numFmtId="0" fontId="29" fillId="0" borderId="0" xfId="0" applyFont="1" applyBorder="1" applyAlignment="1">
      <alignment horizontal="left" vertical="top" wrapText="1" inden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7" borderId="24" xfId="0" applyFont="1" applyFill="1" applyBorder="1" applyAlignment="1">
      <alignment horizontal="center"/>
    </xf>
    <xf numFmtId="0" fontId="9" fillId="7" borderId="0" xfId="0" applyFont="1" applyFill="1" applyBorder="1" applyAlignment="1">
      <alignment horizontal="center"/>
    </xf>
    <xf numFmtId="0" fontId="9" fillId="7" borderId="25" xfId="0" applyFont="1" applyFill="1" applyBorder="1" applyAlignment="1">
      <alignment horizontal="center"/>
    </xf>
    <xf numFmtId="0" fontId="0" fillId="0" borderId="4" xfId="0" applyBorder="1" applyAlignment="1">
      <alignment horizontal="center" vertical="center" wrapText="1"/>
    </xf>
    <xf numFmtId="0" fontId="60" fillId="0" borderId="0" xfId="0" applyFont="1" applyAlignment="1">
      <alignment horizontal="center" vertical="center"/>
    </xf>
    <xf numFmtId="0" fontId="60" fillId="0" borderId="79" xfId="0" applyFont="1" applyBorder="1" applyAlignment="1">
      <alignment horizontal="center" vertical="center"/>
    </xf>
    <xf numFmtId="0" fontId="25" fillId="5" borderId="10" xfId="0" applyFont="1" applyFill="1" applyBorder="1" applyAlignment="1">
      <alignment horizontal="center"/>
    </xf>
    <xf numFmtId="0" fontId="25" fillId="5" borderId="11" xfId="0" applyFont="1" applyFill="1" applyBorder="1" applyAlignment="1">
      <alignment horizontal="center"/>
    </xf>
    <xf numFmtId="0" fontId="25" fillId="5" borderId="12" xfId="0" applyFont="1" applyFill="1" applyBorder="1" applyAlignment="1">
      <alignment horizontal="center"/>
    </xf>
    <xf numFmtId="0" fontId="35" fillId="10" borderId="18" xfId="0" applyFont="1" applyFill="1" applyBorder="1" applyAlignment="1">
      <alignment horizontal="center" vertical="center" textRotation="90" wrapText="1"/>
    </xf>
    <xf numFmtId="0" fontId="35" fillId="10" borderId="24" xfId="0" applyFont="1" applyFill="1" applyBorder="1" applyAlignment="1">
      <alignment horizontal="center" vertical="center" textRotation="90"/>
    </xf>
    <xf numFmtId="0" fontId="35" fillId="10" borderId="55" xfId="0" applyFont="1" applyFill="1" applyBorder="1" applyAlignment="1">
      <alignment horizontal="center" vertical="center" textRotation="90"/>
    </xf>
    <xf numFmtId="0" fontId="34" fillId="10" borderId="54" xfId="0" applyFont="1" applyFill="1" applyBorder="1" applyAlignment="1">
      <alignment horizontal="center" vertical="center"/>
    </xf>
    <xf numFmtId="0" fontId="34" fillId="10" borderId="25" xfId="0" applyFont="1" applyFill="1" applyBorder="1" applyAlignment="1">
      <alignment horizontal="center" vertical="center"/>
    </xf>
    <xf numFmtId="0" fontId="34" fillId="10" borderId="18" xfId="0" applyFont="1" applyFill="1" applyBorder="1" applyAlignment="1">
      <alignment horizontal="center"/>
    </xf>
    <xf numFmtId="0" fontId="34" fillId="10" borderId="19" xfId="0" applyFont="1" applyFill="1" applyBorder="1" applyAlignment="1">
      <alignment horizontal="center"/>
    </xf>
    <xf numFmtId="0" fontId="34" fillId="10" borderId="20" xfId="0" applyFont="1" applyFill="1" applyBorder="1" applyAlignment="1">
      <alignment horizontal="center"/>
    </xf>
    <xf numFmtId="0" fontId="0" fillId="0" borderId="62" xfId="0" applyBorder="1" applyAlignment="1">
      <alignment horizontal="center"/>
    </xf>
    <xf numFmtId="0" fontId="0" fillId="0" borderId="63" xfId="0" applyBorder="1" applyAlignment="1">
      <alignment horizontal="center"/>
    </xf>
    <xf numFmtId="0" fontId="0" fillId="0" borderId="45" xfId="0" applyBorder="1" applyAlignment="1">
      <alignment horizontal="center"/>
    </xf>
    <xf numFmtId="0" fontId="21" fillId="6" borderId="4" xfId="0" applyFont="1" applyFill="1" applyBorder="1" applyAlignment="1">
      <alignment horizontal="center"/>
    </xf>
    <xf numFmtId="0" fontId="16" fillId="5" borderId="6" xfId="0" applyFont="1" applyFill="1" applyBorder="1" applyAlignment="1">
      <alignment horizontal="center"/>
    </xf>
    <xf numFmtId="0" fontId="100" fillId="0" borderId="8" xfId="0" applyFont="1" applyBorder="1" applyAlignment="1">
      <alignment horizontal="center" vertical="center"/>
    </xf>
    <xf numFmtId="0" fontId="100" fillId="0" borderId="9" xfId="0" applyFont="1" applyBorder="1" applyAlignment="1">
      <alignment horizontal="center" vertical="center"/>
    </xf>
    <xf numFmtId="0" fontId="100" fillId="0" borderId="7" xfId="0" applyFont="1" applyBorder="1" applyAlignment="1">
      <alignment horizontal="center" vertical="center"/>
    </xf>
    <xf numFmtId="0" fontId="45" fillId="11" borderId="18" xfId="0" applyFont="1" applyFill="1" applyBorder="1" applyAlignment="1">
      <alignment horizontal="center" vertical="center"/>
    </xf>
    <xf numFmtId="0" fontId="45" fillId="11" borderId="19" xfId="0" applyFont="1" applyFill="1" applyBorder="1" applyAlignment="1">
      <alignment horizontal="center" vertical="center"/>
    </xf>
    <xf numFmtId="0" fontId="45" fillId="11" borderId="20" xfId="0" applyFont="1" applyFill="1" applyBorder="1" applyAlignment="1">
      <alignment horizontal="center" vertical="center"/>
    </xf>
    <xf numFmtId="0" fontId="45" fillId="11" borderId="24" xfId="0" applyFont="1" applyFill="1" applyBorder="1" applyAlignment="1">
      <alignment horizontal="center" vertical="center"/>
    </xf>
    <xf numFmtId="0" fontId="45" fillId="11" borderId="0" xfId="0" applyFont="1" applyFill="1" applyBorder="1" applyAlignment="1">
      <alignment horizontal="center" vertical="center"/>
    </xf>
    <xf numFmtId="0" fontId="45" fillId="11" borderId="25" xfId="0" applyFont="1" applyFill="1" applyBorder="1" applyAlignment="1">
      <alignment horizontal="center" vertical="center"/>
    </xf>
    <xf numFmtId="0" fontId="56" fillId="11" borderId="31" xfId="0" applyFont="1" applyFill="1" applyBorder="1" applyAlignment="1">
      <alignment horizontal="center" vertical="center" wrapText="1"/>
    </xf>
    <xf numFmtId="0" fontId="13" fillId="0" borderId="26" xfId="0" applyFont="1" applyBorder="1" applyAlignment="1">
      <alignment horizontal="left" vertical="top" wrapText="1" indent="1"/>
    </xf>
    <xf numFmtId="0" fontId="13" fillId="0" borderId="90" xfId="0" applyFont="1" applyBorder="1" applyAlignment="1">
      <alignment horizontal="left" vertical="top" wrapText="1" indent="1"/>
    </xf>
    <xf numFmtId="0" fontId="13" fillId="0" borderId="29" xfId="0" applyFont="1" applyBorder="1" applyAlignment="1">
      <alignment horizontal="left" vertical="top" wrapText="1" indent="1"/>
    </xf>
    <xf numFmtId="0" fontId="39" fillId="11" borderId="18" xfId="0" applyFont="1" applyFill="1" applyBorder="1" applyAlignment="1">
      <alignment horizontal="center" vertical="center"/>
    </xf>
    <xf numFmtId="0" fontId="39" fillId="11" borderId="19" xfId="0" applyFont="1" applyFill="1" applyBorder="1" applyAlignment="1">
      <alignment horizontal="center" vertical="center"/>
    </xf>
    <xf numFmtId="0" fontId="39" fillId="11" borderId="20" xfId="0" applyFont="1" applyFill="1" applyBorder="1" applyAlignment="1">
      <alignment horizontal="center" vertical="center"/>
    </xf>
    <xf numFmtId="0" fontId="51" fillId="0" borderId="16" xfId="0" applyFont="1" applyBorder="1" applyAlignment="1">
      <alignment horizontal="left" vertical="center" wrapText="1"/>
    </xf>
    <xf numFmtId="0" fontId="43" fillId="0" borderId="16" xfId="0" applyFont="1" applyBorder="1" applyAlignment="1">
      <alignment horizontal="left" vertical="center" wrapText="1"/>
    </xf>
    <xf numFmtId="0" fontId="41" fillId="0" borderId="31" xfId="0" applyFont="1" applyBorder="1" applyAlignment="1">
      <alignment horizontal="center" vertical="center" wrapText="1"/>
    </xf>
    <xf numFmtId="0" fontId="55" fillId="11" borderId="24" xfId="0" applyFont="1" applyFill="1" applyBorder="1" applyAlignment="1">
      <alignment horizontal="center" vertical="center"/>
    </xf>
    <xf numFmtId="0" fontId="55" fillId="11" borderId="0" xfId="0" applyFont="1" applyFill="1" applyBorder="1" applyAlignment="1">
      <alignment horizontal="center" vertical="center"/>
    </xf>
    <xf numFmtId="0" fontId="3" fillId="3" borderId="0" xfId="0" applyFont="1" applyFill="1" applyAlignment="1">
      <alignment horizontal="left"/>
    </xf>
    <xf numFmtId="0" fontId="55" fillId="11" borderId="0" xfId="0" applyFont="1" applyFill="1" applyBorder="1" applyAlignment="1">
      <alignment horizontal="center"/>
    </xf>
    <xf numFmtId="0" fontId="67" fillId="11" borderId="1" xfId="0" applyFont="1" applyFill="1" applyBorder="1" applyAlignment="1">
      <alignment horizontal="center" vertical="center"/>
    </xf>
    <xf numFmtId="0" fontId="67" fillId="11" borderId="2" xfId="0" applyFont="1" applyFill="1" applyBorder="1" applyAlignment="1">
      <alignment horizontal="center" vertical="center"/>
    </xf>
    <xf numFmtId="0" fontId="67" fillId="11" borderId="3" xfId="0" applyFont="1" applyFill="1" applyBorder="1" applyAlignment="1">
      <alignment horizontal="center" vertical="center"/>
    </xf>
    <xf numFmtId="0" fontId="56" fillId="11" borderId="16" xfId="0" applyFont="1" applyFill="1" applyBorder="1" applyAlignment="1">
      <alignment horizontal="center" vertical="center" wrapText="1"/>
    </xf>
    <xf numFmtId="0" fontId="70" fillId="11" borderId="1" xfId="0" applyFont="1" applyFill="1" applyBorder="1" applyAlignment="1">
      <alignment horizontal="center" vertical="center"/>
    </xf>
    <xf numFmtId="0" fontId="70" fillId="11" borderId="2" xfId="0" applyFont="1" applyFill="1" applyBorder="1" applyAlignment="1">
      <alignment horizontal="center" vertical="center"/>
    </xf>
    <xf numFmtId="0" fontId="70" fillId="11" borderId="3" xfId="0" applyFont="1" applyFill="1" applyBorder="1" applyAlignment="1">
      <alignment horizontal="center" vertical="center"/>
    </xf>
    <xf numFmtId="0" fontId="39" fillId="11" borderId="18" xfId="0" applyFont="1" applyFill="1" applyBorder="1" applyAlignment="1">
      <alignment horizontal="center" vertical="center" wrapText="1"/>
    </xf>
    <xf numFmtId="0" fontId="45" fillId="11" borderId="19" xfId="0" applyFont="1" applyFill="1" applyBorder="1" applyAlignment="1">
      <alignment horizontal="center" vertical="center" wrapText="1"/>
    </xf>
    <xf numFmtId="0" fontId="45" fillId="11" borderId="20" xfId="0" applyFont="1" applyFill="1" applyBorder="1" applyAlignment="1">
      <alignment horizontal="center" vertical="center" wrapText="1"/>
    </xf>
    <xf numFmtId="0" fontId="41" fillId="0" borderId="4" xfId="0" applyFont="1" applyFill="1" applyBorder="1" applyAlignment="1">
      <alignment horizontal="center" vertical="center" wrapText="1"/>
    </xf>
    <xf numFmtId="0" fontId="75" fillId="0" borderId="0" xfId="4" applyFont="1" applyAlignment="1">
      <alignment horizontal="center"/>
    </xf>
    <xf numFmtId="0" fontId="76" fillId="25" borderId="18" xfId="0" applyFont="1" applyFill="1" applyBorder="1" applyAlignment="1">
      <alignment horizontal="center" vertical="center" textRotation="90" wrapText="1"/>
    </xf>
    <xf numFmtId="0" fontId="76" fillId="25" borderId="24" xfId="0" applyFont="1" applyFill="1" applyBorder="1" applyAlignment="1">
      <alignment horizontal="center" vertical="center" textRotation="90" wrapText="1"/>
    </xf>
    <xf numFmtId="0" fontId="76" fillId="25" borderId="55" xfId="0" applyFont="1" applyFill="1" applyBorder="1" applyAlignment="1">
      <alignment horizontal="center" vertical="center" textRotation="90" wrapText="1"/>
    </xf>
    <xf numFmtId="0" fontId="27" fillId="27" borderId="18" xfId="5" applyFont="1" applyFill="1" applyBorder="1" applyAlignment="1">
      <alignment horizontal="center"/>
    </xf>
    <xf numFmtId="0" fontId="27" fillId="27" borderId="19" xfId="5" applyFont="1" applyFill="1" applyBorder="1" applyAlignment="1">
      <alignment horizontal="center"/>
    </xf>
    <xf numFmtId="0" fontId="3" fillId="27" borderId="19" xfId="0" applyFont="1" applyFill="1" applyBorder="1" applyAlignment="1">
      <alignment horizontal="center"/>
    </xf>
    <xf numFmtId="0" fontId="77" fillId="27" borderId="18" xfId="5" applyFont="1" applyFill="1" applyBorder="1" applyAlignment="1">
      <alignment horizontal="center" vertical="top"/>
    </xf>
    <xf numFmtId="0" fontId="77" fillId="27" borderId="19" xfId="5" applyFont="1" applyFill="1" applyBorder="1" applyAlignment="1">
      <alignment horizontal="center" vertical="top"/>
    </xf>
    <xf numFmtId="0" fontId="77" fillId="27" borderId="20" xfId="5" applyFont="1" applyFill="1" applyBorder="1" applyAlignment="1">
      <alignment horizontal="center" vertical="top"/>
    </xf>
    <xf numFmtId="0" fontId="80" fillId="27" borderId="19" xfId="5" applyFont="1" applyFill="1" applyBorder="1" applyAlignment="1">
      <alignment horizontal="center" vertical="center"/>
    </xf>
    <xf numFmtId="0" fontId="80" fillId="27" borderId="20" xfId="5" applyFont="1" applyFill="1" applyBorder="1" applyAlignment="1">
      <alignment horizontal="center" vertical="center"/>
    </xf>
    <xf numFmtId="0" fontId="80" fillId="27" borderId="0" xfId="5" applyFont="1" applyFill="1" applyBorder="1" applyAlignment="1">
      <alignment horizontal="center" vertical="center"/>
    </xf>
    <xf numFmtId="0" fontId="80" fillId="27" borderId="25" xfId="5" applyFont="1" applyFill="1" applyBorder="1" applyAlignment="1">
      <alignment horizontal="center" vertical="center"/>
    </xf>
    <xf numFmtId="0" fontId="78" fillId="27" borderId="24" xfId="0" applyFont="1" applyFill="1" applyBorder="1" applyAlignment="1">
      <alignment horizontal="center" vertical="center" textRotation="90"/>
    </xf>
    <xf numFmtId="0" fontId="79" fillId="27" borderId="0" xfId="0" applyFont="1" applyFill="1" applyAlignment="1">
      <alignment horizontal="right"/>
    </xf>
    <xf numFmtId="0" fontId="80" fillId="27" borderId="18" xfId="5" applyFont="1" applyFill="1" applyBorder="1" applyAlignment="1">
      <alignment horizontal="center"/>
    </xf>
    <xf numFmtId="0" fontId="80" fillId="27" borderId="19" xfId="5" applyFont="1" applyFill="1" applyBorder="1" applyAlignment="1">
      <alignment horizontal="center"/>
    </xf>
    <xf numFmtId="0" fontId="80" fillId="27" borderId="20" xfId="5" applyFont="1" applyFill="1" applyBorder="1" applyAlignment="1">
      <alignment horizontal="center"/>
    </xf>
    <xf numFmtId="0" fontId="74" fillId="0" borderId="24" xfId="0" applyFont="1" applyBorder="1" applyAlignment="1">
      <alignment horizontal="right"/>
    </xf>
    <xf numFmtId="0" fontId="74" fillId="0" borderId="0" xfId="0" applyFont="1" applyBorder="1" applyAlignment="1">
      <alignment horizontal="right"/>
    </xf>
    <xf numFmtId="0" fontId="74" fillId="0" borderId="0" xfId="0" applyFont="1" applyFill="1" applyAlignment="1">
      <alignment horizontal="center"/>
    </xf>
    <xf numFmtId="0" fontId="74" fillId="0" borderId="4" xfId="0" applyFont="1" applyBorder="1" applyAlignment="1">
      <alignment horizontal="right"/>
    </xf>
    <xf numFmtId="0" fontId="74" fillId="0" borderId="0" xfId="0" applyFont="1" applyBorder="1" applyAlignment="1">
      <alignment horizontal="center"/>
    </xf>
    <xf numFmtId="0" fontId="74" fillId="0" borderId="25" xfId="0" applyFont="1" applyBorder="1" applyAlignment="1">
      <alignment horizontal="center"/>
    </xf>
    <xf numFmtId="0" fontId="74" fillId="0" borderId="2" xfId="0" applyFont="1" applyBorder="1" applyAlignment="1">
      <alignment horizontal="center" wrapText="1"/>
    </xf>
    <xf numFmtId="0" fontId="74" fillId="0" borderId="3" xfId="0" applyFont="1" applyBorder="1" applyAlignment="1">
      <alignment horizontal="center" wrapText="1"/>
    </xf>
    <xf numFmtId="0" fontId="74" fillId="0" borderId="0" xfId="0" applyFont="1" applyAlignment="1">
      <alignment horizontal="left"/>
    </xf>
    <xf numFmtId="0" fontId="74" fillId="0" borderId="0" xfId="0" applyFont="1" applyAlignment="1">
      <alignment horizontal="center"/>
    </xf>
    <xf numFmtId="0" fontId="27" fillId="27" borderId="20" xfId="5" applyFont="1" applyFill="1" applyBorder="1" applyAlignment="1">
      <alignment horizontal="center"/>
    </xf>
    <xf numFmtId="0" fontId="10" fillId="27" borderId="24" xfId="7" applyFill="1" applyBorder="1" applyAlignment="1">
      <alignment horizontal="center" wrapText="1"/>
    </xf>
    <xf numFmtId="0" fontId="10" fillId="20" borderId="80" xfId="7" applyBorder="1" applyAlignment="1">
      <alignment horizontal="center" wrapText="1"/>
    </xf>
    <xf numFmtId="0" fontId="10" fillId="20" borderId="82" xfId="7" applyBorder="1" applyAlignment="1">
      <alignment horizontal="center" wrapText="1"/>
    </xf>
    <xf numFmtId="0" fontId="10" fillId="20" borderId="34" xfId="7" applyBorder="1" applyAlignment="1">
      <alignment horizontal="center" wrapText="1"/>
    </xf>
    <xf numFmtId="0" fontId="10" fillId="20" borderId="64" xfId="7" applyBorder="1" applyAlignment="1">
      <alignment horizontal="center" wrapText="1"/>
    </xf>
    <xf numFmtId="0" fontId="10" fillId="20" borderId="81" xfId="7" applyBorder="1" applyAlignment="1">
      <alignment horizontal="center" wrapText="1"/>
    </xf>
    <xf numFmtId="0" fontId="10" fillId="20" borderId="83" xfId="7" applyBorder="1" applyAlignment="1">
      <alignment horizontal="center" wrapText="1"/>
    </xf>
    <xf numFmtId="0" fontId="10" fillId="27" borderId="25" xfId="7" applyFill="1" applyBorder="1" applyAlignment="1">
      <alignment horizontal="center" wrapText="1"/>
    </xf>
    <xf numFmtId="0" fontId="74" fillId="0" borderId="4" xfId="0" applyFont="1" applyBorder="1" applyAlignment="1">
      <alignment horizontal="center"/>
    </xf>
    <xf numFmtId="0" fontId="81" fillId="0" borderId="18" xfId="5" applyFont="1" applyBorder="1" applyAlignment="1">
      <alignment horizontal="left" vertical="center"/>
    </xf>
    <xf numFmtId="0" fontId="81" fillId="0" borderId="19" xfId="5" applyFont="1" applyBorder="1" applyAlignment="1">
      <alignment horizontal="left" vertical="center"/>
    </xf>
    <xf numFmtId="0" fontId="81" fillId="0" borderId="20" xfId="5" applyFont="1" applyBorder="1" applyAlignment="1">
      <alignment horizontal="left" vertical="center"/>
    </xf>
    <xf numFmtId="0" fontId="19" fillId="27" borderId="18" xfId="0" applyFont="1" applyFill="1" applyBorder="1" applyAlignment="1">
      <alignment horizontal="center" vertical="center"/>
    </xf>
    <xf numFmtId="0" fontId="19" fillId="27" borderId="19" xfId="0" applyFont="1" applyFill="1" applyBorder="1" applyAlignment="1">
      <alignment horizontal="center" vertical="center"/>
    </xf>
    <xf numFmtId="0" fontId="19" fillId="27" borderId="20" xfId="0" applyFont="1" applyFill="1" applyBorder="1" applyAlignment="1">
      <alignment horizontal="center" vertical="center"/>
    </xf>
    <xf numFmtId="0" fontId="74" fillId="0" borderId="14" xfId="0" applyFont="1" applyBorder="1" applyAlignment="1">
      <alignment horizontal="right"/>
    </xf>
    <xf numFmtId="0" fontId="74" fillId="0" borderId="55" xfId="0" applyFont="1" applyBorder="1" applyAlignment="1">
      <alignment horizontal="right"/>
    </xf>
    <xf numFmtId="0" fontId="74" fillId="0" borderId="53" xfId="0" applyFont="1" applyBorder="1" applyAlignment="1">
      <alignment horizontal="right"/>
    </xf>
    <xf numFmtId="0" fontId="81" fillId="0" borderId="18" xfId="5" applyFont="1" applyBorder="1" applyAlignment="1">
      <alignment horizontal="left"/>
    </xf>
    <xf numFmtId="0" fontId="81" fillId="0" borderId="19" xfId="5" applyFont="1" applyBorder="1" applyAlignment="1">
      <alignment horizontal="left"/>
    </xf>
    <xf numFmtId="0" fontId="81" fillId="0" borderId="20" xfId="5" applyFont="1" applyBorder="1" applyAlignment="1">
      <alignment horizontal="left"/>
    </xf>
    <xf numFmtId="0" fontId="74" fillId="0" borderId="0" xfId="0" applyFont="1" applyAlignment="1">
      <alignment horizontal="right" vertical="center" wrapText="1"/>
    </xf>
    <xf numFmtId="0" fontId="74" fillId="0" borderId="14" xfId="0" applyFont="1" applyBorder="1" applyAlignment="1">
      <alignment horizontal="right" vertical="center" wrapText="1"/>
    </xf>
    <xf numFmtId="0" fontId="74" fillId="27" borderId="24" xfId="0" applyFont="1" applyFill="1" applyBorder="1" applyAlignment="1">
      <alignment horizontal="center" vertical="center" textRotation="90"/>
    </xf>
    <xf numFmtId="0" fontId="74" fillId="0" borderId="74" xfId="0" applyFont="1" applyBorder="1" applyAlignment="1">
      <alignment horizontal="right"/>
    </xf>
    <xf numFmtId="0" fontId="84" fillId="27" borderId="18" xfId="4" applyFont="1" applyFill="1" applyBorder="1" applyAlignment="1">
      <alignment horizontal="center" vertical="center"/>
    </xf>
    <xf numFmtId="0" fontId="84" fillId="27" borderId="19" xfId="4" applyFont="1" applyFill="1" applyBorder="1" applyAlignment="1">
      <alignment horizontal="center" vertical="center"/>
    </xf>
    <xf numFmtId="0" fontId="84" fillId="27" borderId="20" xfId="4" applyFont="1" applyFill="1" applyBorder="1" applyAlignment="1">
      <alignment horizontal="center" vertical="center"/>
    </xf>
    <xf numFmtId="0" fontId="10" fillId="20" borderId="86" xfId="7" applyBorder="1" applyAlignment="1">
      <alignment horizontal="center" wrapText="1"/>
    </xf>
    <xf numFmtId="0" fontId="85" fillId="20" borderId="86" xfId="7" applyFont="1" applyBorder="1" applyAlignment="1">
      <alignment horizontal="center" wrapText="1"/>
    </xf>
    <xf numFmtId="0" fontId="85" fillId="20" borderId="64" xfId="7" applyFont="1" applyBorder="1" applyAlignment="1">
      <alignment horizontal="center" wrapText="1"/>
    </xf>
    <xf numFmtId="0" fontId="92" fillId="0" borderId="42" xfId="0" applyFont="1" applyBorder="1" applyAlignment="1">
      <alignment horizontal="center" vertical="center"/>
    </xf>
    <xf numFmtId="0" fontId="92" fillId="0" borderId="43" xfId="0" applyFont="1" applyBorder="1" applyAlignment="1">
      <alignment horizontal="center" vertical="center"/>
    </xf>
    <xf numFmtId="0" fontId="92" fillId="0" borderId="44" xfId="0" applyFont="1" applyBorder="1" applyAlignment="1">
      <alignment horizontal="center" vertical="center"/>
    </xf>
    <xf numFmtId="0" fontId="74" fillId="0" borderId="19" xfId="0" applyFont="1" applyBorder="1" applyAlignment="1">
      <alignment horizontal="left" wrapText="1"/>
    </xf>
    <xf numFmtId="0" fontId="74" fillId="0" borderId="20" xfId="0" applyFont="1" applyBorder="1" applyAlignment="1">
      <alignment horizontal="left" wrapText="1"/>
    </xf>
    <xf numFmtId="0" fontId="74" fillId="0" borderId="0" xfId="0" applyFont="1" applyBorder="1" applyAlignment="1">
      <alignment horizontal="left" wrapText="1"/>
    </xf>
    <xf numFmtId="0" fontId="74" fillId="0" borderId="25" xfId="0" applyFont="1" applyBorder="1" applyAlignment="1">
      <alignment horizontal="left" wrapText="1"/>
    </xf>
    <xf numFmtId="0" fontId="79" fillId="0" borderId="86" xfId="0" applyFont="1" applyBorder="1" applyAlignment="1">
      <alignment horizontal="center" vertical="center"/>
    </xf>
    <xf numFmtId="0" fontId="79" fillId="0" borderId="38" xfId="0" applyFont="1" applyBorder="1" applyAlignment="1">
      <alignment horizontal="center" vertical="center"/>
    </xf>
    <xf numFmtId="1" fontId="79" fillId="4" borderId="4" xfId="9" applyNumberFormat="1" applyFont="1" applyFill="1" applyBorder="1" applyAlignment="1">
      <alignment horizontal="center" vertical="center"/>
    </xf>
    <xf numFmtId="1" fontId="79" fillId="4" borderId="86" xfId="9" applyNumberFormat="1" applyFont="1" applyFill="1" applyBorder="1" applyAlignment="1">
      <alignment horizontal="center" vertical="center"/>
    </xf>
    <xf numFmtId="1" fontId="79" fillId="4" borderId="64" xfId="9" applyNumberFormat="1" applyFont="1" applyFill="1" applyBorder="1" applyAlignment="1">
      <alignment horizontal="center" vertical="center"/>
    </xf>
    <xf numFmtId="0" fontId="88" fillId="25" borderId="24" xfId="0" applyFont="1" applyFill="1" applyBorder="1" applyAlignment="1">
      <alignment horizontal="center" vertical="top"/>
    </xf>
    <xf numFmtId="0" fontId="88" fillId="25" borderId="0" xfId="0" applyFont="1" applyFill="1" applyBorder="1" applyAlignment="1">
      <alignment horizontal="center" vertical="top"/>
    </xf>
    <xf numFmtId="0" fontId="88" fillId="25" borderId="25" xfId="0" applyFont="1" applyFill="1" applyBorder="1" applyAlignment="1">
      <alignment horizontal="center" vertical="top"/>
    </xf>
    <xf numFmtId="0" fontId="89" fillId="3" borderId="42" xfId="0" applyFont="1" applyFill="1" applyBorder="1" applyAlignment="1">
      <alignment horizontal="center" wrapText="1"/>
    </xf>
    <xf numFmtId="0" fontId="89" fillId="3" borderId="44" xfId="0" applyFont="1" applyFill="1" applyBorder="1" applyAlignment="1">
      <alignment horizontal="center" wrapText="1"/>
    </xf>
    <xf numFmtId="0" fontId="91" fillId="0" borderId="18" xfId="0" applyFont="1" applyBorder="1" applyAlignment="1">
      <alignment horizontal="center" wrapText="1"/>
    </xf>
    <xf numFmtId="0" fontId="91" fillId="0" borderId="19" xfId="0" applyFont="1" applyBorder="1" applyAlignment="1">
      <alignment horizontal="center" wrapText="1"/>
    </xf>
    <xf numFmtId="0" fontId="91" fillId="0" borderId="20" xfId="0" applyFont="1" applyBorder="1" applyAlignment="1">
      <alignment horizontal="center" wrapText="1"/>
    </xf>
    <xf numFmtId="0" fontId="91" fillId="0" borderId="24" xfId="0" applyFont="1" applyBorder="1" applyAlignment="1">
      <alignment horizontal="center" wrapText="1"/>
    </xf>
    <xf numFmtId="0" fontId="91" fillId="0" borderId="0" xfId="0" applyFont="1" applyBorder="1" applyAlignment="1">
      <alignment horizontal="center" wrapText="1"/>
    </xf>
    <xf numFmtId="0" fontId="91" fillId="0" borderId="25" xfId="0" applyFont="1" applyBorder="1" applyAlignment="1">
      <alignment horizontal="center" wrapText="1"/>
    </xf>
    <xf numFmtId="0" fontId="0" fillId="0" borderId="24" xfId="0" applyBorder="1" applyAlignment="1">
      <alignment horizontal="left" wrapText="1"/>
    </xf>
    <xf numFmtId="0" fontId="0" fillId="0" borderId="0" xfId="0" applyBorder="1" applyAlignment="1">
      <alignment horizontal="left" wrapText="1"/>
    </xf>
    <xf numFmtId="0" fontId="0" fillId="0" borderId="25" xfId="0" applyBorder="1" applyAlignment="1">
      <alignment horizontal="left" wrapText="1"/>
    </xf>
    <xf numFmtId="0" fontId="0" fillId="0" borderId="14" xfId="0" applyBorder="1" applyAlignment="1">
      <alignment horizontal="center"/>
    </xf>
    <xf numFmtId="0" fontId="96" fillId="0" borderId="0" xfId="0" applyFont="1" applyAlignment="1">
      <alignment horizontal="center" vertical="center" textRotation="90"/>
    </xf>
    <xf numFmtId="0" fontId="97" fillId="25" borderId="0" xfId="0" applyFont="1" applyFill="1" applyAlignment="1">
      <alignment horizontal="center"/>
    </xf>
    <xf numFmtId="0" fontId="29" fillId="0" borderId="0" xfId="0" applyFont="1" applyAlignment="1">
      <alignment horizontal="left" vertical="top" wrapText="1" indent="1"/>
    </xf>
    <xf numFmtId="0" fontId="36" fillId="0" borderId="1" xfId="0" applyFont="1" applyBorder="1" applyAlignment="1">
      <alignment horizontal="center" vertical="center" wrapText="1"/>
    </xf>
    <xf numFmtId="0" fontId="36" fillId="0" borderId="2" xfId="0" applyFont="1" applyBorder="1" applyAlignment="1">
      <alignment horizontal="center" vertical="center" wrapText="1"/>
    </xf>
    <xf numFmtId="0" fontId="36" fillId="0" borderId="3" xfId="0" applyFont="1" applyBorder="1" applyAlignment="1">
      <alignment horizontal="center" vertical="center" wrapText="1"/>
    </xf>
    <xf numFmtId="0" fontId="0" fillId="0" borderId="4" xfId="0" applyBorder="1" applyAlignment="1">
      <alignment horizontal="center"/>
    </xf>
    <xf numFmtId="165" fontId="19" fillId="8" borderId="26" xfId="1" applyNumberFormat="1" applyFont="1" applyFill="1" applyBorder="1" applyAlignment="1">
      <alignment horizontal="center"/>
    </xf>
    <xf numFmtId="165" fontId="19" fillId="8" borderId="29" xfId="1" applyNumberFormat="1" applyFont="1" applyFill="1" applyBorder="1" applyAlignment="1">
      <alignment horizontal="center"/>
    </xf>
    <xf numFmtId="0" fontId="6" fillId="8" borderId="26" xfId="0" applyFont="1" applyFill="1" applyBorder="1" applyAlignment="1">
      <alignment horizontal="center"/>
    </xf>
    <xf numFmtId="0" fontId="6" fillId="8" borderId="29" xfId="0" applyFont="1" applyFill="1" applyBorder="1" applyAlignment="1">
      <alignment horizontal="center"/>
    </xf>
    <xf numFmtId="0" fontId="0" fillId="8" borderId="26" xfId="0" applyFill="1" applyBorder="1" applyAlignment="1">
      <alignment horizontal="center"/>
    </xf>
    <xf numFmtId="0" fontId="0" fillId="8" borderId="29" xfId="0" applyFill="1" applyBorder="1" applyAlignment="1">
      <alignment horizontal="center"/>
    </xf>
    <xf numFmtId="0" fontId="13" fillId="0" borderId="16" xfId="0" applyFont="1" applyBorder="1" applyAlignment="1">
      <alignment horizontal="left" vertical="top" wrapText="1" indent="1"/>
    </xf>
    <xf numFmtId="0" fontId="41" fillId="0" borderId="4" xfId="0" applyFont="1" applyBorder="1" applyAlignment="1">
      <alignment horizontal="center" vertical="center" wrapText="1"/>
    </xf>
    <xf numFmtId="171" fontId="44" fillId="0" borderId="64" xfId="0" applyNumberFormat="1" applyFont="1" applyBorder="1" applyAlignment="1">
      <alignment horizontal="center" vertical="center"/>
    </xf>
    <xf numFmtId="171" fontId="44" fillId="0" borderId="4" xfId="0" applyNumberFormat="1" applyFont="1" applyBorder="1" applyAlignment="1">
      <alignment horizontal="center" vertical="center"/>
    </xf>
    <xf numFmtId="172" fontId="44" fillId="0" borderId="64" xfId="0" applyNumberFormat="1" applyFont="1" applyFill="1" applyBorder="1" applyAlignment="1">
      <alignment horizontal="center" vertical="center"/>
    </xf>
    <xf numFmtId="172" fontId="44" fillId="0" borderId="4" xfId="0" applyNumberFormat="1" applyFont="1" applyFill="1" applyBorder="1" applyAlignment="1">
      <alignment horizontal="center" vertical="center"/>
    </xf>
    <xf numFmtId="0" fontId="41" fillId="0" borderId="65" xfId="0" applyFont="1" applyBorder="1" applyAlignment="1">
      <alignment horizontal="center" vertical="center" wrapText="1"/>
    </xf>
    <xf numFmtId="0" fontId="41" fillId="0" borderId="66" xfId="0" applyFont="1" applyBorder="1" applyAlignment="1">
      <alignment horizontal="center" vertical="center" wrapText="1"/>
    </xf>
    <xf numFmtId="0" fontId="42" fillId="2" borderId="67" xfId="0" applyFont="1" applyFill="1" applyBorder="1" applyAlignment="1">
      <alignment horizontal="center" vertical="center"/>
    </xf>
    <xf numFmtId="0" fontId="42" fillId="2" borderId="68" xfId="0" applyFont="1" applyFill="1" applyBorder="1" applyAlignment="1">
      <alignment horizontal="center" vertical="center"/>
    </xf>
    <xf numFmtId="0" fontId="0" fillId="0" borderId="0" xfId="0" applyAlignment="1">
      <alignment horizontal="center"/>
    </xf>
    <xf numFmtId="0" fontId="0" fillId="0" borderId="53" xfId="0" applyBorder="1" applyAlignment="1">
      <alignment horizontal="center"/>
    </xf>
    <xf numFmtId="0" fontId="3" fillId="0" borderId="1" xfId="0" applyFont="1" applyBorder="1" applyAlignment="1">
      <alignment horizontal="left"/>
    </xf>
    <xf numFmtId="0" fontId="3" fillId="0" borderId="2" xfId="0" applyFont="1" applyBorder="1" applyAlignment="1">
      <alignment horizontal="left"/>
    </xf>
    <xf numFmtId="0" fontId="3" fillId="0" borderId="3" xfId="0" applyFont="1" applyBorder="1" applyAlignment="1">
      <alignment horizontal="left"/>
    </xf>
    <xf numFmtId="0" fontId="3" fillId="8" borderId="15" xfId="0" applyFont="1" applyFill="1" applyBorder="1"/>
    <xf numFmtId="0" fontId="4" fillId="8" borderId="16" xfId="0" applyFont="1" applyFill="1" applyBorder="1"/>
    <xf numFmtId="43" fontId="3" fillId="8" borderId="16" xfId="1" applyFont="1" applyFill="1" applyBorder="1"/>
    <xf numFmtId="0" fontId="4" fillId="8" borderId="17" xfId="0" applyFont="1" applyFill="1" applyBorder="1"/>
    <xf numFmtId="0" fontId="4" fillId="0" borderId="4" xfId="0" applyFont="1" applyBorder="1" applyAlignment="1">
      <alignment horizontal="left" wrapText="1" indent="1"/>
    </xf>
    <xf numFmtId="0" fontId="0" fillId="0" borderId="0" xfId="0" applyAlignment="1">
      <alignment horizontal="left" wrapText="1" indent="1"/>
    </xf>
  </cellXfs>
  <cellStyles count="11">
    <cellStyle name="20% - Accent4" xfId="8" builtinId="42"/>
    <cellStyle name="40% - Accent4" xfId="9" builtinId="43"/>
    <cellStyle name="Accent4" xfId="7" builtinId="41"/>
    <cellStyle name="Comma" xfId="1" builtinId="3"/>
    <cellStyle name="Heading 4" xfId="5" builtinId="19"/>
    <cellStyle name="Hyperlink" xfId="10" builtinId="8"/>
    <cellStyle name="Input" xfId="3" builtinId="20"/>
    <cellStyle name="Neutral" xfId="6" builtinId="28"/>
    <cellStyle name="Normal" xfId="0" builtinId="0"/>
    <cellStyle name="Percent" xfId="2" builtinId="5"/>
    <cellStyle name="Title" xfId="4" builtinId="15"/>
  </cellStyles>
  <dxfs count="34">
    <dxf>
      <fill>
        <patternFill>
          <bgColor indexed="10"/>
        </patternFill>
      </fill>
    </dxf>
    <dxf>
      <fill>
        <patternFill>
          <bgColor indexed="11"/>
        </patternFill>
      </fill>
    </dxf>
    <dxf>
      <fill>
        <patternFill>
          <bgColor indexed="10"/>
        </patternFill>
      </fill>
    </dxf>
    <dxf>
      <fill>
        <patternFill>
          <bgColor indexed="11"/>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5" formatCode="_(* #,##0.00_);_(* \(#,##0.00\);_(* &quot;-&quot;??_);_(@_)"/>
      <alignment horizontal="general" vertical="center" textRotation="0" indent="0" justifyLastLine="0" shrinkToFit="0" readingOrder="0"/>
    </dxf>
    <dxf>
      <font>
        <b val="0"/>
        <i val="0"/>
        <strike val="0"/>
        <condense val="0"/>
        <extend val="0"/>
        <outline val="0"/>
        <shadow val="0"/>
        <u val="none"/>
        <vertAlign val="baseline"/>
        <sz val="11"/>
        <color theme="1"/>
        <name val="Calibri"/>
        <scheme val="minor"/>
      </font>
      <numFmt numFmtId="35" formatCode="_(* #,##0.00_);_(* \(#,##0.00\);_(* &quot;-&quot;??_);_(@_)"/>
      <alignment horizontal="general" vertical="center" textRotation="0" indent="0" justifyLastLine="0" shrinkToFit="0" readingOrder="0"/>
    </dxf>
    <dxf>
      <alignment horizontal="general" vertical="center" textRotation="0" indent="0" justifyLastLine="0" shrinkToFit="0" readingOrder="0"/>
    </dxf>
    <dxf>
      <numFmt numFmtId="176" formatCode="_(* #,##0.00000_);_(* \(#,##0.00000\);_(* &quot;-&quot;??_);_(@_)"/>
      <alignment horizontal="general" vertical="center" textRotation="0" indent="0" justifyLastLine="0" shrinkToFit="0" readingOrder="0"/>
    </dxf>
    <dxf>
      <alignment horizontal="general" vertical="center" textRotation="0" indent="0" justifyLastLine="0" shrinkToFit="0" readingOrder="0"/>
    </dxf>
    <dxf>
      <font>
        <b val="0"/>
        <i val="0"/>
        <strike val="0"/>
        <condense val="0"/>
        <extend val="0"/>
        <outline val="0"/>
        <shadow val="0"/>
        <u val="none"/>
        <vertAlign val="baseline"/>
        <sz val="11"/>
        <color theme="1"/>
        <name val="Calibri"/>
        <scheme val="minor"/>
      </font>
      <numFmt numFmtId="164" formatCode="_(* #,##0.0_);_(* \(#,##0.0\);_(* &quot;-&quot;??_);_(@_)"/>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numFmt numFmtId="35" formatCode="_(* #,##0.00_);_(* \(#,##0.00\);_(* &quot;-&quot;??_);_(@_)"/>
      <alignment horizontal="general" vertical="center" textRotation="0" 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indent="0" justifyLastLine="0" shrinkToFit="0" readingOrder="0"/>
    </dxf>
    <dxf>
      <font>
        <b/>
        <i val="0"/>
        <strike val="0"/>
        <condense val="0"/>
        <extend val="0"/>
        <outline val="0"/>
        <shadow val="0"/>
        <u val="none"/>
        <vertAlign val="baseline"/>
        <sz val="12"/>
        <color theme="1"/>
        <name val="Calibri"/>
        <scheme val="minor"/>
      </font>
      <alignment horizontal="general" vertical="top" textRotation="0" wrapText="0" indent="0" justifyLastLine="0" shrinkToFit="0" readingOrder="0"/>
    </dxf>
    <dxf>
      <alignment horizontal="left" vertical="top" textRotation="0" wrapText="1" relativeIndent="1" justifyLastLine="0" shrinkToFit="0" readingOrder="0"/>
    </dxf>
    <dxf>
      <alignment horizontal="left" vertical="top" textRotation="0" wrapText="1" relativeIndent="1" justifyLastLine="0" shrinkToFit="0" readingOrder="0"/>
    </dxf>
    <dxf>
      <alignment horizontal="left" vertical="top" textRotation="0" wrapText="1" relativeIndent="1" justifyLastLine="0" shrinkToFit="0" readingOrder="0"/>
    </dxf>
    <dxf>
      <alignment horizontal="left" vertical="top" textRotation="0" wrapText="1" relativeIndent="1" justifyLastLine="0" shrinkToFit="0" readingOrder="0"/>
    </dxf>
    <dxf>
      <font>
        <b/>
        <i val="0"/>
        <strike val="0"/>
        <condense val="0"/>
        <extend val="0"/>
        <outline val="0"/>
        <shadow val="0"/>
        <u val="none"/>
        <vertAlign val="baseline"/>
        <sz val="14"/>
        <color theme="1"/>
        <name val="Calibri"/>
        <scheme val="minor"/>
      </font>
    </dxf>
  </dxfs>
  <tableStyles count="0" defaultTableStyle="TableStyleMedium2" defaultPivotStyle="PivotStyleLight16"/>
  <colors>
    <mruColors>
      <color rgb="FFBAE18F"/>
      <color rgb="FFDDDDD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v>RPS</c:v>
          </c:tx>
          <c:marker>
            <c:symbol val="none"/>
          </c:marker>
          <c:xVal>
            <c:numRef>
              <c:f>'Motor Performance'!$O$4:$O$24</c:f>
              <c:numCache>
                <c:formatCode>_(* #,##0.00_);_(* \(#,##0.00\);_(* "-"??_);_(@_)</c:formatCode>
                <c:ptCount val="21"/>
                <c:pt idx="0">
                  <c:v>0</c:v>
                </c:pt>
                <c:pt idx="1">
                  <c:v>8.9583333333333334E-2</c:v>
                </c:pt>
                <c:pt idx="2">
                  <c:v>0.17916666666666667</c:v>
                </c:pt>
                <c:pt idx="3">
                  <c:v>0.26874999999999999</c:v>
                </c:pt>
                <c:pt idx="4">
                  <c:v>0.35833333333333334</c:v>
                </c:pt>
                <c:pt idx="5">
                  <c:v>0.44791666666666674</c:v>
                </c:pt>
                <c:pt idx="6">
                  <c:v>0.53749999999999998</c:v>
                </c:pt>
                <c:pt idx="7">
                  <c:v>0.62708333333333333</c:v>
                </c:pt>
                <c:pt idx="8">
                  <c:v>0.71666666666666667</c:v>
                </c:pt>
                <c:pt idx="9">
                  <c:v>0.80625000000000002</c:v>
                </c:pt>
                <c:pt idx="10">
                  <c:v>0.89583333333333348</c:v>
                </c:pt>
                <c:pt idx="11">
                  <c:v>0.98541666666666672</c:v>
                </c:pt>
                <c:pt idx="12">
                  <c:v>1.075</c:v>
                </c:pt>
                <c:pt idx="13">
                  <c:v>1.1645833333333335</c:v>
                </c:pt>
                <c:pt idx="14">
                  <c:v>1.2541666666666667</c:v>
                </c:pt>
                <c:pt idx="15">
                  <c:v>1.34375</c:v>
                </c:pt>
                <c:pt idx="16">
                  <c:v>1.4333333333333333</c:v>
                </c:pt>
                <c:pt idx="17">
                  <c:v>1.5229166666666669</c:v>
                </c:pt>
                <c:pt idx="18">
                  <c:v>1.6125</c:v>
                </c:pt>
                <c:pt idx="19">
                  <c:v>1.7020833333333334</c:v>
                </c:pt>
                <c:pt idx="20">
                  <c:v>1.791666666666667</c:v>
                </c:pt>
              </c:numCache>
            </c:numRef>
          </c:xVal>
          <c:yVal>
            <c:numRef>
              <c:f>'Motor Performance'!$P$4:$P$24</c:f>
              <c:numCache>
                <c:formatCode>_(* #,##0.00_);_(* \(#,##0.00\);_(* "-"??_);_(@_)</c:formatCode>
                <c:ptCount val="21"/>
                <c:pt idx="0">
                  <c:v>88.5</c:v>
                </c:pt>
                <c:pt idx="1">
                  <c:v>84.075000000000003</c:v>
                </c:pt>
                <c:pt idx="2">
                  <c:v>79.650000000000006</c:v>
                </c:pt>
                <c:pt idx="3">
                  <c:v>75.224999999999994</c:v>
                </c:pt>
                <c:pt idx="4">
                  <c:v>70.8</c:v>
                </c:pt>
                <c:pt idx="5">
                  <c:v>66.375</c:v>
                </c:pt>
                <c:pt idx="6">
                  <c:v>61.95</c:v>
                </c:pt>
                <c:pt idx="7">
                  <c:v>57.524999999999999</c:v>
                </c:pt>
                <c:pt idx="8">
                  <c:v>53.1</c:v>
                </c:pt>
                <c:pt idx="9">
                  <c:v>48.674999999999997</c:v>
                </c:pt>
                <c:pt idx="10">
                  <c:v>44.25</c:v>
                </c:pt>
                <c:pt idx="11">
                  <c:v>39.825000000000003</c:v>
                </c:pt>
                <c:pt idx="12">
                  <c:v>35.4</c:v>
                </c:pt>
                <c:pt idx="13">
                  <c:v>30.975000000000001</c:v>
                </c:pt>
                <c:pt idx="14">
                  <c:v>26.55</c:v>
                </c:pt>
                <c:pt idx="15">
                  <c:v>22.125</c:v>
                </c:pt>
                <c:pt idx="16">
                  <c:v>17.7</c:v>
                </c:pt>
                <c:pt idx="17">
                  <c:v>13.275</c:v>
                </c:pt>
                <c:pt idx="18">
                  <c:v>8.85</c:v>
                </c:pt>
                <c:pt idx="19">
                  <c:v>4.4249999999999998</c:v>
                </c:pt>
                <c:pt idx="20">
                  <c:v>0</c:v>
                </c:pt>
              </c:numCache>
            </c:numRef>
          </c:yVal>
          <c:smooth val="1"/>
        </c:ser>
        <c:ser>
          <c:idx val="3"/>
          <c:order val="3"/>
          <c:tx>
            <c:v>Eff %</c:v>
          </c:tx>
          <c:marker>
            <c:symbol val="none"/>
          </c:marker>
          <c:xVal>
            <c:numRef>
              <c:f>'Motor Performance'!$O$4:$O$24</c:f>
              <c:numCache>
                <c:formatCode>_(* #,##0.00_);_(* \(#,##0.00\);_(* "-"??_);_(@_)</c:formatCode>
                <c:ptCount val="21"/>
                <c:pt idx="0">
                  <c:v>0</c:v>
                </c:pt>
                <c:pt idx="1">
                  <c:v>8.9583333333333334E-2</c:v>
                </c:pt>
                <c:pt idx="2">
                  <c:v>0.17916666666666667</c:v>
                </c:pt>
                <c:pt idx="3">
                  <c:v>0.26874999999999999</c:v>
                </c:pt>
                <c:pt idx="4">
                  <c:v>0.35833333333333334</c:v>
                </c:pt>
                <c:pt idx="5">
                  <c:v>0.44791666666666674</c:v>
                </c:pt>
                <c:pt idx="6">
                  <c:v>0.53749999999999998</c:v>
                </c:pt>
                <c:pt idx="7">
                  <c:v>0.62708333333333333</c:v>
                </c:pt>
                <c:pt idx="8">
                  <c:v>0.71666666666666667</c:v>
                </c:pt>
                <c:pt idx="9">
                  <c:v>0.80625000000000002</c:v>
                </c:pt>
                <c:pt idx="10">
                  <c:v>0.89583333333333348</c:v>
                </c:pt>
                <c:pt idx="11">
                  <c:v>0.98541666666666672</c:v>
                </c:pt>
                <c:pt idx="12">
                  <c:v>1.075</c:v>
                </c:pt>
                <c:pt idx="13">
                  <c:v>1.1645833333333335</c:v>
                </c:pt>
                <c:pt idx="14">
                  <c:v>1.2541666666666667</c:v>
                </c:pt>
                <c:pt idx="15">
                  <c:v>1.34375</c:v>
                </c:pt>
                <c:pt idx="16">
                  <c:v>1.4333333333333333</c:v>
                </c:pt>
                <c:pt idx="17">
                  <c:v>1.5229166666666669</c:v>
                </c:pt>
                <c:pt idx="18">
                  <c:v>1.6125</c:v>
                </c:pt>
                <c:pt idx="19">
                  <c:v>1.7020833333333334</c:v>
                </c:pt>
                <c:pt idx="20">
                  <c:v>1.791666666666667</c:v>
                </c:pt>
              </c:numCache>
            </c:numRef>
          </c:xVal>
          <c:yVal>
            <c:numRef>
              <c:f>'Motor Performance'!$S$4:$S$24</c:f>
              <c:numCache>
                <c:formatCode>_(* #,##0.0_);_(* \(#,##0.0\);_(* "-"??_);_(@_)</c:formatCode>
                <c:ptCount val="21"/>
                <c:pt idx="0">
                  <c:v>0</c:v>
                </c:pt>
                <c:pt idx="1">
                  <c:v>58.022041656856068</c:v>
                </c:pt>
                <c:pt idx="2">
                  <c:v>64.403359652174629</c:v>
                </c:pt>
                <c:pt idx="3">
                  <c:v>64.516754344002464</c:v>
                </c:pt>
                <c:pt idx="4">
                  <c:v>62.62184189947191</c:v>
                </c:pt>
                <c:pt idx="5">
                  <c:v>59.831375344242076</c:v>
                </c:pt>
                <c:pt idx="6">
                  <c:v>56.564201414221479</c:v>
                </c:pt>
                <c:pt idx="7">
                  <c:v>53.013203778601437</c:v>
                </c:pt>
                <c:pt idx="8">
                  <c:v>49.279574234644627</c:v>
                </c:pt>
                <c:pt idx="9">
                  <c:v>45.421510233210121</c:v>
                </c:pt>
                <c:pt idx="10">
                  <c:v>41.474856600700356</c:v>
                </c:pt>
                <c:pt idx="11">
                  <c:v>37.462896929388073</c:v>
                </c:pt>
                <c:pt idx="12">
                  <c:v>33.401412704540284</c:v>
                </c:pt>
                <c:pt idx="13">
                  <c:v>29.301479587222868</c:v>
                </c:pt>
                <c:pt idx="14">
                  <c:v>25.171099745504375</c:v>
                </c:pt>
                <c:pt idx="15">
                  <c:v>21.016198807748466</c:v>
                </c:pt>
                <c:pt idx="16">
                  <c:v>16.841258397501516</c:v>
                </c:pt>
                <c:pt idx="17">
                  <c:v>12.649730733615394</c:v>
                </c:pt>
                <c:pt idx="18">
                  <c:v>8.4443181406077059</c:v>
                </c:pt>
                <c:pt idx="19">
                  <c:v>4.2271661767634781</c:v>
                </c:pt>
                <c:pt idx="20">
                  <c:v>0</c:v>
                </c:pt>
              </c:numCache>
            </c:numRef>
          </c:yVal>
          <c:smooth val="1"/>
        </c:ser>
        <c:dLbls>
          <c:showLegendKey val="0"/>
          <c:showVal val="0"/>
          <c:showCatName val="0"/>
          <c:showSerName val="0"/>
          <c:showPercent val="0"/>
          <c:showBubbleSize val="0"/>
        </c:dLbls>
        <c:axId val="56245248"/>
        <c:axId val="56288384"/>
      </c:scatterChart>
      <c:scatterChart>
        <c:scatterStyle val="smoothMarker"/>
        <c:varyColors val="0"/>
        <c:ser>
          <c:idx val="1"/>
          <c:order val="1"/>
          <c:tx>
            <c:v>Amps</c:v>
          </c:tx>
          <c:marker>
            <c:symbol val="none"/>
          </c:marker>
          <c:xVal>
            <c:numRef>
              <c:f>'Motor Performance'!$O$4:$O$24</c:f>
              <c:numCache>
                <c:formatCode>_(* #,##0.00_);_(* \(#,##0.00\);_(* "-"??_);_(@_)</c:formatCode>
                <c:ptCount val="21"/>
                <c:pt idx="0">
                  <c:v>0</c:v>
                </c:pt>
                <c:pt idx="1">
                  <c:v>8.9583333333333334E-2</c:v>
                </c:pt>
                <c:pt idx="2">
                  <c:v>0.17916666666666667</c:v>
                </c:pt>
                <c:pt idx="3">
                  <c:v>0.26874999999999999</c:v>
                </c:pt>
                <c:pt idx="4">
                  <c:v>0.35833333333333334</c:v>
                </c:pt>
                <c:pt idx="5">
                  <c:v>0.44791666666666674</c:v>
                </c:pt>
                <c:pt idx="6">
                  <c:v>0.53749999999999998</c:v>
                </c:pt>
                <c:pt idx="7">
                  <c:v>0.62708333333333333</c:v>
                </c:pt>
                <c:pt idx="8">
                  <c:v>0.71666666666666667</c:v>
                </c:pt>
                <c:pt idx="9">
                  <c:v>0.80625000000000002</c:v>
                </c:pt>
                <c:pt idx="10">
                  <c:v>0.89583333333333348</c:v>
                </c:pt>
                <c:pt idx="11">
                  <c:v>0.98541666666666672</c:v>
                </c:pt>
                <c:pt idx="12">
                  <c:v>1.075</c:v>
                </c:pt>
                <c:pt idx="13">
                  <c:v>1.1645833333333335</c:v>
                </c:pt>
                <c:pt idx="14">
                  <c:v>1.2541666666666667</c:v>
                </c:pt>
                <c:pt idx="15">
                  <c:v>1.34375</c:v>
                </c:pt>
                <c:pt idx="16">
                  <c:v>1.4333333333333333</c:v>
                </c:pt>
                <c:pt idx="17">
                  <c:v>1.5229166666666669</c:v>
                </c:pt>
                <c:pt idx="18">
                  <c:v>1.6125</c:v>
                </c:pt>
                <c:pt idx="19">
                  <c:v>1.7020833333333334</c:v>
                </c:pt>
                <c:pt idx="20">
                  <c:v>1.791666666666667</c:v>
                </c:pt>
              </c:numCache>
            </c:numRef>
          </c:xVal>
          <c:yVal>
            <c:numRef>
              <c:f>'Motor Performance'!$Q$4:$Q$24</c:f>
              <c:numCache>
                <c:formatCode>_(* #,##0.00_);_(* \(#,##0.00\);_(* "-"??_);_(@_)</c:formatCode>
                <c:ptCount val="21"/>
                <c:pt idx="0">
                  <c:v>2.7000000000000006</c:v>
                </c:pt>
                <c:pt idx="1">
                  <c:v>9.2149999999999999</c:v>
                </c:pt>
                <c:pt idx="2">
                  <c:v>15.73</c:v>
                </c:pt>
                <c:pt idx="3">
                  <c:v>22.245000000000001</c:v>
                </c:pt>
                <c:pt idx="4">
                  <c:v>28.759999999999998</c:v>
                </c:pt>
                <c:pt idx="5">
                  <c:v>35.275000000000006</c:v>
                </c:pt>
                <c:pt idx="6">
                  <c:v>41.790000000000006</c:v>
                </c:pt>
                <c:pt idx="7">
                  <c:v>48.305</c:v>
                </c:pt>
                <c:pt idx="8">
                  <c:v>54.82</c:v>
                </c:pt>
                <c:pt idx="9">
                  <c:v>61.335000000000015</c:v>
                </c:pt>
                <c:pt idx="10">
                  <c:v>67.850000000000009</c:v>
                </c:pt>
                <c:pt idx="11">
                  <c:v>74.365000000000009</c:v>
                </c:pt>
                <c:pt idx="12">
                  <c:v>80.88000000000001</c:v>
                </c:pt>
                <c:pt idx="13">
                  <c:v>87.394999999999996</c:v>
                </c:pt>
                <c:pt idx="14">
                  <c:v>93.91</c:v>
                </c:pt>
                <c:pt idx="15">
                  <c:v>100.425</c:v>
                </c:pt>
                <c:pt idx="16">
                  <c:v>106.94</c:v>
                </c:pt>
                <c:pt idx="17">
                  <c:v>113.45500000000003</c:v>
                </c:pt>
                <c:pt idx="18">
                  <c:v>119.97000000000003</c:v>
                </c:pt>
                <c:pt idx="19">
                  <c:v>126.48500000000003</c:v>
                </c:pt>
                <c:pt idx="20">
                  <c:v>133</c:v>
                </c:pt>
              </c:numCache>
            </c:numRef>
          </c:yVal>
          <c:smooth val="1"/>
        </c:ser>
        <c:ser>
          <c:idx val="2"/>
          <c:order val="2"/>
          <c:tx>
            <c:v>Power out, W</c:v>
          </c:tx>
          <c:marker>
            <c:symbol val="none"/>
          </c:marker>
          <c:xVal>
            <c:numRef>
              <c:f>'Motor Performance'!$O$4:$O$24</c:f>
              <c:numCache>
                <c:formatCode>_(* #,##0.00_);_(* \(#,##0.00\);_(* "-"??_);_(@_)</c:formatCode>
                <c:ptCount val="21"/>
                <c:pt idx="0">
                  <c:v>0</c:v>
                </c:pt>
                <c:pt idx="1">
                  <c:v>8.9583333333333334E-2</c:v>
                </c:pt>
                <c:pt idx="2">
                  <c:v>0.17916666666666667</c:v>
                </c:pt>
                <c:pt idx="3">
                  <c:v>0.26874999999999999</c:v>
                </c:pt>
                <c:pt idx="4">
                  <c:v>0.35833333333333334</c:v>
                </c:pt>
                <c:pt idx="5">
                  <c:v>0.44791666666666674</c:v>
                </c:pt>
                <c:pt idx="6">
                  <c:v>0.53749999999999998</c:v>
                </c:pt>
                <c:pt idx="7">
                  <c:v>0.62708333333333333</c:v>
                </c:pt>
                <c:pt idx="8">
                  <c:v>0.71666666666666667</c:v>
                </c:pt>
                <c:pt idx="9">
                  <c:v>0.80625000000000002</c:v>
                </c:pt>
                <c:pt idx="10">
                  <c:v>0.89583333333333348</c:v>
                </c:pt>
                <c:pt idx="11">
                  <c:v>0.98541666666666672</c:v>
                </c:pt>
                <c:pt idx="12">
                  <c:v>1.075</c:v>
                </c:pt>
                <c:pt idx="13">
                  <c:v>1.1645833333333335</c:v>
                </c:pt>
                <c:pt idx="14">
                  <c:v>1.2541666666666667</c:v>
                </c:pt>
                <c:pt idx="15">
                  <c:v>1.34375</c:v>
                </c:pt>
                <c:pt idx="16">
                  <c:v>1.4333333333333333</c:v>
                </c:pt>
                <c:pt idx="17">
                  <c:v>1.5229166666666669</c:v>
                </c:pt>
                <c:pt idx="18">
                  <c:v>1.6125</c:v>
                </c:pt>
                <c:pt idx="19">
                  <c:v>1.7020833333333334</c:v>
                </c:pt>
                <c:pt idx="20">
                  <c:v>1.791666666666667</c:v>
                </c:pt>
              </c:numCache>
            </c:numRef>
          </c:xVal>
          <c:yVal>
            <c:numRef>
              <c:f>'Motor Performance'!$R$4:$R$24</c:f>
              <c:numCache>
                <c:formatCode>_(* #,##0.00_);_(* \(#,##0.00\);_(* "-"??_);_(@_)</c:formatCode>
                <c:ptCount val="21"/>
                <c:pt idx="0">
                  <c:v>0</c:v>
                </c:pt>
                <c:pt idx="1">
                  <c:v>64.160773664151435</c:v>
                </c:pt>
                <c:pt idx="2">
                  <c:v>121.56778167944483</c:v>
                </c:pt>
                <c:pt idx="3">
                  <c:v>172.22102404588017</c:v>
                </c:pt>
                <c:pt idx="4">
                  <c:v>216.12050076345747</c:v>
                </c:pt>
                <c:pt idx="5">
                  <c:v>253.26621183217674</c:v>
                </c:pt>
                <c:pt idx="6">
                  <c:v>283.65815725203794</c:v>
                </c:pt>
                <c:pt idx="7">
                  <c:v>307.29633702304108</c:v>
                </c:pt>
                <c:pt idx="8">
                  <c:v>324.18075114518621</c:v>
                </c:pt>
                <c:pt idx="9">
                  <c:v>334.31139961847322</c:v>
                </c:pt>
                <c:pt idx="10">
                  <c:v>337.68828244290233</c:v>
                </c:pt>
                <c:pt idx="11">
                  <c:v>334.31139961847333</c:v>
                </c:pt>
                <c:pt idx="12">
                  <c:v>324.18075114518621</c:v>
                </c:pt>
                <c:pt idx="13">
                  <c:v>307.29633702304113</c:v>
                </c:pt>
                <c:pt idx="14">
                  <c:v>283.65815725203794</c:v>
                </c:pt>
                <c:pt idx="15">
                  <c:v>253.26621183217674</c:v>
                </c:pt>
                <c:pt idx="16">
                  <c:v>216.12050076345747</c:v>
                </c:pt>
                <c:pt idx="17">
                  <c:v>172.2210240458802</c:v>
                </c:pt>
                <c:pt idx="18">
                  <c:v>121.56778167944481</c:v>
                </c:pt>
                <c:pt idx="19">
                  <c:v>64.160773664151435</c:v>
                </c:pt>
                <c:pt idx="20">
                  <c:v>0</c:v>
                </c:pt>
              </c:numCache>
            </c:numRef>
          </c:yVal>
          <c:smooth val="1"/>
        </c:ser>
        <c:dLbls>
          <c:showLegendKey val="0"/>
          <c:showVal val="0"/>
          <c:showCatName val="0"/>
          <c:showSerName val="0"/>
          <c:showPercent val="0"/>
          <c:showBubbleSize val="0"/>
        </c:dLbls>
        <c:axId val="59921152"/>
        <c:axId val="56478336"/>
      </c:scatterChart>
      <c:valAx>
        <c:axId val="56245248"/>
        <c:scaling>
          <c:orientation val="minMax"/>
        </c:scaling>
        <c:delete val="0"/>
        <c:axPos val="b"/>
        <c:title>
          <c:tx>
            <c:rich>
              <a:bodyPr/>
              <a:lstStyle/>
              <a:p>
                <a:pPr>
                  <a:defRPr/>
                </a:pPr>
                <a:r>
                  <a:rPr lang="en-US"/>
                  <a:t>Torque,</a:t>
                </a:r>
                <a:r>
                  <a:rPr lang="en-US" baseline="0"/>
                  <a:t> ft-lbs</a:t>
                </a:r>
                <a:endParaRPr lang="en-US"/>
              </a:p>
            </c:rich>
          </c:tx>
          <c:layout/>
          <c:overlay val="0"/>
        </c:title>
        <c:numFmt formatCode="_(* #,##0.00_);_(* \(#,##0.00\);_(* &quot;-&quot;??_);_(@_)" sourceLinked="1"/>
        <c:majorTickMark val="out"/>
        <c:minorTickMark val="none"/>
        <c:tickLblPos val="nextTo"/>
        <c:crossAx val="56288384"/>
        <c:crosses val="autoZero"/>
        <c:crossBetween val="midCat"/>
      </c:valAx>
      <c:valAx>
        <c:axId val="56288384"/>
        <c:scaling>
          <c:orientation val="minMax"/>
        </c:scaling>
        <c:delete val="0"/>
        <c:axPos val="l"/>
        <c:majorGridlines/>
        <c:title>
          <c:tx>
            <c:rich>
              <a:bodyPr rot="-5400000" vert="horz"/>
              <a:lstStyle/>
              <a:p>
                <a:pPr>
                  <a:defRPr/>
                </a:pPr>
                <a:r>
                  <a:rPr lang="en-US"/>
                  <a:t>RPS, Efficiency %</a:t>
                </a:r>
              </a:p>
            </c:rich>
          </c:tx>
          <c:layout/>
          <c:overlay val="0"/>
        </c:title>
        <c:numFmt formatCode="_(* #,##0.00_);_(* \(#,##0.00\);_(* &quot;-&quot;??_);_(@_)" sourceLinked="1"/>
        <c:majorTickMark val="out"/>
        <c:minorTickMark val="none"/>
        <c:tickLblPos val="nextTo"/>
        <c:crossAx val="56245248"/>
        <c:crosses val="autoZero"/>
        <c:crossBetween val="midCat"/>
      </c:valAx>
      <c:valAx>
        <c:axId val="56478336"/>
        <c:scaling>
          <c:orientation val="minMax"/>
        </c:scaling>
        <c:delete val="0"/>
        <c:axPos val="r"/>
        <c:title>
          <c:tx>
            <c:rich>
              <a:bodyPr rot="-5400000" vert="horz"/>
              <a:lstStyle/>
              <a:p>
                <a:pPr>
                  <a:defRPr/>
                </a:pPr>
                <a:r>
                  <a:rPr lang="en-US"/>
                  <a:t>Amps,</a:t>
                </a:r>
                <a:r>
                  <a:rPr lang="en-US" baseline="0"/>
                  <a:t> Power out (w)</a:t>
                </a:r>
                <a:endParaRPr lang="en-US"/>
              </a:p>
            </c:rich>
          </c:tx>
          <c:layout/>
          <c:overlay val="0"/>
        </c:title>
        <c:numFmt formatCode="_(* #,##0.00_);_(* \(#,##0.00\);_(* &quot;-&quot;??_);_(@_)" sourceLinked="1"/>
        <c:majorTickMark val="out"/>
        <c:minorTickMark val="none"/>
        <c:tickLblPos val="nextTo"/>
        <c:crossAx val="59921152"/>
        <c:crosses val="max"/>
        <c:crossBetween val="midCat"/>
      </c:valAx>
      <c:valAx>
        <c:axId val="59921152"/>
        <c:scaling>
          <c:orientation val="minMax"/>
        </c:scaling>
        <c:delete val="1"/>
        <c:axPos val="b"/>
        <c:numFmt formatCode="_(* #,##0.00_);_(* \(#,##0.00\);_(* &quot;-&quot;??_);_(@_)" sourceLinked="1"/>
        <c:majorTickMark val="out"/>
        <c:minorTickMark val="none"/>
        <c:tickLblPos val="nextTo"/>
        <c:crossAx val="56478336"/>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4878134402387011E-3"/>
          <c:y val="7.3053883292602956E-2"/>
          <c:w val="0.99502413877387075"/>
          <c:h val="0.74030125117178902"/>
        </c:manualLayout>
      </c:layout>
      <c:scatterChart>
        <c:scatterStyle val="lineMarker"/>
        <c:varyColors val="0"/>
        <c:ser>
          <c:idx val="0"/>
          <c:order val="0"/>
          <c:tx>
            <c:v>Speed</c:v>
          </c:tx>
          <c:spPr>
            <a:ln w="12700"/>
          </c:spPr>
          <c:marker>
            <c:symbol val="none"/>
          </c:marker>
          <c:xVal>
            <c:numRef>
              <c:f>JeeseK_DT_Model!$AB$5:$AB$30</c:f>
              <c:numCache>
                <c:formatCode>General</c:formatCode>
                <c:ptCount val="26"/>
                <c:pt idx="0">
                  <c:v>0</c:v>
                </c:pt>
                <c:pt idx="1">
                  <c:v>0.04</c:v>
                </c:pt>
                <c:pt idx="2">
                  <c:v>0.08</c:v>
                </c:pt>
                <c:pt idx="3">
                  <c:v>0.12</c:v>
                </c:pt>
                <c:pt idx="4">
                  <c:v>0.16</c:v>
                </c:pt>
                <c:pt idx="5">
                  <c:v>0.2</c:v>
                </c:pt>
                <c:pt idx="6">
                  <c:v>0.24</c:v>
                </c:pt>
                <c:pt idx="7">
                  <c:v>0.27999999999999997</c:v>
                </c:pt>
                <c:pt idx="8">
                  <c:v>0.32</c:v>
                </c:pt>
                <c:pt idx="9">
                  <c:v>0.36</c:v>
                </c:pt>
                <c:pt idx="10">
                  <c:v>0.4</c:v>
                </c:pt>
                <c:pt idx="11">
                  <c:v>0.44</c:v>
                </c:pt>
                <c:pt idx="12">
                  <c:v>0.48</c:v>
                </c:pt>
                <c:pt idx="13">
                  <c:v>0.52</c:v>
                </c:pt>
                <c:pt idx="14">
                  <c:v>0.55999999999999994</c:v>
                </c:pt>
                <c:pt idx="15">
                  <c:v>0.6</c:v>
                </c:pt>
                <c:pt idx="16">
                  <c:v>0.64</c:v>
                </c:pt>
                <c:pt idx="17">
                  <c:v>0.67999999999999994</c:v>
                </c:pt>
                <c:pt idx="18">
                  <c:v>0.72</c:v>
                </c:pt>
                <c:pt idx="19">
                  <c:v>0.76</c:v>
                </c:pt>
                <c:pt idx="20">
                  <c:v>0.8</c:v>
                </c:pt>
                <c:pt idx="21">
                  <c:v>0.84000000000000008</c:v>
                </c:pt>
                <c:pt idx="22">
                  <c:v>0.88</c:v>
                </c:pt>
                <c:pt idx="23">
                  <c:v>0.92</c:v>
                </c:pt>
                <c:pt idx="24">
                  <c:v>0.96</c:v>
                </c:pt>
                <c:pt idx="25">
                  <c:v>1</c:v>
                </c:pt>
              </c:numCache>
            </c:numRef>
          </c:xVal>
          <c:yVal>
            <c:numRef>
              <c:f>JeeseK_DT_Model!$AC$5:$AC$30</c:f>
              <c:numCache>
                <c:formatCode>General</c:formatCode>
                <c:ptCount val="26"/>
                <c:pt idx="0">
                  <c:v>1</c:v>
                </c:pt>
                <c:pt idx="1">
                  <c:v>0.96000000000000008</c:v>
                </c:pt>
                <c:pt idx="2">
                  <c:v>0.92</c:v>
                </c:pt>
                <c:pt idx="3">
                  <c:v>0.87999999999999989</c:v>
                </c:pt>
                <c:pt idx="4">
                  <c:v>0.84</c:v>
                </c:pt>
                <c:pt idx="5">
                  <c:v>0.8</c:v>
                </c:pt>
                <c:pt idx="6">
                  <c:v>0.76</c:v>
                </c:pt>
                <c:pt idx="7">
                  <c:v>0.72</c:v>
                </c:pt>
                <c:pt idx="8">
                  <c:v>0.67999999999999994</c:v>
                </c:pt>
                <c:pt idx="9">
                  <c:v>0.64</c:v>
                </c:pt>
                <c:pt idx="10">
                  <c:v>0.6</c:v>
                </c:pt>
                <c:pt idx="11">
                  <c:v>0.56000000000000005</c:v>
                </c:pt>
                <c:pt idx="12">
                  <c:v>0.52</c:v>
                </c:pt>
                <c:pt idx="13">
                  <c:v>0.48000000000000004</c:v>
                </c:pt>
                <c:pt idx="14">
                  <c:v>0.44000000000000006</c:v>
                </c:pt>
                <c:pt idx="15">
                  <c:v>0.4</c:v>
                </c:pt>
                <c:pt idx="16">
                  <c:v>0.36</c:v>
                </c:pt>
                <c:pt idx="17">
                  <c:v>0.32000000000000006</c:v>
                </c:pt>
                <c:pt idx="18">
                  <c:v>0.28000000000000003</c:v>
                </c:pt>
                <c:pt idx="19">
                  <c:v>0.24000000000000002</c:v>
                </c:pt>
                <c:pt idx="20">
                  <c:v>0.19999999999999996</c:v>
                </c:pt>
                <c:pt idx="21">
                  <c:v>0.15999999999999992</c:v>
                </c:pt>
                <c:pt idx="22">
                  <c:v>0.12000000000000001</c:v>
                </c:pt>
                <c:pt idx="23">
                  <c:v>7.999999999999996E-2</c:v>
                </c:pt>
                <c:pt idx="24">
                  <c:v>4.0000000000000036E-2</c:v>
                </c:pt>
                <c:pt idx="25">
                  <c:v>0</c:v>
                </c:pt>
              </c:numCache>
            </c:numRef>
          </c:yVal>
          <c:smooth val="0"/>
        </c:ser>
        <c:ser>
          <c:idx val="1"/>
          <c:order val="1"/>
          <c:tx>
            <c:v>Current</c:v>
          </c:tx>
          <c:spPr>
            <a:ln w="12700"/>
          </c:spPr>
          <c:marker>
            <c:symbol val="none"/>
          </c:marker>
          <c:xVal>
            <c:numRef>
              <c:f>JeeseK_DT_Model!$AB$5:$AB$30</c:f>
              <c:numCache>
                <c:formatCode>General</c:formatCode>
                <c:ptCount val="26"/>
                <c:pt idx="0">
                  <c:v>0</c:v>
                </c:pt>
                <c:pt idx="1">
                  <c:v>0.04</c:v>
                </c:pt>
                <c:pt idx="2">
                  <c:v>0.08</c:v>
                </c:pt>
                <c:pt idx="3">
                  <c:v>0.12</c:v>
                </c:pt>
                <c:pt idx="4">
                  <c:v>0.16</c:v>
                </c:pt>
                <c:pt idx="5">
                  <c:v>0.2</c:v>
                </c:pt>
                <c:pt idx="6">
                  <c:v>0.24</c:v>
                </c:pt>
                <c:pt idx="7">
                  <c:v>0.27999999999999997</c:v>
                </c:pt>
                <c:pt idx="8">
                  <c:v>0.32</c:v>
                </c:pt>
                <c:pt idx="9">
                  <c:v>0.36</c:v>
                </c:pt>
                <c:pt idx="10">
                  <c:v>0.4</c:v>
                </c:pt>
                <c:pt idx="11">
                  <c:v>0.44</c:v>
                </c:pt>
                <c:pt idx="12">
                  <c:v>0.48</c:v>
                </c:pt>
                <c:pt idx="13">
                  <c:v>0.52</c:v>
                </c:pt>
                <c:pt idx="14">
                  <c:v>0.55999999999999994</c:v>
                </c:pt>
                <c:pt idx="15">
                  <c:v>0.6</c:v>
                </c:pt>
                <c:pt idx="16">
                  <c:v>0.64</c:v>
                </c:pt>
                <c:pt idx="17">
                  <c:v>0.67999999999999994</c:v>
                </c:pt>
                <c:pt idx="18">
                  <c:v>0.72</c:v>
                </c:pt>
                <c:pt idx="19">
                  <c:v>0.76</c:v>
                </c:pt>
                <c:pt idx="20">
                  <c:v>0.8</c:v>
                </c:pt>
                <c:pt idx="21">
                  <c:v>0.84000000000000008</c:v>
                </c:pt>
                <c:pt idx="22">
                  <c:v>0.88</c:v>
                </c:pt>
                <c:pt idx="23">
                  <c:v>0.92</c:v>
                </c:pt>
                <c:pt idx="24">
                  <c:v>0.96</c:v>
                </c:pt>
                <c:pt idx="25">
                  <c:v>1</c:v>
                </c:pt>
              </c:numCache>
            </c:numRef>
          </c:xVal>
          <c:yVal>
            <c:numRef>
              <c:f>JeeseK_DT_Model!$AD$5:$AD$30</c:f>
              <c:numCache>
                <c:formatCode>General</c:formatCode>
                <c:ptCount val="26"/>
                <c:pt idx="0">
                  <c:v>2.1495327102803736E-2</c:v>
                </c:pt>
                <c:pt idx="1">
                  <c:v>6.0635514018691584E-2</c:v>
                </c:pt>
                <c:pt idx="2">
                  <c:v>9.9775700934579423E-2</c:v>
                </c:pt>
                <c:pt idx="3">
                  <c:v>0.1389158878504673</c:v>
                </c:pt>
                <c:pt idx="4">
                  <c:v>0.17805607476635513</c:v>
                </c:pt>
                <c:pt idx="5">
                  <c:v>0.21719626168224301</c:v>
                </c:pt>
                <c:pt idx="6">
                  <c:v>0.25633644859813087</c:v>
                </c:pt>
                <c:pt idx="7">
                  <c:v>0.2954766355140187</c:v>
                </c:pt>
                <c:pt idx="8">
                  <c:v>0.33461682242990648</c:v>
                </c:pt>
                <c:pt idx="9">
                  <c:v>0.37375700934579437</c:v>
                </c:pt>
                <c:pt idx="10">
                  <c:v>0.41289719626168225</c:v>
                </c:pt>
                <c:pt idx="11">
                  <c:v>0.45203738317757014</c:v>
                </c:pt>
                <c:pt idx="12">
                  <c:v>0.49117757009345792</c:v>
                </c:pt>
                <c:pt idx="13">
                  <c:v>0.5303177570093458</c:v>
                </c:pt>
                <c:pt idx="14">
                  <c:v>0.56945794392523363</c:v>
                </c:pt>
                <c:pt idx="15">
                  <c:v>0.60859813084112158</c:v>
                </c:pt>
                <c:pt idx="16">
                  <c:v>0.6477383177570093</c:v>
                </c:pt>
                <c:pt idx="17">
                  <c:v>0.68687850467289713</c:v>
                </c:pt>
                <c:pt idx="18">
                  <c:v>0.72601869158878507</c:v>
                </c:pt>
                <c:pt idx="19">
                  <c:v>0.76515887850467301</c:v>
                </c:pt>
                <c:pt idx="20">
                  <c:v>0.80429906542056073</c:v>
                </c:pt>
                <c:pt idx="21">
                  <c:v>0.84343925233644867</c:v>
                </c:pt>
                <c:pt idx="22">
                  <c:v>0.88257943925233651</c:v>
                </c:pt>
                <c:pt idx="23">
                  <c:v>0.92171962616822434</c:v>
                </c:pt>
                <c:pt idx="24">
                  <c:v>0.96085981308411217</c:v>
                </c:pt>
                <c:pt idx="25">
                  <c:v>1</c:v>
                </c:pt>
              </c:numCache>
            </c:numRef>
          </c:yVal>
          <c:smooth val="0"/>
        </c:ser>
        <c:ser>
          <c:idx val="2"/>
          <c:order val="2"/>
          <c:tx>
            <c:v>Power</c:v>
          </c:tx>
          <c:spPr>
            <a:ln w="12700"/>
          </c:spPr>
          <c:marker>
            <c:symbol val="none"/>
          </c:marker>
          <c:xVal>
            <c:numRef>
              <c:f>JeeseK_DT_Model!$AB$5:$AB$30</c:f>
              <c:numCache>
                <c:formatCode>General</c:formatCode>
                <c:ptCount val="26"/>
                <c:pt idx="0">
                  <c:v>0</c:v>
                </c:pt>
                <c:pt idx="1">
                  <c:v>0.04</c:v>
                </c:pt>
                <c:pt idx="2">
                  <c:v>0.08</c:v>
                </c:pt>
                <c:pt idx="3">
                  <c:v>0.12</c:v>
                </c:pt>
                <c:pt idx="4">
                  <c:v>0.16</c:v>
                </c:pt>
                <c:pt idx="5">
                  <c:v>0.2</c:v>
                </c:pt>
                <c:pt idx="6">
                  <c:v>0.24</c:v>
                </c:pt>
                <c:pt idx="7">
                  <c:v>0.27999999999999997</c:v>
                </c:pt>
                <c:pt idx="8">
                  <c:v>0.32</c:v>
                </c:pt>
                <c:pt idx="9">
                  <c:v>0.36</c:v>
                </c:pt>
                <c:pt idx="10">
                  <c:v>0.4</c:v>
                </c:pt>
                <c:pt idx="11">
                  <c:v>0.44</c:v>
                </c:pt>
                <c:pt idx="12">
                  <c:v>0.48</c:v>
                </c:pt>
                <c:pt idx="13">
                  <c:v>0.52</c:v>
                </c:pt>
                <c:pt idx="14">
                  <c:v>0.55999999999999994</c:v>
                </c:pt>
                <c:pt idx="15">
                  <c:v>0.6</c:v>
                </c:pt>
                <c:pt idx="16">
                  <c:v>0.64</c:v>
                </c:pt>
                <c:pt idx="17">
                  <c:v>0.67999999999999994</c:v>
                </c:pt>
                <c:pt idx="18">
                  <c:v>0.72</c:v>
                </c:pt>
                <c:pt idx="19">
                  <c:v>0.76</c:v>
                </c:pt>
                <c:pt idx="20">
                  <c:v>0.8</c:v>
                </c:pt>
                <c:pt idx="21">
                  <c:v>0.84000000000000008</c:v>
                </c:pt>
                <c:pt idx="22">
                  <c:v>0.88</c:v>
                </c:pt>
                <c:pt idx="23">
                  <c:v>0.92</c:v>
                </c:pt>
                <c:pt idx="24">
                  <c:v>0.96</c:v>
                </c:pt>
                <c:pt idx="25">
                  <c:v>1</c:v>
                </c:pt>
              </c:numCache>
            </c:numRef>
          </c:xVal>
          <c:yVal>
            <c:numRef>
              <c:f>JeeseK_DT_Model!$AE$5:$AE$30</c:f>
              <c:numCache>
                <c:formatCode>General</c:formatCode>
                <c:ptCount val="26"/>
                <c:pt idx="0">
                  <c:v>0</c:v>
                </c:pt>
                <c:pt idx="1">
                  <c:v>0.15384615384615385</c:v>
                </c:pt>
                <c:pt idx="2">
                  <c:v>0.29487179487179493</c:v>
                </c:pt>
                <c:pt idx="3">
                  <c:v>0.42307692307692307</c:v>
                </c:pt>
                <c:pt idx="4">
                  <c:v>0.53846153846153844</c:v>
                </c:pt>
                <c:pt idx="5">
                  <c:v>0.64102564102564108</c:v>
                </c:pt>
                <c:pt idx="6">
                  <c:v>0.73076923076923095</c:v>
                </c:pt>
                <c:pt idx="7">
                  <c:v>0.80769230769230771</c:v>
                </c:pt>
                <c:pt idx="8">
                  <c:v>0.87179487179487158</c:v>
                </c:pt>
                <c:pt idx="9">
                  <c:v>0.92307692307692313</c:v>
                </c:pt>
                <c:pt idx="10">
                  <c:v>0.96153846153846156</c:v>
                </c:pt>
                <c:pt idx="11">
                  <c:v>0.98717948717948734</c:v>
                </c:pt>
                <c:pt idx="12">
                  <c:v>1</c:v>
                </c:pt>
                <c:pt idx="13">
                  <c:v>1</c:v>
                </c:pt>
                <c:pt idx="14">
                  <c:v>0.98717948717948734</c:v>
                </c:pt>
                <c:pt idx="15">
                  <c:v>0.96153846153846134</c:v>
                </c:pt>
                <c:pt idx="16">
                  <c:v>0.92307692307692313</c:v>
                </c:pt>
                <c:pt idx="17">
                  <c:v>0.87179487179487214</c:v>
                </c:pt>
                <c:pt idx="18">
                  <c:v>0.80769230769230771</c:v>
                </c:pt>
                <c:pt idx="19">
                  <c:v>0.73076923076923095</c:v>
                </c:pt>
                <c:pt idx="20">
                  <c:v>0.64102564102564097</c:v>
                </c:pt>
                <c:pt idx="21">
                  <c:v>0.53846153846153832</c:v>
                </c:pt>
                <c:pt idx="22">
                  <c:v>0.42307692307692313</c:v>
                </c:pt>
                <c:pt idx="23">
                  <c:v>0.29487179487179471</c:v>
                </c:pt>
                <c:pt idx="24">
                  <c:v>0.15384615384615399</c:v>
                </c:pt>
                <c:pt idx="25">
                  <c:v>0</c:v>
                </c:pt>
              </c:numCache>
            </c:numRef>
          </c:yVal>
          <c:smooth val="0"/>
        </c:ser>
        <c:ser>
          <c:idx val="3"/>
          <c:order val="3"/>
          <c:tx>
            <c:v>Efficiency</c:v>
          </c:tx>
          <c:spPr>
            <a:ln w="25400"/>
          </c:spPr>
          <c:marker>
            <c:symbol val="none"/>
          </c:marker>
          <c:xVal>
            <c:numRef>
              <c:f>JeeseK_DT_Model!$AB$5:$AB$30</c:f>
              <c:numCache>
                <c:formatCode>General</c:formatCode>
                <c:ptCount val="26"/>
                <c:pt idx="0">
                  <c:v>0</c:v>
                </c:pt>
                <c:pt idx="1">
                  <c:v>0.04</c:v>
                </c:pt>
                <c:pt idx="2">
                  <c:v>0.08</c:v>
                </c:pt>
                <c:pt idx="3">
                  <c:v>0.12</c:v>
                </c:pt>
                <c:pt idx="4">
                  <c:v>0.16</c:v>
                </c:pt>
                <c:pt idx="5">
                  <c:v>0.2</c:v>
                </c:pt>
                <c:pt idx="6">
                  <c:v>0.24</c:v>
                </c:pt>
                <c:pt idx="7">
                  <c:v>0.27999999999999997</c:v>
                </c:pt>
                <c:pt idx="8">
                  <c:v>0.32</c:v>
                </c:pt>
                <c:pt idx="9">
                  <c:v>0.36</c:v>
                </c:pt>
                <c:pt idx="10">
                  <c:v>0.4</c:v>
                </c:pt>
                <c:pt idx="11">
                  <c:v>0.44</c:v>
                </c:pt>
                <c:pt idx="12">
                  <c:v>0.48</c:v>
                </c:pt>
                <c:pt idx="13">
                  <c:v>0.52</c:v>
                </c:pt>
                <c:pt idx="14">
                  <c:v>0.55999999999999994</c:v>
                </c:pt>
                <c:pt idx="15">
                  <c:v>0.6</c:v>
                </c:pt>
                <c:pt idx="16">
                  <c:v>0.64</c:v>
                </c:pt>
                <c:pt idx="17">
                  <c:v>0.67999999999999994</c:v>
                </c:pt>
                <c:pt idx="18">
                  <c:v>0.72</c:v>
                </c:pt>
                <c:pt idx="19">
                  <c:v>0.76</c:v>
                </c:pt>
                <c:pt idx="20">
                  <c:v>0.8</c:v>
                </c:pt>
                <c:pt idx="21">
                  <c:v>0.84000000000000008</c:v>
                </c:pt>
                <c:pt idx="22">
                  <c:v>0.88</c:v>
                </c:pt>
                <c:pt idx="23">
                  <c:v>0.92</c:v>
                </c:pt>
                <c:pt idx="24">
                  <c:v>0.96</c:v>
                </c:pt>
                <c:pt idx="25">
                  <c:v>1</c:v>
                </c:pt>
              </c:numCache>
            </c:numRef>
          </c:xVal>
          <c:yVal>
            <c:numRef>
              <c:f>JeeseK_DT_Model!$AF$5:$AF$30</c:f>
              <c:numCache>
                <c:formatCode>General</c:formatCode>
                <c:ptCount val="26"/>
                <c:pt idx="0">
                  <c:v>0</c:v>
                </c:pt>
                <c:pt idx="1">
                  <c:v>0.61688328840797457</c:v>
                </c:pt>
                <c:pt idx="2">
                  <c:v>0.71854152483289335</c:v>
                </c:pt>
                <c:pt idx="3">
                  <c:v>0.74047575563610613</c:v>
                </c:pt>
                <c:pt idx="4">
                  <c:v>0.73526063999413638</c:v>
                </c:pt>
                <c:pt idx="5">
                  <c:v>0.71757364730187523</c:v>
                </c:pt>
                <c:pt idx="6">
                  <c:v>0.69312779576188432</c:v>
                </c:pt>
                <c:pt idx="7">
                  <c:v>0.6646090134663597</c:v>
                </c:pt>
                <c:pt idx="8">
                  <c:v>0.63344653463529177</c:v>
                </c:pt>
                <c:pt idx="9">
                  <c:v>0.60047091046073309</c:v>
                </c:pt>
                <c:pt idx="10">
                  <c:v>0.56619776697472546</c:v>
                </c:pt>
                <c:pt idx="11">
                  <c:v>0.53096414587072438</c:v>
                </c:pt>
                <c:pt idx="12">
                  <c:v>0.49499965824532122</c:v>
                </c:pt>
                <c:pt idx="13">
                  <c:v>0.45846612926020558</c:v>
                </c:pt>
                <c:pt idx="14">
                  <c:v>0.42148089357767998</c:v>
                </c:pt>
                <c:pt idx="15">
                  <c:v>0.38413110173438825</c:v>
                </c:pt>
                <c:pt idx="16">
                  <c:v>0.34648283965986088</c:v>
                </c:pt>
                <c:pt idx="17">
                  <c:v>0.30858713026670831</c:v>
                </c:pt>
                <c:pt idx="18">
                  <c:v>0.27048399374069859</c:v>
                </c:pt>
                <c:pt idx="19">
                  <c:v>0.23220526165425251</c:v>
                </c:pt>
                <c:pt idx="20">
                  <c:v>0.1937765694085008</c:v>
                </c:pt>
                <c:pt idx="21">
                  <c:v>0.15521879391419513</c:v>
                </c:pt>
                <c:pt idx="22">
                  <c:v>0.11654910872734005</c:v>
                </c:pt>
                <c:pt idx="23">
                  <c:v>7.7781770351192034E-2</c:v>
                </c:pt>
                <c:pt idx="24">
                  <c:v>3.8928712360336765E-2</c:v>
                </c:pt>
                <c:pt idx="25">
                  <c:v>0</c:v>
                </c:pt>
              </c:numCache>
            </c:numRef>
          </c:yVal>
          <c:smooth val="0"/>
        </c:ser>
        <c:ser>
          <c:idx val="4"/>
          <c:order val="4"/>
          <c:tx>
            <c:v>Load</c:v>
          </c:tx>
          <c:spPr>
            <a:ln w="38100">
              <a:solidFill>
                <a:srgbClr val="FF0000"/>
              </a:solidFill>
            </a:ln>
          </c:spPr>
          <c:marker>
            <c:symbol val="none"/>
          </c:marker>
          <c:xVal>
            <c:numRef>
              <c:f>JeeseK_DT_Model!$S$14:$S$15</c:f>
              <c:numCache>
                <c:formatCode>0.000</c:formatCode>
                <c:ptCount val="2"/>
                <c:pt idx="0">
                  <c:v>0.18089866777885358</c:v>
                </c:pt>
                <c:pt idx="1">
                  <c:v>0.18089866777885358</c:v>
                </c:pt>
              </c:numCache>
            </c:numRef>
          </c:xVal>
          <c:yVal>
            <c:numRef>
              <c:f>JeeseK_DT_Model!$T$14:$T$15</c:f>
              <c:numCache>
                <c:formatCode>General</c:formatCode>
                <c:ptCount val="2"/>
                <c:pt idx="0">
                  <c:v>-1</c:v>
                </c:pt>
                <c:pt idx="1">
                  <c:v>2</c:v>
                </c:pt>
              </c:numCache>
            </c:numRef>
          </c:yVal>
          <c:smooth val="0"/>
        </c:ser>
        <c:dLbls>
          <c:showLegendKey val="0"/>
          <c:showVal val="0"/>
          <c:showCatName val="0"/>
          <c:showSerName val="0"/>
          <c:showPercent val="0"/>
          <c:showBubbleSize val="0"/>
        </c:dLbls>
        <c:axId val="94933376"/>
        <c:axId val="94935296"/>
      </c:scatterChart>
      <c:valAx>
        <c:axId val="94933376"/>
        <c:scaling>
          <c:orientation val="minMax"/>
          <c:max val="1"/>
          <c:min val="0"/>
        </c:scaling>
        <c:delete val="1"/>
        <c:axPos val="b"/>
        <c:majorGridlines>
          <c:spPr>
            <a:ln>
              <a:solidFill>
                <a:schemeClr val="bg1">
                  <a:lumMod val="85000"/>
                </a:schemeClr>
              </a:solidFill>
              <a:prstDash val="dash"/>
            </a:ln>
          </c:spPr>
        </c:majorGridlines>
        <c:numFmt formatCode="General" sourceLinked="1"/>
        <c:majorTickMark val="out"/>
        <c:minorTickMark val="none"/>
        <c:tickLblPos val="none"/>
        <c:crossAx val="94935296"/>
        <c:crosses val="autoZero"/>
        <c:crossBetween val="midCat"/>
      </c:valAx>
      <c:valAx>
        <c:axId val="94935296"/>
        <c:scaling>
          <c:orientation val="minMax"/>
          <c:max val="1"/>
          <c:min val="0"/>
        </c:scaling>
        <c:delete val="0"/>
        <c:axPos val="l"/>
        <c:majorGridlines>
          <c:spPr>
            <a:ln>
              <a:solidFill>
                <a:schemeClr val="bg1">
                  <a:lumMod val="85000"/>
                </a:schemeClr>
              </a:solidFill>
              <a:prstDash val="dash"/>
            </a:ln>
          </c:spPr>
        </c:majorGridlines>
        <c:numFmt formatCode="0%" sourceLinked="0"/>
        <c:majorTickMark val="out"/>
        <c:minorTickMark val="none"/>
        <c:tickLblPos val="nextTo"/>
        <c:txPr>
          <a:bodyPr/>
          <a:lstStyle/>
          <a:p>
            <a:pPr>
              <a:defRPr sz="900"/>
            </a:pPr>
            <a:endParaRPr lang="en-US"/>
          </a:p>
        </c:txPr>
        <c:crossAx val="94933376"/>
        <c:crosses val="autoZero"/>
        <c:crossBetween val="midCat"/>
        <c:majorUnit val="0.2"/>
      </c:valAx>
      <c:spPr>
        <a:ln w="12700">
          <a:solidFill>
            <a:schemeClr val="tx1"/>
          </a:solidFill>
        </a:ln>
      </c:spPr>
    </c:plotArea>
    <c:legend>
      <c:legendPos val="b"/>
      <c:layout>
        <c:manualLayout>
          <c:xMode val="edge"/>
          <c:yMode val="edge"/>
          <c:x val="0"/>
          <c:y val="0.85411277881211956"/>
          <c:w val="1"/>
          <c:h val="0.10909751665657177"/>
        </c:manualLayout>
      </c:layout>
      <c:overlay val="0"/>
      <c:txPr>
        <a:bodyPr/>
        <a:lstStyle/>
        <a:p>
          <a:pPr>
            <a:defRPr sz="900"/>
          </a:pPr>
          <a:endParaRPr lang="en-US"/>
        </a:p>
      </c:txPr>
    </c:legend>
    <c:plotVisOnly val="1"/>
    <c:dispBlanksAs val="gap"/>
    <c:showDLblsOverMax val="0"/>
  </c:chart>
  <c:spPr>
    <a:noFill/>
    <a:ln>
      <a:noFill/>
    </a:ln>
  </c:spPr>
  <c:printSettings>
    <c:headerFooter/>
    <c:pageMargins b="0.75000000000000389" l="0.70000000000000062" r="0.70000000000000062" t="0.750000000000003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828298471001395"/>
          <c:y val="3.1381972079866448E-2"/>
          <c:w val="0.76819110038990879"/>
          <c:h val="0.72916570298812322"/>
        </c:manualLayout>
      </c:layout>
      <c:scatterChart>
        <c:scatterStyle val="smoothMarker"/>
        <c:varyColors val="0"/>
        <c:ser>
          <c:idx val="0"/>
          <c:order val="0"/>
          <c:spPr>
            <a:ln w="31750">
              <a:solidFill>
                <a:schemeClr val="tx1"/>
              </a:solidFill>
            </a:ln>
          </c:spPr>
          <c:marker>
            <c:symbol val="none"/>
          </c:marker>
          <c:xVal>
            <c:numRef>
              <c:f>JeeseK_DT_Model!$W$34:$AF$34</c:f>
              <c:numCache>
                <c:formatCode>0.0</c:formatCode>
                <c:ptCount val="10"/>
                <c:pt idx="0">
                  <c:v>3</c:v>
                </c:pt>
                <c:pt idx="1">
                  <c:v>4.2222222222222223</c:v>
                </c:pt>
                <c:pt idx="2">
                  <c:v>5.4444444444444446</c:v>
                </c:pt>
                <c:pt idx="3">
                  <c:v>6.666666666666667</c:v>
                </c:pt>
                <c:pt idx="4">
                  <c:v>7.8888888888888893</c:v>
                </c:pt>
                <c:pt idx="5">
                  <c:v>9.1111111111111107</c:v>
                </c:pt>
                <c:pt idx="6">
                  <c:v>10.333333333333332</c:v>
                </c:pt>
                <c:pt idx="7">
                  <c:v>11.555555555555554</c:v>
                </c:pt>
                <c:pt idx="8">
                  <c:v>12.777777777777775</c:v>
                </c:pt>
                <c:pt idx="9">
                  <c:v>13.999999999999996</c:v>
                </c:pt>
              </c:numCache>
            </c:numRef>
          </c:xVal>
          <c:yVal>
            <c:numRef>
              <c:f>JeeseK_DT_Model!$W$49:$AF$49</c:f>
              <c:numCache>
                <c:formatCode>0.0</c:formatCode>
                <c:ptCount val="10"/>
                <c:pt idx="0">
                  <c:v>1.851871738624669</c:v>
                </c:pt>
                <c:pt idx="1">
                  <c:v>1.8221898957134377</c:v>
                </c:pt>
                <c:pt idx="2">
                  <c:v>1.9352781771159591</c:v>
                </c:pt>
                <c:pt idx="3">
                  <c:v>2.1372992923793999</c:v>
                </c:pt>
                <c:pt idx="4">
                  <c:v>2.3893690652095234</c:v>
                </c:pt>
                <c:pt idx="5">
                  <c:v>2.6682859427686223</c:v>
                </c:pt>
                <c:pt idx="6">
                  <c:v>2.9623724597805308</c:v>
                </c:pt>
                <c:pt idx="7">
                  <c:v>3.2656741839590691</c:v>
                </c:pt>
                <c:pt idx="8">
                  <c:v>3.574896362860891</c:v>
                </c:pt>
                <c:pt idx="9">
                  <c:v>3.888095825833159</c:v>
                </c:pt>
              </c:numCache>
            </c:numRef>
          </c:yVal>
          <c:smooth val="1"/>
        </c:ser>
        <c:ser>
          <c:idx val="1"/>
          <c:order val="1"/>
          <c:spPr>
            <a:ln>
              <a:solidFill>
                <a:srgbClr val="FF0000"/>
              </a:solidFill>
              <a:prstDash val="sysDot"/>
            </a:ln>
          </c:spPr>
          <c:marker>
            <c:symbol val="none"/>
          </c:marker>
          <c:xVal>
            <c:numRef>
              <c:f>JeeseK_DT_Model!$S$28:$S$29</c:f>
              <c:numCache>
                <c:formatCode>0.000</c:formatCode>
                <c:ptCount val="2"/>
                <c:pt idx="0">
                  <c:v>5.238095238095239</c:v>
                </c:pt>
                <c:pt idx="1">
                  <c:v>5.238095238095239</c:v>
                </c:pt>
              </c:numCache>
            </c:numRef>
          </c:xVal>
          <c:yVal>
            <c:numRef>
              <c:f>JeeseK_DT_Model!$T$28:$T$29</c:f>
              <c:numCache>
                <c:formatCode>0.00</c:formatCode>
                <c:ptCount val="2"/>
                <c:pt idx="0" formatCode="General">
                  <c:v>0</c:v>
                </c:pt>
                <c:pt idx="1">
                  <c:v>1.909248865154008</c:v>
                </c:pt>
              </c:numCache>
            </c:numRef>
          </c:yVal>
          <c:smooth val="1"/>
        </c:ser>
        <c:dLbls>
          <c:showLegendKey val="0"/>
          <c:showVal val="0"/>
          <c:showCatName val="0"/>
          <c:showSerName val="0"/>
          <c:showPercent val="0"/>
          <c:showBubbleSize val="0"/>
        </c:dLbls>
        <c:axId val="100785536"/>
        <c:axId val="101975168"/>
      </c:scatterChart>
      <c:valAx>
        <c:axId val="100785536"/>
        <c:scaling>
          <c:orientation val="minMax"/>
          <c:max val="15"/>
          <c:min val="3"/>
        </c:scaling>
        <c:delete val="0"/>
        <c:axPos val="b"/>
        <c:majorGridlines>
          <c:spPr>
            <a:ln>
              <a:solidFill>
                <a:schemeClr val="bg1">
                  <a:lumMod val="75000"/>
                </a:schemeClr>
              </a:solidFill>
              <a:prstDash val="dash"/>
            </a:ln>
          </c:spPr>
        </c:majorGridlines>
        <c:numFmt formatCode="0\ &quot;: 1&quot;" sourceLinked="0"/>
        <c:majorTickMark val="out"/>
        <c:minorTickMark val="none"/>
        <c:tickLblPos val="nextTo"/>
        <c:txPr>
          <a:bodyPr/>
          <a:lstStyle/>
          <a:p>
            <a:pPr>
              <a:defRPr sz="900"/>
            </a:pPr>
            <a:endParaRPr lang="en-US"/>
          </a:p>
        </c:txPr>
        <c:crossAx val="101975168"/>
        <c:crosses val="autoZero"/>
        <c:crossBetween val="midCat"/>
        <c:majorUnit val="2"/>
      </c:valAx>
      <c:valAx>
        <c:axId val="101975168"/>
        <c:scaling>
          <c:orientation val="minMax"/>
          <c:max val="5"/>
          <c:min val="0"/>
        </c:scaling>
        <c:delete val="0"/>
        <c:axPos val="l"/>
        <c:majorGridlines>
          <c:spPr>
            <a:ln>
              <a:solidFill>
                <a:schemeClr val="bg1">
                  <a:lumMod val="75000"/>
                </a:schemeClr>
              </a:solidFill>
              <a:prstDash val="dash"/>
            </a:ln>
          </c:spPr>
        </c:majorGridlines>
        <c:numFmt formatCode="0.0" sourceLinked="0"/>
        <c:majorTickMark val="out"/>
        <c:minorTickMark val="none"/>
        <c:tickLblPos val="nextTo"/>
        <c:txPr>
          <a:bodyPr/>
          <a:lstStyle/>
          <a:p>
            <a:pPr>
              <a:defRPr sz="800" b="1"/>
            </a:pPr>
            <a:endParaRPr lang="en-US"/>
          </a:p>
        </c:txPr>
        <c:crossAx val="100785536"/>
        <c:crosses val="autoZero"/>
        <c:crossBetween val="midCat"/>
      </c:valAx>
      <c:spPr>
        <a:ln>
          <a:solidFill>
            <a:schemeClr val="tx1"/>
          </a:solidFill>
        </a:ln>
      </c:spPr>
    </c:plotArea>
    <c:plotVisOnly val="1"/>
    <c:dispBlanksAs val="gap"/>
    <c:showDLblsOverMax val="0"/>
  </c:chart>
  <c:spPr>
    <a:noFill/>
    <a:ln>
      <a:noFill/>
    </a:ln>
  </c:spPr>
  <c:printSettings>
    <c:headerFooter/>
    <c:pageMargins b="0.75000000000000366" l="0.70000000000000062" r="0.70000000000000062" t="0.750000000000003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0559325901124378E-2"/>
          <c:y val="5.1363615562078094E-2"/>
          <c:w val="0.9853431553509544"/>
          <c:h val="0.71451965898170089"/>
        </c:manualLayout>
      </c:layout>
      <c:scatterChart>
        <c:scatterStyle val="smoothMarker"/>
        <c:varyColors val="0"/>
        <c:ser>
          <c:idx val="0"/>
          <c:order val="0"/>
          <c:tx>
            <c:v>Current Draw (mAh)</c:v>
          </c:tx>
          <c:spPr>
            <a:ln w="25400">
              <a:solidFill>
                <a:schemeClr val="tx1"/>
              </a:solidFill>
            </a:ln>
          </c:spPr>
          <c:marker>
            <c:symbol val="none"/>
          </c:marker>
          <c:xVal>
            <c:numRef>
              <c:f>JeeseK_DT_Model!$W$34:$AF$34</c:f>
              <c:numCache>
                <c:formatCode>0.0</c:formatCode>
                <c:ptCount val="10"/>
                <c:pt idx="0">
                  <c:v>3</c:v>
                </c:pt>
                <c:pt idx="1">
                  <c:v>4.2222222222222223</c:v>
                </c:pt>
                <c:pt idx="2">
                  <c:v>5.4444444444444446</c:v>
                </c:pt>
                <c:pt idx="3">
                  <c:v>6.666666666666667</c:v>
                </c:pt>
                <c:pt idx="4">
                  <c:v>7.8888888888888893</c:v>
                </c:pt>
                <c:pt idx="5">
                  <c:v>9.1111111111111107</c:v>
                </c:pt>
                <c:pt idx="6">
                  <c:v>10.333333333333332</c:v>
                </c:pt>
                <c:pt idx="7">
                  <c:v>11.555555555555554</c:v>
                </c:pt>
                <c:pt idx="8">
                  <c:v>12.777777777777775</c:v>
                </c:pt>
                <c:pt idx="9">
                  <c:v>13.999999999999996</c:v>
                </c:pt>
              </c:numCache>
            </c:numRef>
          </c:xVal>
          <c:yVal>
            <c:numRef>
              <c:f>JeeseK_DT_Model!$W$60:$AF$60</c:f>
              <c:numCache>
                <c:formatCode>0</c:formatCode>
                <c:ptCount val="10"/>
                <c:pt idx="0">
                  <c:v>773.22394649745866</c:v>
                </c:pt>
                <c:pt idx="1">
                  <c:v>388.48555676125227</c:v>
                </c:pt>
                <c:pt idx="2">
                  <c:v>232.20925360181133</c:v>
                </c:pt>
                <c:pt idx="3">
                  <c:v>154.06774511974245</c:v>
                </c:pt>
                <c:pt idx="4">
                  <c:v>109.5754472241963</c:v>
                </c:pt>
                <c:pt idx="5">
                  <c:v>81.886407224921925</c:v>
                </c:pt>
                <c:pt idx="6">
                  <c:v>63.502602050553975</c:v>
                </c:pt>
                <c:pt idx="7">
                  <c:v>50.681266029354404</c:v>
                </c:pt>
                <c:pt idx="8">
                  <c:v>41.386712295409041</c:v>
                </c:pt>
                <c:pt idx="9">
                  <c:v>34.435292109263017</c:v>
                </c:pt>
              </c:numCache>
            </c:numRef>
          </c:yVal>
          <c:smooth val="1"/>
        </c:ser>
        <c:ser>
          <c:idx val="1"/>
          <c:order val="1"/>
          <c:tx>
            <c:v>Design</c:v>
          </c:tx>
          <c:spPr>
            <a:ln w="31750">
              <a:solidFill>
                <a:srgbClr val="FF0000"/>
              </a:solidFill>
              <a:prstDash val="sysDot"/>
            </a:ln>
          </c:spPr>
          <c:marker>
            <c:symbol val="none"/>
          </c:marker>
          <c:xVal>
            <c:numRef>
              <c:f>JeeseK_DT_Model!$S$28:$S$29</c:f>
              <c:numCache>
                <c:formatCode>0.000</c:formatCode>
                <c:ptCount val="2"/>
                <c:pt idx="0">
                  <c:v>5.238095238095239</c:v>
                </c:pt>
                <c:pt idx="1">
                  <c:v>5.238095238095239</c:v>
                </c:pt>
              </c:numCache>
            </c:numRef>
          </c:xVal>
          <c:yVal>
            <c:numLit>
              <c:formatCode>General</c:formatCode>
              <c:ptCount val="2"/>
              <c:pt idx="0">
                <c:v>0</c:v>
              </c:pt>
              <c:pt idx="1">
                <c:v>1500</c:v>
              </c:pt>
            </c:numLit>
          </c:yVal>
          <c:smooth val="1"/>
        </c:ser>
        <c:dLbls>
          <c:showLegendKey val="0"/>
          <c:showVal val="0"/>
          <c:showCatName val="0"/>
          <c:showSerName val="0"/>
          <c:showPercent val="0"/>
          <c:showBubbleSize val="0"/>
        </c:dLbls>
        <c:axId val="102001664"/>
        <c:axId val="114205440"/>
      </c:scatterChart>
      <c:valAx>
        <c:axId val="102001664"/>
        <c:scaling>
          <c:orientation val="minMax"/>
          <c:max val="15"/>
          <c:min val="3"/>
        </c:scaling>
        <c:delete val="0"/>
        <c:axPos val="b"/>
        <c:majorGridlines>
          <c:spPr>
            <a:ln>
              <a:solidFill>
                <a:schemeClr val="bg1">
                  <a:lumMod val="75000"/>
                </a:schemeClr>
              </a:solidFill>
              <a:prstDash val="dash"/>
            </a:ln>
          </c:spPr>
        </c:majorGridlines>
        <c:numFmt formatCode="0\ &quot;: 1&quot;" sourceLinked="0"/>
        <c:majorTickMark val="out"/>
        <c:minorTickMark val="none"/>
        <c:tickLblPos val="none"/>
        <c:crossAx val="114205440"/>
        <c:crosses val="autoZero"/>
        <c:crossBetween val="midCat"/>
        <c:majorUnit val="2"/>
      </c:valAx>
      <c:valAx>
        <c:axId val="114205440"/>
        <c:scaling>
          <c:orientation val="minMax"/>
          <c:max val="1000"/>
          <c:min val="0"/>
        </c:scaling>
        <c:delete val="0"/>
        <c:axPos val="l"/>
        <c:majorGridlines>
          <c:spPr>
            <a:ln>
              <a:solidFill>
                <a:schemeClr val="bg1">
                  <a:lumMod val="75000"/>
                </a:schemeClr>
              </a:solidFill>
              <a:prstDash val="dash"/>
            </a:ln>
          </c:spPr>
        </c:majorGridlines>
        <c:numFmt formatCode="0" sourceLinked="1"/>
        <c:majorTickMark val="out"/>
        <c:minorTickMark val="none"/>
        <c:tickLblPos val="none"/>
        <c:crossAx val="102001664"/>
        <c:crosses val="autoZero"/>
        <c:crossBetween val="midCat"/>
        <c:majorUnit val="250"/>
      </c:valAx>
      <c:spPr>
        <a:ln w="12700">
          <a:solidFill>
            <a:schemeClr val="tx1"/>
          </a:solidFill>
        </a:ln>
      </c:spPr>
    </c:plotArea>
    <c:plotVisOnly val="1"/>
    <c:dispBlanksAs val="gap"/>
    <c:showDLblsOverMax val="0"/>
  </c:chart>
  <c:spPr>
    <a:noFill/>
    <a:ln w="0">
      <a:noFill/>
    </a:ln>
  </c:spPr>
  <c:printSettings>
    <c:headerFooter/>
    <c:pageMargins b="0.750000000000001" l="0.70000000000000062" r="0.70000000000000062" t="0.75000000000000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08543195556667"/>
          <c:y val="2.3391812865497082E-2"/>
          <c:w val="0.77462172752485436"/>
          <c:h val="0.7434737763042788"/>
        </c:manualLayout>
      </c:layout>
      <c:scatterChart>
        <c:scatterStyle val="lineMarker"/>
        <c:varyColors val="0"/>
        <c:ser>
          <c:idx val="0"/>
          <c:order val="0"/>
          <c:tx>
            <c:v>Pushing Power (lbs)</c:v>
          </c:tx>
          <c:spPr>
            <a:ln w="25400">
              <a:solidFill>
                <a:schemeClr val="tx1"/>
              </a:solidFill>
            </a:ln>
          </c:spPr>
          <c:marker>
            <c:symbol val="none"/>
          </c:marker>
          <c:xVal>
            <c:numRef>
              <c:f>JeeseK_DT_Model!$W$34:$AF$34</c:f>
              <c:numCache>
                <c:formatCode>0.0</c:formatCode>
                <c:ptCount val="10"/>
                <c:pt idx="0">
                  <c:v>3</c:v>
                </c:pt>
                <c:pt idx="1">
                  <c:v>4.2222222222222223</c:v>
                </c:pt>
                <c:pt idx="2">
                  <c:v>5.4444444444444446</c:v>
                </c:pt>
                <c:pt idx="3">
                  <c:v>6.666666666666667</c:v>
                </c:pt>
                <c:pt idx="4">
                  <c:v>7.8888888888888893</c:v>
                </c:pt>
                <c:pt idx="5">
                  <c:v>9.1111111111111107</c:v>
                </c:pt>
                <c:pt idx="6">
                  <c:v>10.333333333333332</c:v>
                </c:pt>
                <c:pt idx="7">
                  <c:v>11.555555555555554</c:v>
                </c:pt>
                <c:pt idx="8">
                  <c:v>12.777777777777775</c:v>
                </c:pt>
                <c:pt idx="9">
                  <c:v>13.999999999999996</c:v>
                </c:pt>
              </c:numCache>
            </c:numRef>
          </c:xVal>
          <c:yVal>
            <c:numRef>
              <c:f>JeeseK_DT_Model!$W$61:$AF$61</c:f>
              <c:numCache>
                <c:formatCode>0</c:formatCode>
                <c:ptCount val="10"/>
                <c:pt idx="0">
                  <c:v>67.922324173805706</c:v>
                </c:pt>
                <c:pt idx="1">
                  <c:v>95.59438217054138</c:v>
                </c:pt>
                <c:pt idx="2">
                  <c:v>123.26644016727704</c:v>
                </c:pt>
                <c:pt idx="3">
                  <c:v>134.10942187499998</c:v>
                </c:pt>
                <c:pt idx="4">
                  <c:v>134.10942187499998</c:v>
                </c:pt>
                <c:pt idx="5">
                  <c:v>134.10942187499998</c:v>
                </c:pt>
                <c:pt idx="6">
                  <c:v>134.10942187499998</c:v>
                </c:pt>
                <c:pt idx="7">
                  <c:v>134.10942187499998</c:v>
                </c:pt>
                <c:pt idx="8">
                  <c:v>134.10942187499998</c:v>
                </c:pt>
                <c:pt idx="9">
                  <c:v>134.10942187499998</c:v>
                </c:pt>
              </c:numCache>
            </c:numRef>
          </c:yVal>
          <c:smooth val="0"/>
        </c:ser>
        <c:ser>
          <c:idx val="1"/>
          <c:order val="1"/>
          <c:tx>
            <c:v>Design</c:v>
          </c:tx>
          <c:spPr>
            <a:ln w="31750">
              <a:solidFill>
                <a:srgbClr val="FF0000"/>
              </a:solidFill>
              <a:prstDash val="sysDot"/>
            </a:ln>
          </c:spPr>
          <c:marker>
            <c:symbol val="none"/>
          </c:marker>
          <c:xVal>
            <c:numRef>
              <c:f>JeeseK_DT_Model!$S$28:$S$29</c:f>
              <c:numCache>
                <c:formatCode>0.000</c:formatCode>
                <c:ptCount val="2"/>
                <c:pt idx="0">
                  <c:v>5.238095238095239</c:v>
                </c:pt>
                <c:pt idx="1">
                  <c:v>5.238095238095239</c:v>
                </c:pt>
              </c:numCache>
            </c:numRef>
          </c:xVal>
          <c:yVal>
            <c:numLit>
              <c:formatCode>General</c:formatCode>
              <c:ptCount val="2"/>
              <c:pt idx="0">
                <c:v>0</c:v>
              </c:pt>
              <c:pt idx="1">
                <c:v>200</c:v>
              </c:pt>
            </c:numLit>
          </c:yVal>
          <c:smooth val="0"/>
        </c:ser>
        <c:dLbls>
          <c:showLegendKey val="0"/>
          <c:showVal val="0"/>
          <c:showCatName val="0"/>
          <c:showSerName val="0"/>
          <c:showPercent val="0"/>
          <c:showBubbleSize val="0"/>
        </c:dLbls>
        <c:axId val="116415488"/>
        <c:axId val="116437760"/>
      </c:scatterChart>
      <c:valAx>
        <c:axId val="116415488"/>
        <c:scaling>
          <c:orientation val="minMax"/>
          <c:max val="15"/>
          <c:min val="3"/>
        </c:scaling>
        <c:delete val="0"/>
        <c:axPos val="b"/>
        <c:majorGridlines>
          <c:spPr>
            <a:ln>
              <a:solidFill>
                <a:schemeClr val="bg1">
                  <a:lumMod val="75000"/>
                </a:schemeClr>
              </a:solidFill>
              <a:prstDash val="dash"/>
            </a:ln>
          </c:spPr>
        </c:majorGridlines>
        <c:numFmt formatCode="0.0" sourceLinked="1"/>
        <c:majorTickMark val="out"/>
        <c:minorTickMark val="none"/>
        <c:tickLblPos val="none"/>
        <c:crossAx val="116437760"/>
        <c:crosses val="autoZero"/>
        <c:crossBetween val="midCat"/>
        <c:majorUnit val="2"/>
      </c:valAx>
      <c:valAx>
        <c:axId val="116437760"/>
        <c:scaling>
          <c:orientation val="minMax"/>
          <c:max val="200"/>
          <c:min val="0"/>
        </c:scaling>
        <c:delete val="0"/>
        <c:axPos val="l"/>
        <c:majorGridlines>
          <c:spPr>
            <a:ln>
              <a:solidFill>
                <a:schemeClr val="bg1">
                  <a:lumMod val="75000"/>
                </a:schemeClr>
              </a:solidFill>
              <a:prstDash val="dash"/>
            </a:ln>
          </c:spPr>
        </c:majorGridlines>
        <c:numFmt formatCode="0" sourceLinked="1"/>
        <c:majorTickMark val="out"/>
        <c:minorTickMark val="none"/>
        <c:tickLblPos val="nextTo"/>
        <c:txPr>
          <a:bodyPr/>
          <a:lstStyle/>
          <a:p>
            <a:pPr>
              <a:defRPr b="1"/>
            </a:pPr>
            <a:endParaRPr lang="en-US"/>
          </a:p>
        </c:txPr>
        <c:crossAx val="116415488"/>
        <c:crosses val="autoZero"/>
        <c:crossBetween val="midCat"/>
        <c:majorUnit val="50"/>
      </c:valAx>
      <c:spPr>
        <a:ln>
          <a:solidFill>
            <a:schemeClr val="tx1"/>
          </a:solidFill>
        </a:ln>
      </c:spPr>
    </c:plotArea>
    <c:plotVisOnly val="1"/>
    <c:dispBlanksAs val="gap"/>
    <c:showDLblsOverMax val="0"/>
  </c:chart>
  <c:spPr>
    <a:noFill/>
    <a:ln>
      <a:noFill/>
    </a:ln>
  </c:spPr>
  <c:printSettings>
    <c:headerFooter/>
    <c:pageMargins b="0.75000000000000089" l="0.70000000000000062" r="0.70000000000000062" t="0.750000000000000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57660563513888"/>
          <c:y val="0.17753347261581054"/>
          <c:w val="0.82698478955190846"/>
          <c:h val="0.75878476980838305"/>
        </c:manualLayout>
      </c:layout>
      <c:scatterChart>
        <c:scatterStyle val="smoothMarker"/>
        <c:varyColors val="0"/>
        <c:ser>
          <c:idx val="0"/>
          <c:order val="0"/>
          <c:tx>
            <c:v>Current Draw (A)</c:v>
          </c:tx>
          <c:spPr>
            <a:ln w="25400">
              <a:solidFill>
                <a:sysClr val="windowText" lastClr="000000"/>
              </a:solidFill>
            </a:ln>
          </c:spPr>
          <c:marker>
            <c:symbol val="none"/>
          </c:marker>
          <c:xVal>
            <c:numRef>
              <c:f>JeeseK_DT_Model!$W$34:$AF$34</c:f>
              <c:numCache>
                <c:formatCode>0.0</c:formatCode>
                <c:ptCount val="10"/>
                <c:pt idx="0">
                  <c:v>3</c:v>
                </c:pt>
                <c:pt idx="1">
                  <c:v>4.2222222222222223</c:v>
                </c:pt>
                <c:pt idx="2">
                  <c:v>5.4444444444444446</c:v>
                </c:pt>
                <c:pt idx="3">
                  <c:v>6.666666666666667</c:v>
                </c:pt>
                <c:pt idx="4">
                  <c:v>7.8888888888888893</c:v>
                </c:pt>
                <c:pt idx="5">
                  <c:v>9.1111111111111107</c:v>
                </c:pt>
                <c:pt idx="6">
                  <c:v>10.333333333333332</c:v>
                </c:pt>
                <c:pt idx="7">
                  <c:v>11.555555555555554</c:v>
                </c:pt>
                <c:pt idx="8">
                  <c:v>12.777777777777775</c:v>
                </c:pt>
                <c:pt idx="9">
                  <c:v>13.999999999999996</c:v>
                </c:pt>
              </c:numCache>
            </c:numRef>
          </c:xVal>
          <c:yVal>
            <c:numRef>
              <c:f>JeeseK_DT_Model!$W$62:$AF$62</c:f>
              <c:numCache>
                <c:formatCode>0</c:formatCode>
                <c:ptCount val="10"/>
                <c:pt idx="0">
                  <c:v>141.47999725771791</c:v>
                </c:pt>
                <c:pt idx="1">
                  <c:v>103.18841910416799</c:v>
                </c:pt>
                <c:pt idx="2">
                  <c:v>82.088978080783335</c:v>
                </c:pt>
                <c:pt idx="3">
                  <c:v>68.72599876597306</c:v>
                </c:pt>
                <c:pt idx="4">
                  <c:v>59.503660928991323</c:v>
                </c:pt>
                <c:pt idx="5">
                  <c:v>52.755608853151031</c:v>
                </c:pt>
                <c:pt idx="6">
                  <c:v>47.603870171595531</c:v>
                </c:pt>
                <c:pt idx="7">
                  <c:v>43.541922364984472</c:v>
                </c:pt>
                <c:pt idx="8">
                  <c:v>40.25704283442073</c:v>
                </c:pt>
                <c:pt idx="9">
                  <c:v>37.545713698082423</c:v>
                </c:pt>
              </c:numCache>
            </c:numRef>
          </c:yVal>
          <c:smooth val="1"/>
        </c:ser>
        <c:ser>
          <c:idx val="1"/>
          <c:order val="1"/>
          <c:tx>
            <c:v>Design</c:v>
          </c:tx>
          <c:spPr>
            <a:ln w="31750">
              <a:solidFill>
                <a:srgbClr val="FF0000"/>
              </a:solidFill>
              <a:prstDash val="sysDot"/>
            </a:ln>
          </c:spPr>
          <c:marker>
            <c:symbol val="none"/>
          </c:marker>
          <c:xVal>
            <c:numRef>
              <c:f>JeeseK_DT_Model!$S$28:$S$29</c:f>
              <c:numCache>
                <c:formatCode>0.000</c:formatCode>
                <c:ptCount val="2"/>
                <c:pt idx="0">
                  <c:v>5.238095238095239</c:v>
                </c:pt>
                <c:pt idx="1">
                  <c:v>5.238095238095239</c:v>
                </c:pt>
              </c:numCache>
            </c:numRef>
          </c:xVal>
          <c:yVal>
            <c:numLit>
              <c:formatCode>General</c:formatCode>
              <c:ptCount val="2"/>
              <c:pt idx="0">
                <c:v>0</c:v>
              </c:pt>
              <c:pt idx="1">
                <c:v>120</c:v>
              </c:pt>
            </c:numLit>
          </c:yVal>
          <c:smooth val="1"/>
        </c:ser>
        <c:dLbls>
          <c:showLegendKey val="0"/>
          <c:showVal val="0"/>
          <c:showCatName val="0"/>
          <c:showSerName val="0"/>
          <c:showPercent val="0"/>
          <c:showBubbleSize val="0"/>
        </c:dLbls>
        <c:axId val="132110592"/>
        <c:axId val="212767104"/>
      </c:scatterChart>
      <c:valAx>
        <c:axId val="132110592"/>
        <c:scaling>
          <c:orientation val="minMax"/>
          <c:max val="15"/>
          <c:min val="3"/>
        </c:scaling>
        <c:delete val="0"/>
        <c:axPos val="b"/>
        <c:majorGridlines>
          <c:spPr>
            <a:ln>
              <a:solidFill>
                <a:schemeClr val="bg1">
                  <a:lumMod val="75000"/>
                </a:schemeClr>
              </a:solidFill>
              <a:prstDash val="dash"/>
            </a:ln>
          </c:spPr>
        </c:majorGridlines>
        <c:numFmt formatCode="0.0" sourceLinked="1"/>
        <c:majorTickMark val="out"/>
        <c:minorTickMark val="none"/>
        <c:tickLblPos val="none"/>
        <c:crossAx val="212767104"/>
        <c:crosses val="autoZero"/>
        <c:crossBetween val="midCat"/>
        <c:majorUnit val="2"/>
      </c:valAx>
      <c:valAx>
        <c:axId val="212767104"/>
        <c:scaling>
          <c:orientation val="minMax"/>
          <c:max val="150"/>
          <c:min val="0"/>
        </c:scaling>
        <c:delete val="0"/>
        <c:axPos val="l"/>
        <c:majorGridlines>
          <c:spPr>
            <a:ln>
              <a:solidFill>
                <a:sysClr val="window" lastClr="FFFFFF">
                  <a:lumMod val="75000"/>
                </a:sysClr>
              </a:solidFill>
              <a:prstDash val="dash"/>
            </a:ln>
          </c:spPr>
        </c:majorGridlines>
        <c:numFmt formatCode="0" sourceLinked="1"/>
        <c:majorTickMark val="out"/>
        <c:minorTickMark val="none"/>
        <c:tickLblPos val="nextTo"/>
        <c:txPr>
          <a:bodyPr/>
          <a:lstStyle/>
          <a:p>
            <a:pPr>
              <a:defRPr sz="900" b="1"/>
            </a:pPr>
            <a:endParaRPr lang="en-US"/>
          </a:p>
        </c:txPr>
        <c:crossAx val="132110592"/>
        <c:crosses val="autoZero"/>
        <c:crossBetween val="midCat"/>
        <c:majorUnit val="20"/>
      </c:valAx>
      <c:spPr>
        <a:ln>
          <a:solidFill>
            <a:schemeClr val="tx1"/>
          </a:solidFill>
        </a:ln>
      </c:spPr>
    </c:plotArea>
    <c:plotVisOnly val="1"/>
    <c:dispBlanksAs val="gap"/>
    <c:showDLblsOverMax val="0"/>
  </c:chart>
  <c:spPr>
    <a:noFill/>
    <a:ln>
      <a:noFill/>
    </a:ln>
  </c:spPr>
  <c:printSettings>
    <c:headerFooter/>
    <c:pageMargins b="0.75000000000000089" l="0.70000000000000062" r="0.70000000000000062" t="0.7500000000000008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9616476798225694E-2"/>
          <c:y val="0.10781705516228807"/>
          <c:w val="0.63075011050060803"/>
          <c:h val="0.80735775728931747"/>
        </c:manualLayout>
      </c:layout>
      <c:scatterChart>
        <c:scatterStyle val="smoothMarker"/>
        <c:varyColors val="0"/>
        <c:ser>
          <c:idx val="0"/>
          <c:order val="0"/>
          <c:tx>
            <c:strRef>
              <c:f>'Linear Device Motor Selector'!$AA$3</c:f>
              <c:strCache>
                <c:ptCount val="1"/>
                <c:pt idx="0">
                  <c:v>RPM</c:v>
                </c:pt>
              </c:strCache>
            </c:strRef>
          </c:tx>
          <c:marker>
            <c:symbol val="none"/>
          </c:marker>
          <c:xVal>
            <c:numRef>
              <c:f>'Linear Device Motor Selector'!$U$4:$U$24</c:f>
              <c:numCache>
                <c:formatCode>_(* #,##0.00_);_(* \(#,##0.00\);_(* "-"??_);_(@_)</c:formatCode>
                <c:ptCount val="21"/>
                <c:pt idx="0">
                  <c:v>0</c:v>
                </c:pt>
                <c:pt idx="1">
                  <c:v>1.8968750000000001</c:v>
                </c:pt>
                <c:pt idx="2">
                  <c:v>3.7937500000000002</c:v>
                </c:pt>
                <c:pt idx="3">
                  <c:v>5.6906249999999998</c:v>
                </c:pt>
                <c:pt idx="4">
                  <c:v>7.5875000000000004</c:v>
                </c:pt>
                <c:pt idx="5">
                  <c:v>9.484375</c:v>
                </c:pt>
                <c:pt idx="6">
                  <c:v>11.38125</c:v>
                </c:pt>
                <c:pt idx="7">
                  <c:v>13.278124999999999</c:v>
                </c:pt>
                <c:pt idx="8">
                  <c:v>15.175000000000001</c:v>
                </c:pt>
                <c:pt idx="9">
                  <c:v>17.071874999999999</c:v>
                </c:pt>
                <c:pt idx="10">
                  <c:v>18.96875</c:v>
                </c:pt>
                <c:pt idx="11">
                  <c:v>20.865625000000001</c:v>
                </c:pt>
                <c:pt idx="12">
                  <c:v>22.762499999999999</c:v>
                </c:pt>
                <c:pt idx="13">
                  <c:v>24.659375000000001</c:v>
                </c:pt>
                <c:pt idx="14">
                  <c:v>26.556249999999999</c:v>
                </c:pt>
                <c:pt idx="15">
                  <c:v>28.453125</c:v>
                </c:pt>
                <c:pt idx="16">
                  <c:v>30.35</c:v>
                </c:pt>
                <c:pt idx="17">
                  <c:v>32.246875000000003</c:v>
                </c:pt>
                <c:pt idx="18">
                  <c:v>34.143749999999997</c:v>
                </c:pt>
                <c:pt idx="19">
                  <c:v>36.040624999999999</c:v>
                </c:pt>
                <c:pt idx="20">
                  <c:v>37.9375</c:v>
                </c:pt>
              </c:numCache>
            </c:numRef>
          </c:xVal>
          <c:yVal>
            <c:numRef>
              <c:f>'Linear Device Motor Selector'!$AA$4:$AA$24</c:f>
              <c:numCache>
                <c:formatCode>_(* #,##0_);_(* \(#,##0\);_(* "-"??_);_(@_)</c:formatCode>
                <c:ptCount val="21"/>
                <c:pt idx="0">
                  <c:v>133.33333333333334</c:v>
                </c:pt>
                <c:pt idx="1">
                  <c:v>126.6666666666667</c:v>
                </c:pt>
                <c:pt idx="2">
                  <c:v>120</c:v>
                </c:pt>
                <c:pt idx="3">
                  <c:v>113.33333333333333</c:v>
                </c:pt>
                <c:pt idx="4">
                  <c:v>106.66666666666667</c:v>
                </c:pt>
                <c:pt idx="5">
                  <c:v>99.999999999999986</c:v>
                </c:pt>
                <c:pt idx="6">
                  <c:v>93.333333333333343</c:v>
                </c:pt>
                <c:pt idx="7">
                  <c:v>86.666666666666686</c:v>
                </c:pt>
                <c:pt idx="8">
                  <c:v>80.000000000000014</c:v>
                </c:pt>
                <c:pt idx="9">
                  <c:v>73.333333333333343</c:v>
                </c:pt>
                <c:pt idx="10">
                  <c:v>66.666666666666671</c:v>
                </c:pt>
                <c:pt idx="11">
                  <c:v>60</c:v>
                </c:pt>
                <c:pt idx="12">
                  <c:v>53.333333333333336</c:v>
                </c:pt>
                <c:pt idx="13">
                  <c:v>46.666666666666671</c:v>
                </c:pt>
                <c:pt idx="14">
                  <c:v>40.000000000000007</c:v>
                </c:pt>
                <c:pt idx="15">
                  <c:v>33.333333333333336</c:v>
                </c:pt>
                <c:pt idx="16">
                  <c:v>26.666666666666668</c:v>
                </c:pt>
                <c:pt idx="17">
                  <c:v>20.000000000000004</c:v>
                </c:pt>
                <c:pt idx="18">
                  <c:v>13.333333333333334</c:v>
                </c:pt>
                <c:pt idx="19">
                  <c:v>6.666666666666667</c:v>
                </c:pt>
                <c:pt idx="20">
                  <c:v>0</c:v>
                </c:pt>
              </c:numCache>
            </c:numRef>
          </c:yVal>
          <c:smooth val="1"/>
        </c:ser>
        <c:ser>
          <c:idx val="3"/>
          <c:order val="3"/>
          <c:tx>
            <c:v>Eff %</c:v>
          </c:tx>
          <c:marker>
            <c:symbol val="none"/>
          </c:marker>
          <c:xVal>
            <c:numRef>
              <c:f>'Linear Device Motor Selector'!$U$4:$U$24</c:f>
              <c:numCache>
                <c:formatCode>_(* #,##0.00_);_(* \(#,##0.00\);_(* "-"??_);_(@_)</c:formatCode>
                <c:ptCount val="21"/>
                <c:pt idx="0">
                  <c:v>0</c:v>
                </c:pt>
                <c:pt idx="1">
                  <c:v>1.8968750000000001</c:v>
                </c:pt>
                <c:pt idx="2">
                  <c:v>3.7937500000000002</c:v>
                </c:pt>
                <c:pt idx="3">
                  <c:v>5.6906249999999998</c:v>
                </c:pt>
                <c:pt idx="4">
                  <c:v>7.5875000000000004</c:v>
                </c:pt>
                <c:pt idx="5">
                  <c:v>9.484375</c:v>
                </c:pt>
                <c:pt idx="6">
                  <c:v>11.38125</c:v>
                </c:pt>
                <c:pt idx="7">
                  <c:v>13.278124999999999</c:v>
                </c:pt>
                <c:pt idx="8">
                  <c:v>15.175000000000001</c:v>
                </c:pt>
                <c:pt idx="9">
                  <c:v>17.071874999999999</c:v>
                </c:pt>
                <c:pt idx="10">
                  <c:v>18.96875</c:v>
                </c:pt>
                <c:pt idx="11">
                  <c:v>20.865625000000001</c:v>
                </c:pt>
                <c:pt idx="12">
                  <c:v>22.762499999999999</c:v>
                </c:pt>
                <c:pt idx="13">
                  <c:v>24.659375000000001</c:v>
                </c:pt>
                <c:pt idx="14">
                  <c:v>26.556249999999999</c:v>
                </c:pt>
                <c:pt idx="15">
                  <c:v>28.453125</c:v>
                </c:pt>
                <c:pt idx="16">
                  <c:v>30.35</c:v>
                </c:pt>
                <c:pt idx="17">
                  <c:v>32.246875000000003</c:v>
                </c:pt>
                <c:pt idx="18">
                  <c:v>34.143749999999997</c:v>
                </c:pt>
                <c:pt idx="19">
                  <c:v>36.040624999999999</c:v>
                </c:pt>
                <c:pt idx="20">
                  <c:v>37.9375</c:v>
                </c:pt>
              </c:numCache>
            </c:numRef>
          </c:xVal>
          <c:yVal>
            <c:numRef>
              <c:f>'Linear Device Motor Selector'!$Y$4:$Y$24</c:f>
              <c:numCache>
                <c:formatCode>_(* #,##0.0_);_(* \(#,##0.0\);_(* "-"??_);_(@_)</c:formatCode>
                <c:ptCount val="21"/>
                <c:pt idx="0">
                  <c:v>0</c:v>
                </c:pt>
                <c:pt idx="1">
                  <c:v>65.65323944504226</c:v>
                </c:pt>
                <c:pt idx="2">
                  <c:v>72.20281476430921</c:v>
                </c:pt>
                <c:pt idx="3">
                  <c:v>72.05509103249679</c:v>
                </c:pt>
                <c:pt idx="4">
                  <c:v>69.793715340686333</c:v>
                </c:pt>
                <c:pt idx="5">
                  <c:v>66.59656257934553</c:v>
                </c:pt>
                <c:pt idx="6">
                  <c:v>62.903419869740205</c:v>
                </c:pt>
                <c:pt idx="7">
                  <c:v>58.915816662939264</c:v>
                </c:pt>
                <c:pt idx="8">
                  <c:v>54.739125827413282</c:v>
                </c:pt>
                <c:pt idx="9">
                  <c:v>50.433801324133597</c:v>
                </c:pt>
                <c:pt idx="10">
                  <c:v>46.03700838818348</c:v>
                </c:pt>
                <c:pt idx="11">
                  <c:v>41.572852789497709</c:v>
                </c:pt>
                <c:pt idx="12">
                  <c:v>37.057653810921686</c:v>
                </c:pt>
                <c:pt idx="13">
                  <c:v>32.50285326045659</c:v>
                </c:pt>
                <c:pt idx="14">
                  <c:v>27.91671099505573</c:v>
                </c:pt>
                <c:pt idx="15">
                  <c:v>23.305339137320296</c:v>
                </c:pt>
                <c:pt idx="16">
                  <c:v>18.673357536548679</c:v>
                </c:pt>
                <c:pt idx="17">
                  <c:v>14.024322992724521</c:v>
                </c:pt>
                <c:pt idx="18">
                  <c:v>9.3610183896723456</c:v>
                </c:pt>
                <c:pt idx="19">
                  <c:v>4.6856523289440082</c:v>
                </c:pt>
                <c:pt idx="20">
                  <c:v>0</c:v>
                </c:pt>
              </c:numCache>
            </c:numRef>
          </c:yVal>
          <c:smooth val="1"/>
        </c:ser>
        <c:dLbls>
          <c:showLegendKey val="0"/>
          <c:showVal val="0"/>
          <c:showCatName val="0"/>
          <c:showSerName val="0"/>
          <c:showPercent val="0"/>
          <c:showBubbleSize val="0"/>
        </c:dLbls>
        <c:axId val="43848832"/>
        <c:axId val="43850752"/>
      </c:scatterChart>
      <c:scatterChart>
        <c:scatterStyle val="smoothMarker"/>
        <c:varyColors val="0"/>
        <c:ser>
          <c:idx val="1"/>
          <c:order val="1"/>
          <c:tx>
            <c:v>Amps</c:v>
          </c:tx>
          <c:marker>
            <c:symbol val="none"/>
          </c:marker>
          <c:xVal>
            <c:numRef>
              <c:f>'Linear Device Motor Selector'!$U$4:$U$24</c:f>
              <c:numCache>
                <c:formatCode>_(* #,##0.00_);_(* \(#,##0.00\);_(* "-"??_);_(@_)</c:formatCode>
                <c:ptCount val="21"/>
                <c:pt idx="0">
                  <c:v>0</c:v>
                </c:pt>
                <c:pt idx="1">
                  <c:v>1.8968750000000001</c:v>
                </c:pt>
                <c:pt idx="2">
                  <c:v>3.7937500000000002</c:v>
                </c:pt>
                <c:pt idx="3">
                  <c:v>5.6906249999999998</c:v>
                </c:pt>
                <c:pt idx="4">
                  <c:v>7.5875000000000004</c:v>
                </c:pt>
                <c:pt idx="5">
                  <c:v>9.484375</c:v>
                </c:pt>
                <c:pt idx="6">
                  <c:v>11.38125</c:v>
                </c:pt>
                <c:pt idx="7">
                  <c:v>13.278124999999999</c:v>
                </c:pt>
                <c:pt idx="8">
                  <c:v>15.175000000000001</c:v>
                </c:pt>
                <c:pt idx="9">
                  <c:v>17.071874999999999</c:v>
                </c:pt>
                <c:pt idx="10">
                  <c:v>18.96875</c:v>
                </c:pt>
                <c:pt idx="11">
                  <c:v>20.865625000000001</c:v>
                </c:pt>
                <c:pt idx="12">
                  <c:v>22.762499999999999</c:v>
                </c:pt>
                <c:pt idx="13">
                  <c:v>24.659375000000001</c:v>
                </c:pt>
                <c:pt idx="14">
                  <c:v>26.556249999999999</c:v>
                </c:pt>
                <c:pt idx="15">
                  <c:v>28.453125</c:v>
                </c:pt>
                <c:pt idx="16">
                  <c:v>30.35</c:v>
                </c:pt>
                <c:pt idx="17">
                  <c:v>32.246875000000003</c:v>
                </c:pt>
                <c:pt idx="18">
                  <c:v>34.143749999999997</c:v>
                </c:pt>
                <c:pt idx="19">
                  <c:v>36.040624999999999</c:v>
                </c:pt>
                <c:pt idx="20">
                  <c:v>37.9375</c:v>
                </c:pt>
              </c:numCache>
            </c:numRef>
          </c:xVal>
          <c:yVal>
            <c:numRef>
              <c:f>'Linear Device Motor Selector'!$W$4:$W$24</c:f>
              <c:numCache>
                <c:formatCode>_(* #,##0.00_);_(* \(#,##0.00\);_(* "-"??_);_(@_)</c:formatCode>
                <c:ptCount val="21"/>
                <c:pt idx="0">
                  <c:v>1.2</c:v>
                </c:pt>
                <c:pt idx="1">
                  <c:v>4.33</c:v>
                </c:pt>
                <c:pt idx="2">
                  <c:v>7.46</c:v>
                </c:pt>
                <c:pt idx="3">
                  <c:v>10.589999999999998</c:v>
                </c:pt>
                <c:pt idx="4">
                  <c:v>13.719999999999999</c:v>
                </c:pt>
                <c:pt idx="5">
                  <c:v>16.849999999999998</c:v>
                </c:pt>
                <c:pt idx="6">
                  <c:v>19.979999999999997</c:v>
                </c:pt>
                <c:pt idx="7">
                  <c:v>23.11</c:v>
                </c:pt>
                <c:pt idx="8">
                  <c:v>26.24</c:v>
                </c:pt>
                <c:pt idx="9">
                  <c:v>29.369999999999994</c:v>
                </c:pt>
                <c:pt idx="10">
                  <c:v>32.5</c:v>
                </c:pt>
                <c:pt idx="11">
                  <c:v>35.629999999999995</c:v>
                </c:pt>
                <c:pt idx="12">
                  <c:v>38.76</c:v>
                </c:pt>
                <c:pt idx="13">
                  <c:v>41.89</c:v>
                </c:pt>
                <c:pt idx="14">
                  <c:v>45.02</c:v>
                </c:pt>
                <c:pt idx="15">
                  <c:v>48.150000000000006</c:v>
                </c:pt>
                <c:pt idx="16">
                  <c:v>51.28</c:v>
                </c:pt>
                <c:pt idx="17">
                  <c:v>54.41</c:v>
                </c:pt>
                <c:pt idx="18">
                  <c:v>57.539999999999992</c:v>
                </c:pt>
                <c:pt idx="19">
                  <c:v>60.669999999999995</c:v>
                </c:pt>
                <c:pt idx="20">
                  <c:v>63.8</c:v>
                </c:pt>
              </c:numCache>
            </c:numRef>
          </c:yVal>
          <c:smooth val="1"/>
        </c:ser>
        <c:ser>
          <c:idx val="2"/>
          <c:order val="2"/>
          <c:tx>
            <c:v>Power out, W</c:v>
          </c:tx>
          <c:marker>
            <c:symbol val="none"/>
          </c:marker>
          <c:xVal>
            <c:numRef>
              <c:f>'Linear Device Motor Selector'!$U$4:$U$24</c:f>
              <c:numCache>
                <c:formatCode>_(* #,##0.00_);_(* \(#,##0.00\);_(* "-"??_);_(@_)</c:formatCode>
                <c:ptCount val="21"/>
                <c:pt idx="0">
                  <c:v>0</c:v>
                </c:pt>
                <c:pt idx="1">
                  <c:v>1.8968750000000001</c:v>
                </c:pt>
                <c:pt idx="2">
                  <c:v>3.7937500000000002</c:v>
                </c:pt>
                <c:pt idx="3">
                  <c:v>5.6906249999999998</c:v>
                </c:pt>
                <c:pt idx="4">
                  <c:v>7.5875000000000004</c:v>
                </c:pt>
                <c:pt idx="5">
                  <c:v>9.484375</c:v>
                </c:pt>
                <c:pt idx="6">
                  <c:v>11.38125</c:v>
                </c:pt>
                <c:pt idx="7">
                  <c:v>13.278124999999999</c:v>
                </c:pt>
                <c:pt idx="8">
                  <c:v>15.175000000000001</c:v>
                </c:pt>
                <c:pt idx="9">
                  <c:v>17.071874999999999</c:v>
                </c:pt>
                <c:pt idx="10">
                  <c:v>18.96875</c:v>
                </c:pt>
                <c:pt idx="11">
                  <c:v>20.865625000000001</c:v>
                </c:pt>
                <c:pt idx="12">
                  <c:v>22.762499999999999</c:v>
                </c:pt>
                <c:pt idx="13">
                  <c:v>24.659375000000001</c:v>
                </c:pt>
                <c:pt idx="14">
                  <c:v>26.556249999999999</c:v>
                </c:pt>
                <c:pt idx="15">
                  <c:v>28.453125</c:v>
                </c:pt>
                <c:pt idx="16">
                  <c:v>30.35</c:v>
                </c:pt>
                <c:pt idx="17">
                  <c:v>32.246875000000003</c:v>
                </c:pt>
                <c:pt idx="18">
                  <c:v>34.143749999999997</c:v>
                </c:pt>
                <c:pt idx="19">
                  <c:v>36.040624999999999</c:v>
                </c:pt>
                <c:pt idx="20">
                  <c:v>37.9375</c:v>
                </c:pt>
              </c:numCache>
            </c:numRef>
          </c:xVal>
          <c:yVal>
            <c:numRef>
              <c:f>'Linear Device Motor Selector'!$X$4:$X$24</c:f>
              <c:numCache>
                <c:formatCode>_(* #,##0.00_);_(* \(#,##0.00\);_(* "-"??_);_(@_)</c:formatCode>
                <c:ptCount val="21"/>
                <c:pt idx="0">
                  <c:v>0</c:v>
                </c:pt>
                <c:pt idx="1">
                  <c:v>34.113423215643962</c:v>
                </c:pt>
                <c:pt idx="2">
                  <c:v>64.635959777009603</c:v>
                </c:pt>
                <c:pt idx="3">
                  <c:v>91.567609684096922</c:v>
                </c:pt>
                <c:pt idx="4">
                  <c:v>114.90837293690596</c:v>
                </c:pt>
                <c:pt idx="5">
                  <c:v>134.65824953543665</c:v>
                </c:pt>
                <c:pt idx="6">
                  <c:v>150.81723947968908</c:v>
                </c:pt>
                <c:pt idx="7">
                  <c:v>163.38534276966317</c:v>
                </c:pt>
                <c:pt idx="8">
                  <c:v>172.36255940535895</c:v>
                </c:pt>
                <c:pt idx="9">
                  <c:v>177.74888938677643</c:v>
                </c:pt>
                <c:pt idx="10">
                  <c:v>179.54433271391557</c:v>
                </c:pt>
                <c:pt idx="11">
                  <c:v>177.7488893867764</c:v>
                </c:pt>
                <c:pt idx="12">
                  <c:v>172.36255940535895</c:v>
                </c:pt>
                <c:pt idx="13">
                  <c:v>163.3853427696632</c:v>
                </c:pt>
                <c:pt idx="14">
                  <c:v>150.81723947968908</c:v>
                </c:pt>
                <c:pt idx="15">
                  <c:v>134.65824953543668</c:v>
                </c:pt>
                <c:pt idx="16">
                  <c:v>114.90837293690596</c:v>
                </c:pt>
                <c:pt idx="17">
                  <c:v>91.567609684096936</c:v>
                </c:pt>
                <c:pt idx="18">
                  <c:v>64.635959777009603</c:v>
                </c:pt>
                <c:pt idx="19">
                  <c:v>34.113423215643955</c:v>
                </c:pt>
                <c:pt idx="20">
                  <c:v>0</c:v>
                </c:pt>
              </c:numCache>
            </c:numRef>
          </c:yVal>
          <c:smooth val="1"/>
        </c:ser>
        <c:ser>
          <c:idx val="4"/>
          <c:order val="4"/>
          <c:tx>
            <c:strRef>
              <c:f>'Linear Device Motor Selector'!$AB$2</c:f>
              <c:strCache>
                <c:ptCount val="1"/>
                <c:pt idx="0">
                  <c:v>Load</c:v>
                </c:pt>
              </c:strCache>
            </c:strRef>
          </c:tx>
          <c:spPr>
            <a:ln w="44450">
              <a:solidFill>
                <a:schemeClr val="tx1">
                  <a:lumMod val="75000"/>
                  <a:lumOff val="25000"/>
                </a:schemeClr>
              </a:solidFill>
              <a:prstDash val="sysDash"/>
            </a:ln>
          </c:spPr>
          <c:marker>
            <c:symbol val="none"/>
          </c:marker>
          <c:xVal>
            <c:numRef>
              <c:f>'Linear Device Motor Selector'!$AB$4:$AB$24</c:f>
              <c:numCache>
                <c:formatCode>_(* #,##0.00_);_(* \(#,##0.00\);_(* "-"??_);_(@_)</c:formatCode>
                <c:ptCount val="21"/>
                <c:pt idx="0">
                  <c:v>11.666666666666666</c:v>
                </c:pt>
                <c:pt idx="1">
                  <c:v>11.666666666666666</c:v>
                </c:pt>
                <c:pt idx="2">
                  <c:v>11.666666666666666</c:v>
                </c:pt>
                <c:pt idx="3">
                  <c:v>11.666666666666666</c:v>
                </c:pt>
                <c:pt idx="4">
                  <c:v>11.666666666666666</c:v>
                </c:pt>
                <c:pt idx="5">
                  <c:v>11.666666666666666</c:v>
                </c:pt>
                <c:pt idx="6">
                  <c:v>11.666666666666666</c:v>
                </c:pt>
                <c:pt idx="7">
                  <c:v>11.666666666666666</c:v>
                </c:pt>
                <c:pt idx="8">
                  <c:v>11.666666666666666</c:v>
                </c:pt>
                <c:pt idx="9">
                  <c:v>11.666666666666666</c:v>
                </c:pt>
                <c:pt idx="10">
                  <c:v>11.666666666666666</c:v>
                </c:pt>
                <c:pt idx="11">
                  <c:v>11.666666666666666</c:v>
                </c:pt>
                <c:pt idx="12">
                  <c:v>11.666666666666666</c:v>
                </c:pt>
                <c:pt idx="13">
                  <c:v>11.666666666666666</c:v>
                </c:pt>
                <c:pt idx="14">
                  <c:v>11.666666666666666</c:v>
                </c:pt>
                <c:pt idx="15">
                  <c:v>11.666666666666666</c:v>
                </c:pt>
                <c:pt idx="16">
                  <c:v>11.666666666666666</c:v>
                </c:pt>
                <c:pt idx="17">
                  <c:v>11.666666666666666</c:v>
                </c:pt>
                <c:pt idx="18">
                  <c:v>11.666666666666666</c:v>
                </c:pt>
                <c:pt idx="19">
                  <c:v>11.666666666666666</c:v>
                </c:pt>
                <c:pt idx="20">
                  <c:v>11.666666666666666</c:v>
                </c:pt>
              </c:numCache>
            </c:numRef>
          </c:xVal>
          <c:yVal>
            <c:numRef>
              <c:f>'Linear Device Motor Selector'!$AC$4:$AC$24</c:f>
              <c:numCache>
                <c:formatCode>_(* #,##0.00_);_(* \(#,##0.00\);_(* "-"??_);_(@_)</c:formatCode>
                <c:ptCount val="21"/>
                <c:pt idx="0">
                  <c:v>0</c:v>
                </c:pt>
                <c:pt idx="1">
                  <c:v>9.8749382992653558</c:v>
                </c:pt>
                <c:pt idx="2">
                  <c:v>19.749876598530712</c:v>
                </c:pt>
                <c:pt idx="3">
                  <c:v>29.624814897796067</c:v>
                </c:pt>
                <c:pt idx="4">
                  <c:v>39.499753197061423</c:v>
                </c:pt>
                <c:pt idx="5">
                  <c:v>49.37469149632679</c:v>
                </c:pt>
                <c:pt idx="6">
                  <c:v>59.249629795592135</c:v>
                </c:pt>
                <c:pt idx="7">
                  <c:v>69.124568094857494</c:v>
                </c:pt>
                <c:pt idx="8">
                  <c:v>78.999506394122847</c:v>
                </c:pt>
                <c:pt idx="9">
                  <c:v>88.874444693388213</c:v>
                </c:pt>
                <c:pt idx="10">
                  <c:v>98.74938299265358</c:v>
                </c:pt>
                <c:pt idx="11">
                  <c:v>108.62432129191893</c:v>
                </c:pt>
                <c:pt idx="12">
                  <c:v>118.49925959118427</c:v>
                </c:pt>
                <c:pt idx="13">
                  <c:v>128.37419789044964</c:v>
                </c:pt>
                <c:pt idx="14">
                  <c:v>138.24913618971499</c:v>
                </c:pt>
                <c:pt idx="15">
                  <c:v>148.12407448898034</c:v>
                </c:pt>
                <c:pt idx="16">
                  <c:v>157.99901278824569</c:v>
                </c:pt>
                <c:pt idx="17">
                  <c:v>167.87395108751107</c:v>
                </c:pt>
                <c:pt idx="18">
                  <c:v>177.74888938677643</c:v>
                </c:pt>
                <c:pt idx="19">
                  <c:v>187.62382768604181</c:v>
                </c:pt>
                <c:pt idx="20">
                  <c:v>197.49876598530716</c:v>
                </c:pt>
              </c:numCache>
            </c:numRef>
          </c:yVal>
          <c:smooth val="1"/>
        </c:ser>
        <c:dLbls>
          <c:showLegendKey val="0"/>
          <c:showVal val="0"/>
          <c:showCatName val="0"/>
          <c:showSerName val="0"/>
          <c:showPercent val="0"/>
          <c:showBubbleSize val="0"/>
        </c:dLbls>
        <c:axId val="43854848"/>
        <c:axId val="43852928"/>
      </c:scatterChart>
      <c:valAx>
        <c:axId val="43848832"/>
        <c:scaling>
          <c:orientation val="minMax"/>
        </c:scaling>
        <c:delete val="0"/>
        <c:axPos val="b"/>
        <c:title>
          <c:tx>
            <c:rich>
              <a:bodyPr/>
              <a:lstStyle/>
              <a:p>
                <a:pPr>
                  <a:defRPr/>
                </a:pPr>
                <a:r>
                  <a:rPr lang="en-US"/>
                  <a:t>Torque,</a:t>
                </a:r>
                <a:r>
                  <a:rPr lang="en-US" baseline="0"/>
                  <a:t> ft-lbs</a:t>
                </a:r>
                <a:endParaRPr lang="en-US"/>
              </a:p>
            </c:rich>
          </c:tx>
          <c:layout/>
          <c:overlay val="0"/>
        </c:title>
        <c:numFmt formatCode="_(* #,##0.00_);_(* \(#,##0.00\);_(* &quot;-&quot;??_);_(@_)" sourceLinked="1"/>
        <c:majorTickMark val="out"/>
        <c:minorTickMark val="none"/>
        <c:tickLblPos val="nextTo"/>
        <c:crossAx val="43850752"/>
        <c:crosses val="autoZero"/>
        <c:crossBetween val="midCat"/>
      </c:valAx>
      <c:valAx>
        <c:axId val="43850752"/>
        <c:scaling>
          <c:orientation val="minMax"/>
        </c:scaling>
        <c:delete val="0"/>
        <c:axPos val="l"/>
        <c:majorGridlines/>
        <c:title>
          <c:tx>
            <c:rich>
              <a:bodyPr rot="-5400000" vert="horz"/>
              <a:lstStyle/>
              <a:p>
                <a:pPr>
                  <a:defRPr/>
                </a:pPr>
                <a:r>
                  <a:rPr lang="en-US"/>
                  <a:t>RPM, Efficiency %</a:t>
                </a:r>
              </a:p>
            </c:rich>
          </c:tx>
          <c:layout/>
          <c:overlay val="0"/>
        </c:title>
        <c:numFmt formatCode="_(* #,##0_);_(* \(#,##0\);_(* &quot;-&quot;??_);_(@_)" sourceLinked="1"/>
        <c:majorTickMark val="out"/>
        <c:minorTickMark val="none"/>
        <c:tickLblPos val="nextTo"/>
        <c:crossAx val="43848832"/>
        <c:crosses val="autoZero"/>
        <c:crossBetween val="midCat"/>
      </c:valAx>
      <c:valAx>
        <c:axId val="43852928"/>
        <c:scaling>
          <c:orientation val="minMax"/>
        </c:scaling>
        <c:delete val="0"/>
        <c:axPos val="r"/>
        <c:title>
          <c:tx>
            <c:rich>
              <a:bodyPr rot="-5400000" vert="horz"/>
              <a:lstStyle/>
              <a:p>
                <a:pPr>
                  <a:defRPr/>
                </a:pPr>
                <a:r>
                  <a:rPr lang="en-US"/>
                  <a:t>Amps,</a:t>
                </a:r>
                <a:r>
                  <a:rPr lang="en-US" baseline="0"/>
                  <a:t> Power out (w)</a:t>
                </a:r>
                <a:endParaRPr lang="en-US"/>
              </a:p>
            </c:rich>
          </c:tx>
          <c:layout/>
          <c:overlay val="0"/>
        </c:title>
        <c:numFmt formatCode="_(* #,##0.00_);_(* \(#,##0.00\);_(* &quot;-&quot;??_);_(@_)" sourceLinked="1"/>
        <c:majorTickMark val="out"/>
        <c:minorTickMark val="none"/>
        <c:tickLblPos val="nextTo"/>
        <c:crossAx val="43854848"/>
        <c:crosses val="max"/>
        <c:crossBetween val="midCat"/>
      </c:valAx>
      <c:valAx>
        <c:axId val="43854848"/>
        <c:scaling>
          <c:orientation val="minMax"/>
        </c:scaling>
        <c:delete val="1"/>
        <c:axPos val="b"/>
        <c:numFmt formatCode="_(* #,##0.00_);_(* \(#,##0.00\);_(* &quot;-&quot;??_);_(@_)" sourceLinked="1"/>
        <c:majorTickMark val="out"/>
        <c:minorTickMark val="none"/>
        <c:tickLblPos val="nextTo"/>
        <c:crossAx val="43852928"/>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'Cascade Elevator Motor Selector'!$AA$3</c:f>
              <c:strCache>
                <c:ptCount val="1"/>
                <c:pt idx="0">
                  <c:v>RPM</c:v>
                </c:pt>
              </c:strCache>
            </c:strRef>
          </c:tx>
          <c:marker>
            <c:symbol val="none"/>
          </c:marker>
          <c:xVal>
            <c:numRef>
              <c:f>'Cascade Elevator Motor Selector'!$U$4:$U$24</c:f>
              <c:numCache>
                <c:formatCode>_(* #,##0.00_);_(* \(#,##0.00\);_(* "-"??_);_(@_)</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'Cascade Elevator Motor Selector'!$AA$4:$AA$24</c:f>
              <c:numCache>
                <c:formatCode>_(* #,##0_);_(* \(#,##0\);_(* "-"??_);_(@_)</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1"/>
        </c:ser>
        <c:ser>
          <c:idx val="3"/>
          <c:order val="3"/>
          <c:tx>
            <c:v>Eff %</c:v>
          </c:tx>
          <c:marker>
            <c:symbol val="none"/>
          </c:marker>
          <c:xVal>
            <c:numRef>
              <c:f>'Cascade Elevator Motor Selector'!$U$4:$U$24</c:f>
              <c:numCache>
                <c:formatCode>_(* #,##0.00_);_(* \(#,##0.00\);_(* "-"??_);_(@_)</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'Cascade Elevator Motor Selector'!$Y$4:$Y$24</c:f>
              <c:numCache>
                <c:formatCode>_(* #,##0.0_);_(* \(#,##0.0\);_(* "-"??_);_(@_)</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1"/>
        </c:ser>
        <c:dLbls>
          <c:showLegendKey val="0"/>
          <c:showVal val="0"/>
          <c:showCatName val="0"/>
          <c:showSerName val="0"/>
          <c:showPercent val="0"/>
          <c:showBubbleSize val="0"/>
        </c:dLbls>
        <c:axId val="42298368"/>
        <c:axId val="43639936"/>
      </c:scatterChart>
      <c:scatterChart>
        <c:scatterStyle val="smoothMarker"/>
        <c:varyColors val="0"/>
        <c:ser>
          <c:idx val="1"/>
          <c:order val="1"/>
          <c:tx>
            <c:v>Amps</c:v>
          </c:tx>
          <c:marker>
            <c:symbol val="none"/>
          </c:marker>
          <c:xVal>
            <c:numRef>
              <c:f>'Cascade Elevator Motor Selector'!$U$4:$U$24</c:f>
              <c:numCache>
                <c:formatCode>_(* #,##0.00_);_(* \(#,##0.00\);_(* "-"??_);_(@_)</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'Cascade Elevator Motor Selector'!$W$4:$W$24</c:f>
              <c:numCache>
                <c:formatCode>_(* #,##0.00_);_(* \(#,##0.00\);_(* "-"??_);_(@_)</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1"/>
        </c:ser>
        <c:ser>
          <c:idx val="2"/>
          <c:order val="2"/>
          <c:tx>
            <c:v>Power out, W</c:v>
          </c:tx>
          <c:marker>
            <c:symbol val="none"/>
          </c:marker>
          <c:xVal>
            <c:numRef>
              <c:f>'Cascade Elevator Motor Selector'!$U$4:$U$24</c:f>
              <c:numCache>
                <c:formatCode>_(* #,##0.00_);_(* \(#,##0.00\);_(* "-"??_);_(@_)</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'Cascade Elevator Motor Selector'!$X$4:$X$24</c:f>
              <c:numCache>
                <c:formatCode>_(* #,##0.00_);_(* \(#,##0.00\);_(* "-"??_);_(@_)</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1"/>
        </c:ser>
        <c:ser>
          <c:idx val="4"/>
          <c:order val="4"/>
          <c:tx>
            <c:strRef>
              <c:f>'Cascade Elevator Motor Selector'!$AB$2</c:f>
              <c:strCache>
                <c:ptCount val="1"/>
                <c:pt idx="0">
                  <c:v>Load</c:v>
                </c:pt>
              </c:strCache>
            </c:strRef>
          </c:tx>
          <c:spPr>
            <a:ln w="44450">
              <a:solidFill>
                <a:schemeClr val="tx1">
                  <a:lumMod val="75000"/>
                  <a:lumOff val="25000"/>
                </a:schemeClr>
              </a:solidFill>
              <a:prstDash val="sysDash"/>
            </a:ln>
          </c:spPr>
          <c:marker>
            <c:symbol val="none"/>
          </c:marker>
          <c:xVal>
            <c:numRef>
              <c:f>'Cascade Elevator Motor Selector'!$AB$4:$AB$24</c:f>
              <c:numCache>
                <c:formatCode>_(* #,##0.00_);_(* \(#,##0.00\);_(* "-"??_);_(@_)</c:formatCode>
                <c:ptCount val="21"/>
                <c:pt idx="0">
                  <c:v>0.9375</c:v>
                </c:pt>
                <c:pt idx="1">
                  <c:v>0.9375</c:v>
                </c:pt>
                <c:pt idx="2">
                  <c:v>0.9375</c:v>
                </c:pt>
                <c:pt idx="3">
                  <c:v>0.9375</c:v>
                </c:pt>
                <c:pt idx="4">
                  <c:v>0.9375</c:v>
                </c:pt>
                <c:pt idx="5">
                  <c:v>0.9375</c:v>
                </c:pt>
                <c:pt idx="6">
                  <c:v>0.9375</c:v>
                </c:pt>
                <c:pt idx="7">
                  <c:v>0.9375</c:v>
                </c:pt>
                <c:pt idx="8">
                  <c:v>0.9375</c:v>
                </c:pt>
                <c:pt idx="9">
                  <c:v>0.9375</c:v>
                </c:pt>
                <c:pt idx="10">
                  <c:v>0.9375</c:v>
                </c:pt>
                <c:pt idx="11">
                  <c:v>0.9375</c:v>
                </c:pt>
                <c:pt idx="12">
                  <c:v>0.9375</c:v>
                </c:pt>
                <c:pt idx="13">
                  <c:v>0.9375</c:v>
                </c:pt>
                <c:pt idx="14">
                  <c:v>0.9375</c:v>
                </c:pt>
                <c:pt idx="15">
                  <c:v>0.9375</c:v>
                </c:pt>
                <c:pt idx="16">
                  <c:v>0.9375</c:v>
                </c:pt>
                <c:pt idx="17">
                  <c:v>0.9375</c:v>
                </c:pt>
                <c:pt idx="18">
                  <c:v>0.9375</c:v>
                </c:pt>
                <c:pt idx="19">
                  <c:v>0.9375</c:v>
                </c:pt>
                <c:pt idx="20">
                  <c:v>0.9375</c:v>
                </c:pt>
              </c:numCache>
            </c:numRef>
          </c:xVal>
          <c:yVal>
            <c:numRef>
              <c:f>'Cascade Elevator Motor Selector'!$AC$4:$AC$24</c:f>
              <c:numCache>
                <c:formatCode>_(* #,##0.00_);_(* \(#,##0.00\);_(* "-"??_);_(@_)</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1"/>
        </c:ser>
        <c:dLbls>
          <c:showLegendKey val="0"/>
          <c:showVal val="0"/>
          <c:showCatName val="0"/>
          <c:showSerName val="0"/>
          <c:showPercent val="0"/>
          <c:showBubbleSize val="0"/>
        </c:dLbls>
        <c:axId val="43725952"/>
        <c:axId val="43641856"/>
      </c:scatterChart>
      <c:valAx>
        <c:axId val="42298368"/>
        <c:scaling>
          <c:orientation val="minMax"/>
        </c:scaling>
        <c:delete val="0"/>
        <c:axPos val="b"/>
        <c:title>
          <c:tx>
            <c:rich>
              <a:bodyPr/>
              <a:lstStyle/>
              <a:p>
                <a:pPr>
                  <a:defRPr/>
                </a:pPr>
                <a:r>
                  <a:rPr lang="en-US"/>
                  <a:t>Torque,</a:t>
                </a:r>
                <a:r>
                  <a:rPr lang="en-US" baseline="0"/>
                  <a:t> ft-lbs</a:t>
                </a:r>
                <a:endParaRPr lang="en-US"/>
              </a:p>
            </c:rich>
          </c:tx>
          <c:overlay val="0"/>
        </c:title>
        <c:numFmt formatCode="_(* #,##0.00_);_(* \(#,##0.00\);_(* &quot;-&quot;??_);_(@_)" sourceLinked="1"/>
        <c:majorTickMark val="out"/>
        <c:minorTickMark val="none"/>
        <c:tickLblPos val="nextTo"/>
        <c:crossAx val="43639936"/>
        <c:crosses val="autoZero"/>
        <c:crossBetween val="midCat"/>
      </c:valAx>
      <c:valAx>
        <c:axId val="43639936"/>
        <c:scaling>
          <c:orientation val="minMax"/>
        </c:scaling>
        <c:delete val="0"/>
        <c:axPos val="l"/>
        <c:majorGridlines/>
        <c:title>
          <c:tx>
            <c:rich>
              <a:bodyPr rot="-5400000" vert="horz"/>
              <a:lstStyle/>
              <a:p>
                <a:pPr>
                  <a:defRPr/>
                </a:pPr>
                <a:r>
                  <a:rPr lang="en-US"/>
                  <a:t>RPM, Efficiency %</a:t>
                </a:r>
              </a:p>
            </c:rich>
          </c:tx>
          <c:overlay val="0"/>
        </c:title>
        <c:numFmt formatCode="_(* #,##0_);_(* \(#,##0\);_(* &quot;-&quot;??_);_(@_)" sourceLinked="1"/>
        <c:majorTickMark val="out"/>
        <c:minorTickMark val="none"/>
        <c:tickLblPos val="nextTo"/>
        <c:crossAx val="42298368"/>
        <c:crosses val="autoZero"/>
        <c:crossBetween val="midCat"/>
      </c:valAx>
      <c:valAx>
        <c:axId val="43641856"/>
        <c:scaling>
          <c:orientation val="minMax"/>
        </c:scaling>
        <c:delete val="0"/>
        <c:axPos val="r"/>
        <c:title>
          <c:tx>
            <c:rich>
              <a:bodyPr rot="-5400000" vert="horz"/>
              <a:lstStyle/>
              <a:p>
                <a:pPr>
                  <a:defRPr/>
                </a:pPr>
                <a:r>
                  <a:rPr lang="en-US"/>
                  <a:t>Amps,</a:t>
                </a:r>
                <a:r>
                  <a:rPr lang="en-US" baseline="0"/>
                  <a:t> Power out (w)</a:t>
                </a:r>
                <a:endParaRPr lang="en-US"/>
              </a:p>
            </c:rich>
          </c:tx>
          <c:overlay val="0"/>
        </c:title>
        <c:numFmt formatCode="_(* #,##0.00_);_(* \(#,##0.00\);_(* &quot;-&quot;??_);_(@_)" sourceLinked="1"/>
        <c:majorTickMark val="out"/>
        <c:minorTickMark val="none"/>
        <c:tickLblPos val="nextTo"/>
        <c:crossAx val="43725952"/>
        <c:crosses val="max"/>
        <c:crossBetween val="midCat"/>
      </c:valAx>
      <c:valAx>
        <c:axId val="43725952"/>
        <c:scaling>
          <c:orientation val="minMax"/>
        </c:scaling>
        <c:delete val="1"/>
        <c:axPos val="b"/>
        <c:numFmt formatCode="_(* #,##0.00_);_(* \(#,##0.00\);_(* &quot;-&quot;??_);_(@_)" sourceLinked="1"/>
        <c:majorTickMark val="out"/>
        <c:minorTickMark val="none"/>
        <c:tickLblPos val="nextTo"/>
        <c:crossAx val="4364185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'Rotating Device Motor Selector'!$AA$3</c:f>
              <c:strCache>
                <c:ptCount val="1"/>
                <c:pt idx="0">
                  <c:v>RPM</c:v>
                </c:pt>
              </c:strCache>
            </c:strRef>
          </c:tx>
          <c:marker>
            <c:symbol val="none"/>
          </c:marker>
          <c:xVal>
            <c:numRef>
              <c:f>'Rotating Device Motor Selector'!$U$4:$U$24</c:f>
              <c:numCache>
                <c:formatCode>_(* #,##0.00_);_(* \(#,##0.00\);_(* "-"??_);_(@_)</c:formatCode>
                <c:ptCount val="21"/>
                <c:pt idx="0">
                  <c:v>0</c:v>
                </c:pt>
                <c:pt idx="1">
                  <c:v>1.7244791666666668</c:v>
                </c:pt>
                <c:pt idx="2">
                  <c:v>3.4489583333333336</c:v>
                </c:pt>
                <c:pt idx="3">
                  <c:v>5.1734375000000004</c:v>
                </c:pt>
                <c:pt idx="4">
                  <c:v>6.8979166666666671</c:v>
                </c:pt>
                <c:pt idx="5">
                  <c:v>8.6223958333333339</c:v>
                </c:pt>
                <c:pt idx="6">
                  <c:v>10.346875000000001</c:v>
                </c:pt>
                <c:pt idx="7">
                  <c:v>12.071354166666667</c:v>
                </c:pt>
                <c:pt idx="8">
                  <c:v>13.795833333333334</c:v>
                </c:pt>
                <c:pt idx="9">
                  <c:v>15.520312499999999</c:v>
                </c:pt>
                <c:pt idx="10">
                  <c:v>17.244791666666668</c:v>
                </c:pt>
                <c:pt idx="11">
                  <c:v>18.969270833333336</c:v>
                </c:pt>
                <c:pt idx="12">
                  <c:v>20.693750000000001</c:v>
                </c:pt>
                <c:pt idx="13">
                  <c:v>22.41822916666667</c:v>
                </c:pt>
                <c:pt idx="14">
                  <c:v>24.142708333333335</c:v>
                </c:pt>
                <c:pt idx="15">
                  <c:v>25.8671875</c:v>
                </c:pt>
                <c:pt idx="16">
                  <c:v>27.591666666666669</c:v>
                </c:pt>
                <c:pt idx="17">
                  <c:v>29.316145833333334</c:v>
                </c:pt>
                <c:pt idx="18">
                  <c:v>31.040624999999999</c:v>
                </c:pt>
                <c:pt idx="19">
                  <c:v>32.765104166666667</c:v>
                </c:pt>
                <c:pt idx="20">
                  <c:v>34.489583333333336</c:v>
                </c:pt>
              </c:numCache>
            </c:numRef>
          </c:xVal>
          <c:yVal>
            <c:numRef>
              <c:f>'Rotating Device Motor Selector'!$AA$4:$AA$24</c:f>
              <c:numCache>
                <c:formatCode>_(* #,##0_);_(* \(#,##0\);_(* "-"??_);_(@_)</c:formatCode>
                <c:ptCount val="21"/>
                <c:pt idx="0">
                  <c:v>162.25000000000003</c:v>
                </c:pt>
                <c:pt idx="1">
                  <c:v>154.13749999999999</c:v>
                </c:pt>
                <c:pt idx="2">
                  <c:v>146.02499999999998</c:v>
                </c:pt>
                <c:pt idx="3">
                  <c:v>137.91249999999999</c:v>
                </c:pt>
                <c:pt idx="4">
                  <c:v>129.80000000000001</c:v>
                </c:pt>
                <c:pt idx="5">
                  <c:v>121.68750000000001</c:v>
                </c:pt>
                <c:pt idx="6">
                  <c:v>113.57499999999999</c:v>
                </c:pt>
                <c:pt idx="7">
                  <c:v>105.46250000000001</c:v>
                </c:pt>
                <c:pt idx="8">
                  <c:v>97.350000000000009</c:v>
                </c:pt>
                <c:pt idx="9">
                  <c:v>89.237499999999997</c:v>
                </c:pt>
                <c:pt idx="10">
                  <c:v>81.125000000000014</c:v>
                </c:pt>
                <c:pt idx="11">
                  <c:v>73.012499999999989</c:v>
                </c:pt>
                <c:pt idx="12">
                  <c:v>64.900000000000006</c:v>
                </c:pt>
                <c:pt idx="13">
                  <c:v>56.787499999999994</c:v>
                </c:pt>
                <c:pt idx="14">
                  <c:v>48.675000000000004</c:v>
                </c:pt>
                <c:pt idx="15">
                  <c:v>40.562500000000007</c:v>
                </c:pt>
                <c:pt idx="16">
                  <c:v>32.450000000000003</c:v>
                </c:pt>
                <c:pt idx="17">
                  <c:v>24.337500000000002</c:v>
                </c:pt>
                <c:pt idx="18">
                  <c:v>16.225000000000001</c:v>
                </c:pt>
                <c:pt idx="19">
                  <c:v>8.1125000000000007</c:v>
                </c:pt>
                <c:pt idx="20">
                  <c:v>0</c:v>
                </c:pt>
              </c:numCache>
            </c:numRef>
          </c:yVal>
          <c:smooth val="1"/>
        </c:ser>
        <c:ser>
          <c:idx val="3"/>
          <c:order val="3"/>
          <c:tx>
            <c:v>Eff %</c:v>
          </c:tx>
          <c:marker>
            <c:symbol val="none"/>
          </c:marker>
          <c:xVal>
            <c:numRef>
              <c:f>'Rotating Device Motor Selector'!$U$4:$U$24</c:f>
              <c:numCache>
                <c:formatCode>_(* #,##0.00_);_(* \(#,##0.00\);_(* "-"??_);_(@_)</c:formatCode>
                <c:ptCount val="21"/>
                <c:pt idx="0">
                  <c:v>0</c:v>
                </c:pt>
                <c:pt idx="1">
                  <c:v>1.7244791666666668</c:v>
                </c:pt>
                <c:pt idx="2">
                  <c:v>3.4489583333333336</c:v>
                </c:pt>
                <c:pt idx="3">
                  <c:v>5.1734375000000004</c:v>
                </c:pt>
                <c:pt idx="4">
                  <c:v>6.8979166666666671</c:v>
                </c:pt>
                <c:pt idx="5">
                  <c:v>8.6223958333333339</c:v>
                </c:pt>
                <c:pt idx="6">
                  <c:v>10.346875000000001</c:v>
                </c:pt>
                <c:pt idx="7">
                  <c:v>12.071354166666667</c:v>
                </c:pt>
                <c:pt idx="8">
                  <c:v>13.795833333333334</c:v>
                </c:pt>
                <c:pt idx="9">
                  <c:v>15.520312499999999</c:v>
                </c:pt>
                <c:pt idx="10">
                  <c:v>17.244791666666668</c:v>
                </c:pt>
                <c:pt idx="11">
                  <c:v>18.969270833333336</c:v>
                </c:pt>
                <c:pt idx="12">
                  <c:v>20.693750000000001</c:v>
                </c:pt>
                <c:pt idx="13">
                  <c:v>22.41822916666667</c:v>
                </c:pt>
                <c:pt idx="14">
                  <c:v>24.142708333333335</c:v>
                </c:pt>
                <c:pt idx="15">
                  <c:v>25.8671875</c:v>
                </c:pt>
                <c:pt idx="16">
                  <c:v>27.591666666666669</c:v>
                </c:pt>
                <c:pt idx="17">
                  <c:v>29.316145833333334</c:v>
                </c:pt>
                <c:pt idx="18">
                  <c:v>31.040624999999999</c:v>
                </c:pt>
                <c:pt idx="19">
                  <c:v>32.765104166666667</c:v>
                </c:pt>
                <c:pt idx="20">
                  <c:v>34.489583333333336</c:v>
                </c:pt>
              </c:numCache>
            </c:numRef>
          </c:xVal>
          <c:yVal>
            <c:numRef>
              <c:f>'Rotating Device Motor Selector'!$Y$4:$Y$24</c:f>
              <c:numCache>
                <c:formatCode>_(* #,##0.0_);_(* \(#,##0.0\);_(* "-"??_);_(@_)</c:formatCode>
                <c:ptCount val="21"/>
                <c:pt idx="0">
                  <c:v>0</c:v>
                </c:pt>
                <c:pt idx="1">
                  <c:v>37.230810063149313</c:v>
                </c:pt>
                <c:pt idx="2">
                  <c:v>41.325489110145391</c:v>
                </c:pt>
                <c:pt idx="3">
                  <c:v>41.398250704068239</c:v>
                </c:pt>
                <c:pt idx="4">
                  <c:v>40.182348552161159</c:v>
                </c:pt>
                <c:pt idx="5">
                  <c:v>38.391799179222005</c:v>
                </c:pt>
                <c:pt idx="6">
                  <c:v>36.295362574125448</c:v>
                </c:pt>
                <c:pt idx="7">
                  <c:v>34.016805757935913</c:v>
                </c:pt>
                <c:pt idx="8">
                  <c:v>31.621060133896972</c:v>
                </c:pt>
                <c:pt idx="9">
                  <c:v>29.145469066309833</c:v>
                </c:pt>
                <c:pt idx="10">
                  <c:v>26.613032985449394</c:v>
                </c:pt>
                <c:pt idx="11">
                  <c:v>24.038692196357349</c:v>
                </c:pt>
                <c:pt idx="12">
                  <c:v>21.432573152080018</c:v>
                </c:pt>
                <c:pt idx="13">
                  <c:v>18.801782735134672</c:v>
                </c:pt>
                <c:pt idx="14">
                  <c:v>16.151455670031975</c:v>
                </c:pt>
                <c:pt idx="15">
                  <c:v>13.485394234971931</c:v>
                </c:pt>
                <c:pt idx="16">
                  <c:v>10.806474138396808</c:v>
                </c:pt>
                <c:pt idx="17">
                  <c:v>8.1169105540698787</c:v>
                </c:pt>
                <c:pt idx="18">
                  <c:v>5.4184374735566134</c:v>
                </c:pt>
                <c:pt idx="19">
                  <c:v>2.7124316300898994</c:v>
                </c:pt>
                <c:pt idx="20">
                  <c:v>0</c:v>
                </c:pt>
              </c:numCache>
            </c:numRef>
          </c:yVal>
          <c:smooth val="1"/>
        </c:ser>
        <c:dLbls>
          <c:showLegendKey val="0"/>
          <c:showVal val="0"/>
          <c:showCatName val="0"/>
          <c:showSerName val="0"/>
          <c:showPercent val="0"/>
          <c:showBubbleSize val="0"/>
        </c:dLbls>
        <c:axId val="43967232"/>
        <c:axId val="43969152"/>
      </c:scatterChart>
      <c:scatterChart>
        <c:scatterStyle val="smoothMarker"/>
        <c:varyColors val="0"/>
        <c:ser>
          <c:idx val="1"/>
          <c:order val="1"/>
          <c:tx>
            <c:v>Amps</c:v>
          </c:tx>
          <c:marker>
            <c:symbol val="none"/>
          </c:marker>
          <c:xVal>
            <c:numRef>
              <c:f>'Rotating Device Motor Selector'!$U$4:$U$24</c:f>
              <c:numCache>
                <c:formatCode>_(* #,##0.00_);_(* \(#,##0.00\);_(* "-"??_);_(@_)</c:formatCode>
                <c:ptCount val="21"/>
                <c:pt idx="0">
                  <c:v>0</c:v>
                </c:pt>
                <c:pt idx="1">
                  <c:v>1.7244791666666668</c:v>
                </c:pt>
                <c:pt idx="2">
                  <c:v>3.4489583333333336</c:v>
                </c:pt>
                <c:pt idx="3">
                  <c:v>5.1734375000000004</c:v>
                </c:pt>
                <c:pt idx="4">
                  <c:v>6.8979166666666671</c:v>
                </c:pt>
                <c:pt idx="5">
                  <c:v>8.6223958333333339</c:v>
                </c:pt>
                <c:pt idx="6">
                  <c:v>10.346875000000001</c:v>
                </c:pt>
                <c:pt idx="7">
                  <c:v>12.071354166666667</c:v>
                </c:pt>
                <c:pt idx="8">
                  <c:v>13.795833333333334</c:v>
                </c:pt>
                <c:pt idx="9">
                  <c:v>15.520312499999999</c:v>
                </c:pt>
                <c:pt idx="10">
                  <c:v>17.244791666666668</c:v>
                </c:pt>
                <c:pt idx="11">
                  <c:v>18.969270833333336</c:v>
                </c:pt>
                <c:pt idx="12">
                  <c:v>20.693750000000001</c:v>
                </c:pt>
                <c:pt idx="13">
                  <c:v>22.41822916666667</c:v>
                </c:pt>
                <c:pt idx="14">
                  <c:v>24.142708333333335</c:v>
                </c:pt>
                <c:pt idx="15">
                  <c:v>25.8671875</c:v>
                </c:pt>
                <c:pt idx="16">
                  <c:v>27.591666666666669</c:v>
                </c:pt>
                <c:pt idx="17">
                  <c:v>29.316145833333334</c:v>
                </c:pt>
                <c:pt idx="18">
                  <c:v>31.040624999999999</c:v>
                </c:pt>
                <c:pt idx="19">
                  <c:v>32.765104166666667</c:v>
                </c:pt>
                <c:pt idx="20">
                  <c:v>34.489583333333336</c:v>
                </c:pt>
              </c:numCache>
            </c:numRef>
          </c:xVal>
          <c:yVal>
            <c:numRef>
              <c:f>'Rotating Device Motor Selector'!$W$4:$W$24</c:f>
              <c:numCache>
                <c:formatCode>_(* #,##0.00_);_(* \(#,##0.00\);_(* "-"??_);_(@_)</c:formatCode>
                <c:ptCount val="21"/>
                <c:pt idx="0">
                  <c:v>2.4750000000000001</c:v>
                </c:pt>
                <c:pt idx="1">
                  <c:v>8.4470833333333335</c:v>
                </c:pt>
                <c:pt idx="2">
                  <c:v>14.419166666666667</c:v>
                </c:pt>
                <c:pt idx="3">
                  <c:v>20.391250000000003</c:v>
                </c:pt>
                <c:pt idx="4">
                  <c:v>26.363333333333337</c:v>
                </c:pt>
                <c:pt idx="5">
                  <c:v>32.335416666666667</c:v>
                </c:pt>
                <c:pt idx="6">
                  <c:v>38.307500000000005</c:v>
                </c:pt>
                <c:pt idx="7">
                  <c:v>44.279583333333342</c:v>
                </c:pt>
                <c:pt idx="8">
                  <c:v>50.251666666666672</c:v>
                </c:pt>
                <c:pt idx="9">
                  <c:v>56.22375000000001</c:v>
                </c:pt>
                <c:pt idx="10">
                  <c:v>62.19583333333334</c:v>
                </c:pt>
                <c:pt idx="11">
                  <c:v>68.16791666666667</c:v>
                </c:pt>
                <c:pt idx="12">
                  <c:v>74.14</c:v>
                </c:pt>
                <c:pt idx="13">
                  <c:v>80.112083333333331</c:v>
                </c:pt>
                <c:pt idx="14">
                  <c:v>86.084166666666675</c:v>
                </c:pt>
                <c:pt idx="15">
                  <c:v>92.056249999999991</c:v>
                </c:pt>
                <c:pt idx="16">
                  <c:v>98.028333333333336</c:v>
                </c:pt>
                <c:pt idx="17">
                  <c:v>104.00041666666667</c:v>
                </c:pt>
                <c:pt idx="18">
                  <c:v>109.97250000000001</c:v>
                </c:pt>
                <c:pt idx="19">
                  <c:v>115.94458333333333</c:v>
                </c:pt>
                <c:pt idx="20">
                  <c:v>121.91666666666667</c:v>
                </c:pt>
              </c:numCache>
            </c:numRef>
          </c:yVal>
          <c:smooth val="1"/>
        </c:ser>
        <c:ser>
          <c:idx val="2"/>
          <c:order val="2"/>
          <c:tx>
            <c:v>Power out, W</c:v>
          </c:tx>
          <c:marker>
            <c:symbol val="none"/>
          </c:marker>
          <c:xVal>
            <c:numRef>
              <c:f>'Rotating Device Motor Selector'!$U$4:$U$24</c:f>
              <c:numCache>
                <c:formatCode>_(* #,##0.00_);_(* \(#,##0.00\);_(* "-"??_);_(@_)</c:formatCode>
                <c:ptCount val="21"/>
                <c:pt idx="0">
                  <c:v>0</c:v>
                </c:pt>
                <c:pt idx="1">
                  <c:v>1.7244791666666668</c:v>
                </c:pt>
                <c:pt idx="2">
                  <c:v>3.4489583333333336</c:v>
                </c:pt>
                <c:pt idx="3">
                  <c:v>5.1734375000000004</c:v>
                </c:pt>
                <c:pt idx="4">
                  <c:v>6.8979166666666671</c:v>
                </c:pt>
                <c:pt idx="5">
                  <c:v>8.6223958333333339</c:v>
                </c:pt>
                <c:pt idx="6">
                  <c:v>10.346875000000001</c:v>
                </c:pt>
                <c:pt idx="7">
                  <c:v>12.071354166666667</c:v>
                </c:pt>
                <c:pt idx="8">
                  <c:v>13.795833333333334</c:v>
                </c:pt>
                <c:pt idx="9">
                  <c:v>15.520312499999999</c:v>
                </c:pt>
                <c:pt idx="10">
                  <c:v>17.244791666666668</c:v>
                </c:pt>
                <c:pt idx="11">
                  <c:v>18.969270833333336</c:v>
                </c:pt>
                <c:pt idx="12">
                  <c:v>20.693750000000001</c:v>
                </c:pt>
                <c:pt idx="13">
                  <c:v>22.41822916666667</c:v>
                </c:pt>
                <c:pt idx="14">
                  <c:v>24.142708333333335</c:v>
                </c:pt>
                <c:pt idx="15">
                  <c:v>25.8671875</c:v>
                </c:pt>
                <c:pt idx="16">
                  <c:v>27.591666666666669</c:v>
                </c:pt>
                <c:pt idx="17">
                  <c:v>29.316145833333334</c:v>
                </c:pt>
                <c:pt idx="18">
                  <c:v>31.040624999999999</c:v>
                </c:pt>
                <c:pt idx="19">
                  <c:v>32.765104166666667</c:v>
                </c:pt>
                <c:pt idx="20">
                  <c:v>34.489583333333336</c:v>
                </c:pt>
              </c:numCache>
            </c:numRef>
          </c:xVal>
          <c:yVal>
            <c:numRef>
              <c:f>'Rotating Device Motor Selector'!$X$4:$X$24</c:f>
              <c:numCache>
                <c:formatCode>_(* #,##0.00_);_(* \(#,##0.00\);_(* "-"??_);_(@_)</c:formatCode>
                <c:ptCount val="21"/>
                <c:pt idx="0">
                  <c:v>0</c:v>
                </c:pt>
                <c:pt idx="1">
                  <c:v>37.739010620511301</c:v>
                </c:pt>
                <c:pt idx="2">
                  <c:v>71.505493807284566</c:v>
                </c:pt>
                <c:pt idx="3">
                  <c:v>101.29944956031979</c:v>
                </c:pt>
                <c:pt idx="4">
                  <c:v>127.12087787961704</c:v>
                </c:pt>
                <c:pt idx="5">
                  <c:v>148.96977876517619</c:v>
                </c:pt>
                <c:pt idx="6">
                  <c:v>166.8461522169973</c:v>
                </c:pt>
                <c:pt idx="7">
                  <c:v>180.74999823508043</c:v>
                </c:pt>
                <c:pt idx="8">
                  <c:v>190.68131681942555</c:v>
                </c:pt>
                <c:pt idx="9">
                  <c:v>196.64010797003255</c:v>
                </c:pt>
                <c:pt idx="10">
                  <c:v>198.62637168690159</c:v>
                </c:pt>
                <c:pt idx="11">
                  <c:v>196.64010797003257</c:v>
                </c:pt>
                <c:pt idx="12">
                  <c:v>190.68131681942552</c:v>
                </c:pt>
                <c:pt idx="13">
                  <c:v>180.74999823508043</c:v>
                </c:pt>
                <c:pt idx="14">
                  <c:v>166.84615221699733</c:v>
                </c:pt>
                <c:pt idx="15">
                  <c:v>148.96977876517619</c:v>
                </c:pt>
                <c:pt idx="16">
                  <c:v>127.12087787961704</c:v>
                </c:pt>
                <c:pt idx="17">
                  <c:v>101.2994495603198</c:v>
                </c:pt>
                <c:pt idx="18">
                  <c:v>71.505493807284566</c:v>
                </c:pt>
                <c:pt idx="19">
                  <c:v>37.739010620511301</c:v>
                </c:pt>
                <c:pt idx="20">
                  <c:v>0</c:v>
                </c:pt>
              </c:numCache>
            </c:numRef>
          </c:yVal>
          <c:smooth val="1"/>
        </c:ser>
        <c:ser>
          <c:idx val="4"/>
          <c:order val="4"/>
          <c:tx>
            <c:strRef>
              <c:f>'Rotating Device Motor Selector'!$AB$2</c:f>
              <c:strCache>
                <c:ptCount val="1"/>
                <c:pt idx="0">
                  <c:v>Load</c:v>
                </c:pt>
              </c:strCache>
            </c:strRef>
          </c:tx>
          <c:spPr>
            <a:ln w="44450">
              <a:solidFill>
                <a:schemeClr val="tx1">
                  <a:lumMod val="75000"/>
                  <a:lumOff val="25000"/>
                </a:schemeClr>
              </a:solidFill>
              <a:prstDash val="sysDash"/>
            </a:ln>
          </c:spPr>
          <c:marker>
            <c:symbol val="none"/>
          </c:marker>
          <c:xVal>
            <c:numRef>
              <c:f>'Rotating Device Motor Selector'!$AB$4:$AB$24</c:f>
              <c:numCache>
                <c:formatCode>_(* #,##0.00_);_(* \(#,##0.00\);_(* "-"??_);_(@_)</c:formatCode>
                <c:ptCount val="21"/>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numCache>
            </c:numRef>
          </c:xVal>
          <c:yVal>
            <c:numRef>
              <c:f>'Rotating Device Motor Selector'!$AC$4:$AC$24</c:f>
              <c:numCache>
                <c:formatCode>_(* #,##0.00_);_(* \(#,##0.00\);_(* "-"??_);_(@_)</c:formatCode>
                <c:ptCount val="21"/>
                <c:pt idx="0">
                  <c:v>0</c:v>
                </c:pt>
                <c:pt idx="1">
                  <c:v>10.924450442779587</c:v>
                </c:pt>
                <c:pt idx="2">
                  <c:v>21.848900885559175</c:v>
                </c:pt>
                <c:pt idx="3">
                  <c:v>32.773351328338762</c:v>
                </c:pt>
                <c:pt idx="4">
                  <c:v>43.69780177111835</c:v>
                </c:pt>
                <c:pt idx="5">
                  <c:v>54.622252213897944</c:v>
                </c:pt>
                <c:pt idx="6">
                  <c:v>65.546702656677525</c:v>
                </c:pt>
                <c:pt idx="7">
                  <c:v>76.471153099457112</c:v>
                </c:pt>
                <c:pt idx="8">
                  <c:v>87.395603542236699</c:v>
                </c:pt>
                <c:pt idx="9">
                  <c:v>98.320053985016315</c:v>
                </c:pt>
                <c:pt idx="10">
                  <c:v>109.24450442779589</c:v>
                </c:pt>
                <c:pt idx="11">
                  <c:v>120.16895487057548</c:v>
                </c:pt>
                <c:pt idx="12">
                  <c:v>131.09340531335505</c:v>
                </c:pt>
                <c:pt idx="13">
                  <c:v>142.01785575613462</c:v>
                </c:pt>
                <c:pt idx="14">
                  <c:v>152.94230619891422</c:v>
                </c:pt>
                <c:pt idx="15">
                  <c:v>163.86675664169383</c:v>
                </c:pt>
                <c:pt idx="16">
                  <c:v>174.7912070844734</c:v>
                </c:pt>
                <c:pt idx="17">
                  <c:v>185.71565752725303</c:v>
                </c:pt>
                <c:pt idx="18">
                  <c:v>196.64010797003263</c:v>
                </c:pt>
                <c:pt idx="19">
                  <c:v>207.56455841281218</c:v>
                </c:pt>
                <c:pt idx="20">
                  <c:v>218.48900885559178</c:v>
                </c:pt>
              </c:numCache>
            </c:numRef>
          </c:yVal>
          <c:smooth val="1"/>
        </c:ser>
        <c:dLbls>
          <c:showLegendKey val="0"/>
          <c:showVal val="0"/>
          <c:showCatName val="0"/>
          <c:showSerName val="0"/>
          <c:showPercent val="0"/>
          <c:showBubbleSize val="0"/>
        </c:dLbls>
        <c:axId val="43973248"/>
        <c:axId val="43971328"/>
      </c:scatterChart>
      <c:valAx>
        <c:axId val="43967232"/>
        <c:scaling>
          <c:orientation val="minMax"/>
        </c:scaling>
        <c:delete val="0"/>
        <c:axPos val="b"/>
        <c:title>
          <c:tx>
            <c:rich>
              <a:bodyPr/>
              <a:lstStyle/>
              <a:p>
                <a:pPr>
                  <a:defRPr/>
                </a:pPr>
                <a:r>
                  <a:rPr lang="en-US"/>
                  <a:t>Torque,</a:t>
                </a:r>
                <a:r>
                  <a:rPr lang="en-US" baseline="0"/>
                  <a:t> ft-lbs</a:t>
                </a:r>
                <a:endParaRPr lang="en-US"/>
              </a:p>
            </c:rich>
          </c:tx>
          <c:overlay val="0"/>
        </c:title>
        <c:numFmt formatCode="_(* #,##0.00_);_(* \(#,##0.00\);_(* &quot;-&quot;??_);_(@_)" sourceLinked="1"/>
        <c:majorTickMark val="out"/>
        <c:minorTickMark val="none"/>
        <c:tickLblPos val="nextTo"/>
        <c:crossAx val="43969152"/>
        <c:crosses val="autoZero"/>
        <c:crossBetween val="midCat"/>
      </c:valAx>
      <c:valAx>
        <c:axId val="43969152"/>
        <c:scaling>
          <c:orientation val="minMax"/>
        </c:scaling>
        <c:delete val="0"/>
        <c:axPos val="l"/>
        <c:majorGridlines/>
        <c:title>
          <c:tx>
            <c:rich>
              <a:bodyPr rot="-5400000" vert="horz"/>
              <a:lstStyle/>
              <a:p>
                <a:pPr>
                  <a:defRPr/>
                </a:pPr>
                <a:r>
                  <a:rPr lang="en-US"/>
                  <a:t>RPM, Efficiency %</a:t>
                </a:r>
              </a:p>
            </c:rich>
          </c:tx>
          <c:overlay val="0"/>
        </c:title>
        <c:numFmt formatCode="_(* #,##0_);_(* \(#,##0\);_(* &quot;-&quot;??_);_(@_)" sourceLinked="1"/>
        <c:majorTickMark val="out"/>
        <c:minorTickMark val="none"/>
        <c:tickLblPos val="nextTo"/>
        <c:crossAx val="43967232"/>
        <c:crosses val="autoZero"/>
        <c:crossBetween val="midCat"/>
      </c:valAx>
      <c:valAx>
        <c:axId val="43971328"/>
        <c:scaling>
          <c:orientation val="minMax"/>
        </c:scaling>
        <c:delete val="0"/>
        <c:axPos val="r"/>
        <c:title>
          <c:tx>
            <c:rich>
              <a:bodyPr rot="-5400000" vert="horz"/>
              <a:lstStyle/>
              <a:p>
                <a:pPr>
                  <a:defRPr/>
                </a:pPr>
                <a:r>
                  <a:rPr lang="en-US"/>
                  <a:t>Amps,</a:t>
                </a:r>
                <a:r>
                  <a:rPr lang="en-US" baseline="0"/>
                  <a:t> Power out (w)</a:t>
                </a:r>
                <a:endParaRPr lang="en-US"/>
              </a:p>
            </c:rich>
          </c:tx>
          <c:overlay val="0"/>
        </c:title>
        <c:numFmt formatCode="_(* #,##0.00_);_(* \(#,##0.00\);_(* &quot;-&quot;??_);_(@_)" sourceLinked="1"/>
        <c:majorTickMark val="out"/>
        <c:minorTickMark val="none"/>
        <c:tickLblPos val="nextTo"/>
        <c:crossAx val="43973248"/>
        <c:crosses val="max"/>
        <c:crossBetween val="midCat"/>
      </c:valAx>
      <c:valAx>
        <c:axId val="43973248"/>
        <c:scaling>
          <c:orientation val="minMax"/>
        </c:scaling>
        <c:delete val="1"/>
        <c:axPos val="b"/>
        <c:numFmt formatCode="_(* #,##0.00_);_(* \(#,##0.00\);_(* &quot;-&quot;??_);_(@_)" sourceLinked="1"/>
        <c:majorTickMark val="out"/>
        <c:minorTickMark val="none"/>
        <c:tickLblPos val="nextTo"/>
        <c:crossAx val="4397132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xVal>
            <c:numRef>
              <c:f>'variable gear efficiency'!$B$4:$B$12</c:f>
              <c:numCache>
                <c:formatCode>General</c:formatCode>
                <c:ptCount val="9"/>
                <c:pt idx="0">
                  <c:v>0</c:v>
                </c:pt>
                <c:pt idx="1">
                  <c:v>10</c:v>
                </c:pt>
                <c:pt idx="2">
                  <c:v>20</c:v>
                </c:pt>
                <c:pt idx="3">
                  <c:v>30</c:v>
                </c:pt>
                <c:pt idx="4">
                  <c:v>40</c:v>
                </c:pt>
                <c:pt idx="5">
                  <c:v>50</c:v>
                </c:pt>
                <c:pt idx="6">
                  <c:v>60</c:v>
                </c:pt>
                <c:pt idx="7">
                  <c:v>70</c:v>
                </c:pt>
                <c:pt idx="8">
                  <c:v>75</c:v>
                </c:pt>
              </c:numCache>
            </c:numRef>
          </c:xVal>
          <c:yVal>
            <c:numRef>
              <c:f>'variable gear efficiency'!$C$4:$C$12</c:f>
              <c:numCache>
                <c:formatCode>0%</c:formatCode>
                <c:ptCount val="9"/>
                <c:pt idx="0">
                  <c:v>0</c:v>
                </c:pt>
                <c:pt idx="1">
                  <c:v>0.62</c:v>
                </c:pt>
                <c:pt idx="2">
                  <c:v>0.7</c:v>
                </c:pt>
                <c:pt idx="3">
                  <c:v>0.72</c:v>
                </c:pt>
                <c:pt idx="4">
                  <c:v>0.73</c:v>
                </c:pt>
                <c:pt idx="5">
                  <c:v>0.74</c:v>
                </c:pt>
                <c:pt idx="6">
                  <c:v>0.74</c:v>
                </c:pt>
                <c:pt idx="7">
                  <c:v>0.75</c:v>
                </c:pt>
                <c:pt idx="8">
                  <c:v>0.75</c:v>
                </c:pt>
              </c:numCache>
            </c:numRef>
          </c:yVal>
          <c:smooth val="1"/>
        </c:ser>
        <c:dLbls>
          <c:showLegendKey val="0"/>
          <c:showVal val="0"/>
          <c:showCatName val="0"/>
          <c:showSerName val="0"/>
          <c:showPercent val="0"/>
          <c:showBubbleSize val="0"/>
        </c:dLbls>
        <c:axId val="43978112"/>
        <c:axId val="44876544"/>
      </c:scatterChart>
      <c:valAx>
        <c:axId val="43978112"/>
        <c:scaling>
          <c:orientation val="minMax"/>
        </c:scaling>
        <c:delete val="0"/>
        <c:axPos val="b"/>
        <c:numFmt formatCode="General" sourceLinked="1"/>
        <c:majorTickMark val="out"/>
        <c:minorTickMark val="none"/>
        <c:tickLblPos val="nextTo"/>
        <c:crossAx val="44876544"/>
        <c:crosses val="autoZero"/>
        <c:crossBetween val="midCat"/>
      </c:valAx>
      <c:valAx>
        <c:axId val="44876544"/>
        <c:scaling>
          <c:orientation val="minMax"/>
        </c:scaling>
        <c:delete val="0"/>
        <c:axPos val="l"/>
        <c:majorGridlines/>
        <c:numFmt formatCode="0%" sourceLinked="1"/>
        <c:majorTickMark val="out"/>
        <c:minorTickMark val="none"/>
        <c:tickLblPos val="nextTo"/>
        <c:crossAx val="4397811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11171982078996"/>
          <c:y val="4.432143586842064E-2"/>
          <c:w val="0.8091164305358205"/>
          <c:h val="0.56732476237080531"/>
        </c:manualLayout>
      </c:layout>
      <c:scatterChart>
        <c:scatterStyle val="smoothMarker"/>
        <c:varyColors val="0"/>
        <c:ser>
          <c:idx val="2"/>
          <c:order val="0"/>
          <c:tx>
            <c:strRef>
              <c:f>'Rotating Arm'!$D$40</c:f>
              <c:strCache>
                <c:ptCount val="1"/>
                <c:pt idx="0">
                  <c:v>Arm Weight Torque (ft-lbs)</c:v>
                </c:pt>
              </c:strCache>
            </c:strRef>
          </c:tx>
          <c:marker>
            <c:symbol val="none"/>
          </c:marker>
          <c:xVal>
            <c:numRef>
              <c:f>'Rotating Arm'!$A$41:$A$56</c:f>
              <c:numCache>
                <c:formatCode>General</c:formatCode>
                <c:ptCount val="1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numCache>
            </c:numRef>
          </c:xVal>
          <c:yVal>
            <c:numRef>
              <c:f>'Rotating Arm'!$D$41:$D$56</c:f>
              <c:numCache>
                <c:formatCode>_(* #,##0.00_);_(* \(#,##0.00\);_(* "-"??_);_(@_)</c:formatCode>
                <c:ptCount val="16"/>
                <c:pt idx="0">
                  <c:v>0</c:v>
                </c:pt>
                <c:pt idx="1">
                  <c:v>3.472963553338607</c:v>
                </c:pt>
                <c:pt idx="2">
                  <c:v>6.840402866513374</c:v>
                </c:pt>
                <c:pt idx="3">
                  <c:v>10</c:v>
                </c:pt>
                <c:pt idx="4">
                  <c:v>12.855752193730785</c:v>
                </c:pt>
                <c:pt idx="5">
                  <c:v>15.320888862379562</c:v>
                </c:pt>
                <c:pt idx="6">
                  <c:v>17.320508075688771</c:v>
                </c:pt>
                <c:pt idx="7">
                  <c:v>18.793852415718167</c:v>
                </c:pt>
                <c:pt idx="8">
                  <c:v>19.696155060244163</c:v>
                </c:pt>
                <c:pt idx="9">
                  <c:v>20</c:v>
                </c:pt>
                <c:pt idx="10">
                  <c:v>19.696155060244163</c:v>
                </c:pt>
                <c:pt idx="11">
                  <c:v>18.79385241571817</c:v>
                </c:pt>
                <c:pt idx="12">
                  <c:v>17.320508075688775</c:v>
                </c:pt>
                <c:pt idx="13">
                  <c:v>15.320888862379562</c:v>
                </c:pt>
                <c:pt idx="14">
                  <c:v>12.85575219373079</c:v>
                </c:pt>
                <c:pt idx="15">
                  <c:v>10</c:v>
                </c:pt>
              </c:numCache>
            </c:numRef>
          </c:yVal>
          <c:smooth val="1"/>
        </c:ser>
        <c:ser>
          <c:idx val="3"/>
          <c:order val="1"/>
          <c:tx>
            <c:strRef>
              <c:f>'Rotating Arm'!$M$40</c:f>
              <c:strCache>
                <c:ptCount val="1"/>
                <c:pt idx="0">
                  <c:v>Net arm torque with spring</c:v>
                </c:pt>
              </c:strCache>
            </c:strRef>
          </c:tx>
          <c:spPr>
            <a:ln>
              <a:prstDash val="dash"/>
            </a:ln>
          </c:spPr>
          <c:marker>
            <c:symbol val="none"/>
          </c:marker>
          <c:xVal>
            <c:numRef>
              <c:f>'Rotating Arm'!$A$41:$A$56</c:f>
              <c:numCache>
                <c:formatCode>General</c:formatCode>
                <c:ptCount val="1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numCache>
            </c:numRef>
          </c:xVal>
          <c:yVal>
            <c:numRef>
              <c:f>'Rotating Arm'!$M$41:$M$56</c:f>
              <c:numCache>
                <c:formatCode>_(* #,##0.00_);_(* \(#,##0.00\);_(* "-"??_);_(@_)</c:formatCode>
                <c:ptCount val="16"/>
                <c:pt idx="0">
                  <c:v>0</c:v>
                </c:pt>
                <c:pt idx="1">
                  <c:v>0.3624442044873839</c:v>
                </c:pt>
                <c:pt idx="2">
                  <c:v>0.65631461625833865</c:v>
                </c:pt>
                <c:pt idx="3">
                  <c:v>0.81681443633267037</c:v>
                </c:pt>
                <c:pt idx="4">
                  <c:v>0.78669684602491863</c:v>
                </c:pt>
                <c:pt idx="5">
                  <c:v>0.52004749308879283</c:v>
                </c:pt>
                <c:pt idx="6">
                  <c:v>-1.3873056349638091E-2</c:v>
                </c:pt>
                <c:pt idx="7">
                  <c:v>-0.82661675192178308</c:v>
                </c:pt>
                <c:pt idx="8">
                  <c:v>-1.906170627182739</c:v>
                </c:pt>
                <c:pt idx="9">
                  <c:v>-3.2119172721314797</c:v>
                </c:pt>
                <c:pt idx="10">
                  <c:v>-4.6685564084309235</c:v>
                </c:pt>
                <c:pt idx="11">
                  <c:v>-6.1586955544434758</c:v>
                </c:pt>
                <c:pt idx="12">
                  <c:v>-7.5144736192807891</c:v>
                </c:pt>
                <c:pt idx="13">
                  <c:v>-8.5108138134801905</c:v>
                </c:pt>
                <c:pt idx="14">
                  <c:v>-8.8686868290485457</c:v>
                </c:pt>
                <c:pt idx="15">
                  <c:v>-8.2880770160210453</c:v>
                </c:pt>
              </c:numCache>
            </c:numRef>
          </c:yVal>
          <c:smooth val="1"/>
        </c:ser>
        <c:ser>
          <c:idx val="1"/>
          <c:order val="3"/>
          <c:tx>
            <c:strRef>
              <c:f>'Rotating Arm'!$P$40</c:f>
              <c:strCache>
                <c:ptCount val="1"/>
                <c:pt idx="0">
                  <c:v>Arm + Game Piece Torque (unbalanced)</c:v>
                </c:pt>
              </c:strCache>
            </c:strRef>
          </c:tx>
          <c:marker>
            <c:symbol val="none"/>
          </c:marker>
          <c:xVal>
            <c:numRef>
              <c:f>'Rotating Arm'!$A$41:$A$56</c:f>
              <c:numCache>
                <c:formatCode>General</c:formatCode>
                <c:ptCount val="1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numCache>
            </c:numRef>
          </c:xVal>
          <c:yVal>
            <c:numRef>
              <c:f>'Rotating Arm'!$P$41:$P$56</c:f>
              <c:numCache>
                <c:formatCode>_(* #,##0.00_);_(* \(#,##0.00\);_(* "-"??_);_(@_)</c:formatCode>
                <c:ptCount val="16"/>
                <c:pt idx="0">
                  <c:v>0</c:v>
                </c:pt>
                <c:pt idx="1">
                  <c:v>6.0053328109813409</c:v>
                </c:pt>
                <c:pt idx="2">
                  <c:v>11.828196623346042</c:v>
                </c:pt>
                <c:pt idx="3">
                  <c:v>17.291666666666664</c:v>
                </c:pt>
                <c:pt idx="4">
                  <c:v>22.229738168326151</c:v>
                </c:pt>
                <c:pt idx="5">
                  <c:v>26.492370324531322</c:v>
                </c:pt>
                <c:pt idx="6">
                  <c:v>29.950045214211833</c:v>
                </c:pt>
                <c:pt idx="7">
                  <c:v>32.497703135512666</c:v>
                </c:pt>
                <c:pt idx="8">
                  <c:v>34.057934791672196</c:v>
                </c:pt>
                <c:pt idx="9">
                  <c:v>34.583333333333329</c:v>
                </c:pt>
                <c:pt idx="10">
                  <c:v>34.057934791672196</c:v>
                </c:pt>
                <c:pt idx="11">
                  <c:v>32.497703135512666</c:v>
                </c:pt>
                <c:pt idx="12">
                  <c:v>29.950045214211841</c:v>
                </c:pt>
                <c:pt idx="13">
                  <c:v>26.492370324531322</c:v>
                </c:pt>
                <c:pt idx="14">
                  <c:v>22.229738168326158</c:v>
                </c:pt>
                <c:pt idx="15">
                  <c:v>17.291666666666664</c:v>
                </c:pt>
              </c:numCache>
            </c:numRef>
          </c:yVal>
          <c:smooth val="1"/>
        </c:ser>
        <c:ser>
          <c:idx val="4"/>
          <c:order val="4"/>
          <c:tx>
            <c:strRef>
              <c:f>'Rotating Arm'!$Q$40</c:f>
              <c:strCache>
                <c:ptCount val="1"/>
                <c:pt idx="0">
                  <c:v>Net arm torque with spring and game piece</c:v>
                </c:pt>
              </c:strCache>
            </c:strRef>
          </c:tx>
          <c:spPr>
            <a:ln cmpd="sng">
              <a:prstDash val="sysDot"/>
            </a:ln>
          </c:spPr>
          <c:marker>
            <c:symbol val="none"/>
          </c:marker>
          <c:xVal>
            <c:numRef>
              <c:f>'Rotating Arm'!$A$41:$A$56</c:f>
              <c:numCache>
                <c:formatCode>General</c:formatCode>
                <c:ptCount val="1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numCache>
            </c:numRef>
          </c:xVal>
          <c:yVal>
            <c:numRef>
              <c:f>'Rotating Arm'!$Q$41:$Q$56</c:f>
              <c:numCache>
                <c:formatCode>_(* #,##0.00_);_(* \(#,##0.00\);_(* "-"??_);_(@_)</c:formatCode>
                <c:ptCount val="16"/>
                <c:pt idx="0">
                  <c:v>0</c:v>
                </c:pt>
                <c:pt idx="1">
                  <c:v>2.8948134621301178</c:v>
                </c:pt>
                <c:pt idx="2">
                  <c:v>5.6441083730910062</c:v>
                </c:pt>
                <c:pt idx="3">
                  <c:v>8.1084811029993347</c:v>
                </c:pt>
                <c:pt idx="4">
                  <c:v>10.160682820620284</c:v>
                </c:pt>
                <c:pt idx="5">
                  <c:v>11.691528955240553</c:v>
                </c:pt>
                <c:pt idx="6">
                  <c:v>12.615664082173424</c:v>
                </c:pt>
                <c:pt idx="7">
                  <c:v>12.877233967872716</c:v>
                </c:pt>
                <c:pt idx="8">
                  <c:v>12.455609104245294</c:v>
                </c:pt>
                <c:pt idx="9">
                  <c:v>11.371416061201849</c:v>
                </c:pt>
                <c:pt idx="10">
                  <c:v>9.6932233229971096</c:v>
                </c:pt>
                <c:pt idx="11">
                  <c:v>7.5451551653510194</c:v>
                </c:pt>
                <c:pt idx="12">
                  <c:v>5.1150635192422769</c:v>
                </c:pt>
                <c:pt idx="13">
                  <c:v>2.6606676486715699</c:v>
                </c:pt>
                <c:pt idx="14">
                  <c:v>0.50529914554682165</c:v>
                </c:pt>
                <c:pt idx="15">
                  <c:v>-0.996410349354381</c:v>
                </c:pt>
              </c:numCache>
            </c:numRef>
          </c:yVal>
          <c:smooth val="1"/>
        </c:ser>
        <c:dLbls>
          <c:showLegendKey val="0"/>
          <c:showVal val="0"/>
          <c:showCatName val="0"/>
          <c:showSerName val="0"/>
          <c:showPercent val="0"/>
          <c:showBubbleSize val="0"/>
        </c:dLbls>
        <c:axId val="45581440"/>
        <c:axId val="45583360"/>
      </c:scatterChart>
      <c:scatterChart>
        <c:scatterStyle val="smoothMarker"/>
        <c:varyColors val="0"/>
        <c:ser>
          <c:idx val="0"/>
          <c:order val="2"/>
          <c:tx>
            <c:strRef>
              <c:f>'Rotating Arm'!$I$40</c:f>
              <c:strCache>
                <c:ptCount val="1"/>
                <c:pt idx="0">
                  <c:v>Spring pull angle</c:v>
                </c:pt>
              </c:strCache>
            </c:strRef>
          </c:tx>
          <c:spPr>
            <a:ln>
              <a:solidFill>
                <a:schemeClr val="bg1">
                  <a:lumMod val="85000"/>
                </a:schemeClr>
              </a:solidFill>
            </a:ln>
          </c:spPr>
          <c:marker>
            <c:symbol val="none"/>
          </c:marker>
          <c:xVal>
            <c:numRef>
              <c:f>'Rotating Arm'!$A$41:$A$56</c:f>
              <c:numCache>
                <c:formatCode>General</c:formatCode>
                <c:ptCount val="1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numCache>
            </c:numRef>
          </c:xVal>
          <c:yVal>
            <c:numRef>
              <c:f>'Rotating Arm'!$I$41:$I$56</c:f>
              <c:numCache>
                <c:formatCode>_(* #,##0.00_);_(* \(#,##0.00\);_(* "-"??_);_(@_)</c:formatCode>
                <c:ptCount val="16"/>
                <c:pt idx="0">
                  <c:v>0</c:v>
                </c:pt>
                <c:pt idx="1">
                  <c:v>2.8526925517508874</c:v>
                </c:pt>
                <c:pt idx="2">
                  <c:v>5.678445856616543</c:v>
                </c:pt>
                <c:pt idx="3">
                  <c:v>8.449113362178311</c:v>
                </c:pt>
                <c:pt idx="4">
                  <c:v>11.134037500002764</c:v>
                </c:pt>
                <c:pt idx="5">
                  <c:v>13.698544290137971</c:v>
                </c:pt>
                <c:pt idx="6">
                  <c:v>16.102113751986014</c:v>
                </c:pt>
                <c:pt idx="7">
                  <c:v>18.296080495080375</c:v>
                </c:pt>
                <c:pt idx="8">
                  <c:v>20.220698340565693</c:v>
                </c:pt>
                <c:pt idx="9">
                  <c:v>21.801409486351808</c:v>
                </c:pt>
                <c:pt idx="10">
                  <c:v>22.944256871428834</c:v>
                </c:pt>
                <c:pt idx="11">
                  <c:v>23.530723767460188</c:v>
                </c:pt>
                <c:pt idx="12">
                  <c:v>23.413224446370538</c:v>
                </c:pt>
                <c:pt idx="13">
                  <c:v>22.414679815767698</c:v>
                </c:pt>
                <c:pt idx="14">
                  <c:v>20.340042003833979</c:v>
                </c:pt>
                <c:pt idx="15">
                  <c:v>17.014231699693301</c:v>
                </c:pt>
              </c:numCache>
            </c:numRef>
          </c:yVal>
          <c:smooth val="1"/>
        </c:ser>
        <c:dLbls>
          <c:showLegendKey val="0"/>
          <c:showVal val="0"/>
          <c:showCatName val="0"/>
          <c:showSerName val="0"/>
          <c:showPercent val="0"/>
          <c:showBubbleSize val="0"/>
        </c:dLbls>
        <c:axId val="45628032"/>
        <c:axId val="45626496"/>
      </c:scatterChart>
      <c:valAx>
        <c:axId val="45581440"/>
        <c:scaling>
          <c:orientation val="minMax"/>
        </c:scaling>
        <c:delete val="0"/>
        <c:axPos val="b"/>
        <c:title>
          <c:tx>
            <c:rich>
              <a:bodyPr/>
              <a:lstStyle/>
              <a:p>
                <a:pPr>
                  <a:defRPr/>
                </a:pPr>
                <a:r>
                  <a:rPr lang="en-US"/>
                  <a:t>Rotation Angle</a:t>
                </a:r>
              </a:p>
            </c:rich>
          </c:tx>
          <c:layout/>
          <c:overlay val="0"/>
        </c:title>
        <c:numFmt formatCode="General" sourceLinked="1"/>
        <c:majorTickMark val="out"/>
        <c:minorTickMark val="none"/>
        <c:tickLblPos val="nextTo"/>
        <c:crossAx val="45583360"/>
        <c:crosses val="autoZero"/>
        <c:crossBetween val="midCat"/>
      </c:valAx>
      <c:valAx>
        <c:axId val="45583360"/>
        <c:scaling>
          <c:orientation val="minMax"/>
        </c:scaling>
        <c:delete val="0"/>
        <c:axPos val="l"/>
        <c:majorGridlines/>
        <c:title>
          <c:tx>
            <c:rich>
              <a:bodyPr rot="-5400000" vert="horz"/>
              <a:lstStyle/>
              <a:p>
                <a:pPr>
                  <a:defRPr/>
                </a:pPr>
                <a:r>
                  <a:rPr lang="en-US"/>
                  <a:t>Torque Load</a:t>
                </a:r>
                <a:r>
                  <a:rPr lang="en-US" baseline="0"/>
                  <a:t> - Ft lbs</a:t>
                </a:r>
                <a:endParaRPr lang="en-US"/>
              </a:p>
            </c:rich>
          </c:tx>
          <c:layout/>
          <c:overlay val="0"/>
        </c:title>
        <c:numFmt formatCode="_(* #,##0.00_);_(* \(#,##0.00\);_(* &quot;-&quot;??_);_(@_)" sourceLinked="1"/>
        <c:majorTickMark val="out"/>
        <c:minorTickMark val="none"/>
        <c:tickLblPos val="nextTo"/>
        <c:crossAx val="45581440"/>
        <c:crosses val="autoZero"/>
        <c:crossBetween val="midCat"/>
      </c:valAx>
      <c:valAx>
        <c:axId val="45626496"/>
        <c:scaling>
          <c:orientation val="minMax"/>
        </c:scaling>
        <c:delete val="0"/>
        <c:axPos val="r"/>
        <c:numFmt formatCode="_(* #,##0.00_);_(* \(#,##0.00\);_(* &quot;-&quot;??_);_(@_)" sourceLinked="1"/>
        <c:majorTickMark val="out"/>
        <c:minorTickMark val="none"/>
        <c:tickLblPos val="nextTo"/>
        <c:crossAx val="45628032"/>
        <c:crosses val="max"/>
        <c:crossBetween val="midCat"/>
      </c:valAx>
      <c:valAx>
        <c:axId val="45628032"/>
        <c:scaling>
          <c:orientation val="minMax"/>
        </c:scaling>
        <c:delete val="1"/>
        <c:axPos val="b"/>
        <c:numFmt formatCode="General" sourceLinked="1"/>
        <c:majorTickMark val="out"/>
        <c:minorTickMark val="none"/>
        <c:tickLblPos val="nextTo"/>
        <c:crossAx val="45626496"/>
        <c:crosses val="autoZero"/>
        <c:crossBetween val="midCat"/>
      </c:valAx>
    </c:plotArea>
    <c:legend>
      <c:legendPos val="b"/>
      <c:layout>
        <c:manualLayout>
          <c:xMode val="edge"/>
          <c:yMode val="edge"/>
          <c:x val="7.4356263141109658E-2"/>
          <c:y val="0.67211982430767581"/>
          <c:w val="0.88993460991952422"/>
          <c:h val="0.30392790186940916"/>
        </c:manualLayout>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4"/>
          <c:order val="1"/>
          <c:tx>
            <c:v>Force out</c:v>
          </c:tx>
          <c:marker>
            <c:symbol val="none"/>
          </c:marker>
          <c:xVal>
            <c:numRef>
              <c:f>'Toggle Linkage'!$B$22:$B$31</c:f>
              <c:numCache>
                <c:formatCode>General</c:formatCode>
                <c:ptCount val="10"/>
                <c:pt idx="0">
                  <c:v>45</c:v>
                </c:pt>
                <c:pt idx="1">
                  <c:v>50</c:v>
                </c:pt>
                <c:pt idx="2">
                  <c:v>55</c:v>
                </c:pt>
                <c:pt idx="3">
                  <c:v>60</c:v>
                </c:pt>
                <c:pt idx="4">
                  <c:v>65</c:v>
                </c:pt>
                <c:pt idx="5">
                  <c:v>70</c:v>
                </c:pt>
                <c:pt idx="6">
                  <c:v>75</c:v>
                </c:pt>
                <c:pt idx="7">
                  <c:v>80</c:v>
                </c:pt>
                <c:pt idx="8">
                  <c:v>85</c:v>
                </c:pt>
                <c:pt idx="9">
                  <c:v>89</c:v>
                </c:pt>
              </c:numCache>
            </c:numRef>
          </c:xVal>
          <c:yVal>
            <c:numRef>
              <c:f>'Toggle Linkage'!$G$22:$G$31</c:f>
              <c:numCache>
                <c:formatCode>_(* #,##0.00_);_(* \(#,##0.00\);_(* "-"??_);_(@_)</c:formatCode>
                <c:ptCount val="10"/>
                <c:pt idx="0">
                  <c:v>12.999999999999998</c:v>
                </c:pt>
                <c:pt idx="1">
                  <c:v>15.49279670372473</c:v>
                </c:pt>
                <c:pt idx="2">
                  <c:v>18.565924087647488</c:v>
                </c:pt>
                <c:pt idx="3">
                  <c:v>22.516660498395396</c:v>
                </c:pt>
                <c:pt idx="4">
                  <c:v>27.878589966624261</c:v>
                </c:pt>
                <c:pt idx="5">
                  <c:v>35.717206452910084</c:v>
                </c:pt>
                <c:pt idx="6">
                  <c:v>48.51666049839541</c:v>
                </c:pt>
                <c:pt idx="7">
                  <c:v>73.72666365503018</c:v>
                </c:pt>
                <c:pt idx="8">
                  <c:v>148.59067993589753</c:v>
                </c:pt>
                <c:pt idx="9">
                  <c:v>744.76950119987839</c:v>
                </c:pt>
              </c:numCache>
            </c:numRef>
          </c:yVal>
          <c:smooth val="1"/>
        </c:ser>
        <c:dLbls>
          <c:showLegendKey val="0"/>
          <c:showVal val="0"/>
          <c:showCatName val="0"/>
          <c:showSerName val="0"/>
          <c:showPercent val="0"/>
          <c:showBubbleSize val="0"/>
        </c:dLbls>
        <c:axId val="44836352"/>
        <c:axId val="44837888"/>
      </c:scatterChart>
      <c:scatterChart>
        <c:scatterStyle val="smoothMarker"/>
        <c:varyColors val="0"/>
        <c:ser>
          <c:idx val="3"/>
          <c:order val="0"/>
          <c:tx>
            <c:v>2X - Length</c:v>
          </c:tx>
          <c:marker>
            <c:symbol val="none"/>
          </c:marker>
          <c:xVal>
            <c:numRef>
              <c:f>'Toggle Linkage'!$B$22:$B$31</c:f>
              <c:numCache>
                <c:formatCode>General</c:formatCode>
                <c:ptCount val="10"/>
                <c:pt idx="0">
                  <c:v>45</c:v>
                </c:pt>
                <c:pt idx="1">
                  <c:v>50</c:v>
                </c:pt>
                <c:pt idx="2">
                  <c:v>55</c:v>
                </c:pt>
                <c:pt idx="3">
                  <c:v>60</c:v>
                </c:pt>
                <c:pt idx="4">
                  <c:v>65</c:v>
                </c:pt>
                <c:pt idx="5">
                  <c:v>70</c:v>
                </c:pt>
                <c:pt idx="6">
                  <c:v>75</c:v>
                </c:pt>
                <c:pt idx="7">
                  <c:v>80</c:v>
                </c:pt>
                <c:pt idx="8">
                  <c:v>85</c:v>
                </c:pt>
                <c:pt idx="9">
                  <c:v>89</c:v>
                </c:pt>
              </c:numCache>
            </c:numRef>
          </c:xVal>
          <c:yVal>
            <c:numRef>
              <c:f>'Toggle Linkage'!$F$22:$F$31</c:f>
              <c:numCache>
                <c:formatCode>_(* #,##0.00_);_(* \(#,##0.00\);_(* "-"??_);_(@_)</c:formatCode>
                <c:ptCount val="10"/>
                <c:pt idx="0">
                  <c:v>3.5355339059327373</c:v>
                </c:pt>
                <c:pt idx="1">
                  <c:v>3.83022221559489</c:v>
                </c:pt>
                <c:pt idx="2">
                  <c:v>4.0957602214449587</c:v>
                </c:pt>
                <c:pt idx="3">
                  <c:v>4.3301270189221928</c:v>
                </c:pt>
                <c:pt idx="4">
                  <c:v>4.5315389351832494</c:v>
                </c:pt>
                <c:pt idx="5">
                  <c:v>4.6984631039295417</c:v>
                </c:pt>
                <c:pt idx="6">
                  <c:v>4.8296291314453415</c:v>
                </c:pt>
                <c:pt idx="7">
                  <c:v>4.9240387650610398</c:v>
                </c:pt>
                <c:pt idx="8">
                  <c:v>4.9809734904587275</c:v>
                </c:pt>
                <c:pt idx="9">
                  <c:v>4.9992384757819561</c:v>
                </c:pt>
              </c:numCache>
            </c:numRef>
          </c:yVal>
          <c:smooth val="1"/>
        </c:ser>
        <c:dLbls>
          <c:showLegendKey val="0"/>
          <c:showVal val="0"/>
          <c:showCatName val="0"/>
          <c:showSerName val="0"/>
          <c:showPercent val="0"/>
          <c:showBubbleSize val="0"/>
        </c:dLbls>
        <c:axId val="44972288"/>
        <c:axId val="44970752"/>
      </c:scatterChart>
      <c:valAx>
        <c:axId val="44836352"/>
        <c:scaling>
          <c:orientation val="minMax"/>
          <c:max val="90"/>
          <c:min val="45"/>
        </c:scaling>
        <c:delete val="0"/>
        <c:axPos val="b"/>
        <c:numFmt formatCode="General" sourceLinked="1"/>
        <c:majorTickMark val="out"/>
        <c:minorTickMark val="none"/>
        <c:tickLblPos val="nextTo"/>
        <c:crossAx val="44837888"/>
        <c:crosses val="autoZero"/>
        <c:crossBetween val="midCat"/>
      </c:valAx>
      <c:valAx>
        <c:axId val="44837888"/>
        <c:scaling>
          <c:orientation val="minMax"/>
        </c:scaling>
        <c:delete val="0"/>
        <c:axPos val="l"/>
        <c:majorGridlines/>
        <c:numFmt formatCode="_(* #,##0.00_);_(* \(#,##0.00\);_(* &quot;-&quot;??_);_(@_)" sourceLinked="1"/>
        <c:majorTickMark val="out"/>
        <c:minorTickMark val="none"/>
        <c:tickLblPos val="nextTo"/>
        <c:crossAx val="44836352"/>
        <c:crosses val="autoZero"/>
        <c:crossBetween val="midCat"/>
      </c:valAx>
      <c:valAx>
        <c:axId val="44970752"/>
        <c:scaling>
          <c:orientation val="minMax"/>
        </c:scaling>
        <c:delete val="0"/>
        <c:axPos val="r"/>
        <c:numFmt formatCode="_(* #,##0.00_);_(* \(#,##0.00\);_(* &quot;-&quot;??_);_(@_)" sourceLinked="1"/>
        <c:majorTickMark val="out"/>
        <c:minorTickMark val="none"/>
        <c:tickLblPos val="nextTo"/>
        <c:crossAx val="44972288"/>
        <c:crosses val="max"/>
        <c:crossBetween val="midCat"/>
      </c:valAx>
      <c:valAx>
        <c:axId val="44972288"/>
        <c:scaling>
          <c:orientation val="minMax"/>
        </c:scaling>
        <c:delete val="1"/>
        <c:axPos val="b"/>
        <c:numFmt formatCode="General" sourceLinked="1"/>
        <c:majorTickMark val="out"/>
        <c:minorTickMark val="none"/>
        <c:tickLblPos val="nextTo"/>
        <c:crossAx val="44970752"/>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Top View</a:t>
            </a:r>
          </a:p>
        </c:rich>
      </c:tx>
      <c:layout>
        <c:manualLayout>
          <c:xMode val="edge"/>
          <c:yMode val="edge"/>
          <c:x val="0.45039193200774874"/>
          <c:y val="3.0567685589519649E-2"/>
        </c:manualLayout>
      </c:layout>
      <c:overlay val="0"/>
      <c:spPr>
        <a:noFill/>
        <a:ln w="25400">
          <a:noFill/>
        </a:ln>
      </c:spPr>
    </c:title>
    <c:autoTitleDeleted val="0"/>
    <c:plotArea>
      <c:layout>
        <c:manualLayout>
          <c:layoutTarget val="inner"/>
          <c:xMode val="edge"/>
          <c:yMode val="edge"/>
          <c:x val="8.4856450957981652E-2"/>
          <c:y val="0.15938864628820962"/>
          <c:w val="0.60704999531479176"/>
          <c:h val="0.68995633187772931"/>
        </c:manualLayout>
      </c:layout>
      <c:scatterChart>
        <c:scatterStyle val="lineMarker"/>
        <c:varyColors val="0"/>
        <c:ser>
          <c:idx val="0"/>
          <c:order val="0"/>
          <c:tx>
            <c:strRef>
              <c:f>'COG Tool'!$AA$4</c:f>
              <c:strCache>
                <c:ptCount val="1"/>
                <c:pt idx="0">
                  <c:v>Inspection Box</c:v>
                </c:pt>
              </c:strCache>
            </c:strRef>
          </c:tx>
          <c:spPr>
            <a:ln w="38100">
              <a:solidFill>
                <a:srgbClr val="000080"/>
              </a:solidFill>
              <a:prstDash val="sysDash"/>
            </a:ln>
          </c:spPr>
          <c:marker>
            <c:symbol val="none"/>
          </c:marker>
          <c:xVal>
            <c:numRef>
              <c:f>'COG Tool'!$AB$4:$AB$8</c:f>
              <c:numCache>
                <c:formatCode>General</c:formatCode>
                <c:ptCount val="5"/>
                <c:pt idx="0">
                  <c:v>0</c:v>
                </c:pt>
                <c:pt idx="1">
                  <c:v>39</c:v>
                </c:pt>
                <c:pt idx="2">
                  <c:v>39</c:v>
                </c:pt>
                <c:pt idx="3">
                  <c:v>0</c:v>
                </c:pt>
                <c:pt idx="4">
                  <c:v>0</c:v>
                </c:pt>
              </c:numCache>
            </c:numRef>
          </c:xVal>
          <c:yVal>
            <c:numRef>
              <c:f>'COG Tool'!$AC$4:$AC$8</c:f>
              <c:numCache>
                <c:formatCode>General</c:formatCode>
                <c:ptCount val="5"/>
                <c:pt idx="0">
                  <c:v>0</c:v>
                </c:pt>
                <c:pt idx="1">
                  <c:v>0</c:v>
                </c:pt>
                <c:pt idx="2">
                  <c:v>28</c:v>
                </c:pt>
                <c:pt idx="3">
                  <c:v>28</c:v>
                </c:pt>
                <c:pt idx="4">
                  <c:v>0</c:v>
                </c:pt>
              </c:numCache>
            </c:numRef>
          </c:yVal>
          <c:smooth val="0"/>
        </c:ser>
        <c:ser>
          <c:idx val="1"/>
          <c:order val="1"/>
          <c:tx>
            <c:strRef>
              <c:f>'COG Tool'!$AA$9</c:f>
              <c:strCache>
                <c:ptCount val="1"/>
                <c:pt idx="0">
                  <c:v>Drivetrain</c:v>
                </c:pt>
              </c:strCache>
            </c:strRef>
          </c:tx>
          <c:spPr>
            <a:ln w="12700">
              <a:solidFill>
                <a:srgbClr val="FF00FF"/>
              </a:solidFill>
              <a:prstDash val="solid"/>
            </a:ln>
          </c:spPr>
          <c:marker>
            <c:symbol val="none"/>
          </c:marker>
          <c:xVal>
            <c:numRef>
              <c:f>'COG Tool'!$AB$9:$AB$13</c:f>
              <c:numCache>
                <c:formatCode>General</c:formatCode>
                <c:ptCount val="5"/>
                <c:pt idx="0">
                  <c:v>0</c:v>
                </c:pt>
                <c:pt idx="1">
                  <c:v>39</c:v>
                </c:pt>
                <c:pt idx="2">
                  <c:v>39</c:v>
                </c:pt>
                <c:pt idx="3">
                  <c:v>0</c:v>
                </c:pt>
                <c:pt idx="4">
                  <c:v>0</c:v>
                </c:pt>
              </c:numCache>
            </c:numRef>
          </c:xVal>
          <c:yVal>
            <c:numRef>
              <c:f>'COG Tool'!$AC$9:$AC$13</c:f>
              <c:numCache>
                <c:formatCode>General</c:formatCode>
                <c:ptCount val="5"/>
                <c:pt idx="0">
                  <c:v>0</c:v>
                </c:pt>
                <c:pt idx="1">
                  <c:v>0</c:v>
                </c:pt>
                <c:pt idx="2">
                  <c:v>28</c:v>
                </c:pt>
                <c:pt idx="3">
                  <c:v>28</c:v>
                </c:pt>
                <c:pt idx="4">
                  <c:v>0</c:v>
                </c:pt>
              </c:numCache>
            </c:numRef>
          </c:yVal>
          <c:smooth val="0"/>
        </c:ser>
        <c:ser>
          <c:idx val="2"/>
          <c:order val="2"/>
          <c:tx>
            <c:strRef>
              <c:f>'COG Tool'!$AA$14</c:f>
              <c:strCache>
                <c:ptCount val="1"/>
                <c:pt idx="0">
                  <c:v>Electronics Board</c:v>
                </c:pt>
              </c:strCache>
            </c:strRef>
          </c:tx>
          <c:spPr>
            <a:ln w="12700">
              <a:solidFill>
                <a:srgbClr val="FFFF00"/>
              </a:solidFill>
              <a:prstDash val="solid"/>
            </a:ln>
          </c:spPr>
          <c:marker>
            <c:symbol val="none"/>
          </c:marker>
          <c:xVal>
            <c:numRef>
              <c:f>'COG Tool'!$AB$14:$AB$18</c:f>
              <c:numCache>
                <c:formatCode>General</c:formatCode>
                <c:ptCount val="5"/>
                <c:pt idx="0">
                  <c:v>7.5</c:v>
                </c:pt>
                <c:pt idx="1">
                  <c:v>31.5</c:v>
                </c:pt>
                <c:pt idx="2">
                  <c:v>31.5</c:v>
                </c:pt>
                <c:pt idx="3">
                  <c:v>7.5</c:v>
                </c:pt>
                <c:pt idx="4">
                  <c:v>7.5</c:v>
                </c:pt>
              </c:numCache>
            </c:numRef>
          </c:xVal>
          <c:yVal>
            <c:numRef>
              <c:f>'COG Tool'!$AC$14:$AC$18</c:f>
              <c:numCache>
                <c:formatCode>General</c:formatCode>
                <c:ptCount val="5"/>
                <c:pt idx="0">
                  <c:v>5</c:v>
                </c:pt>
                <c:pt idx="1">
                  <c:v>5</c:v>
                </c:pt>
                <c:pt idx="2">
                  <c:v>23</c:v>
                </c:pt>
                <c:pt idx="3">
                  <c:v>23</c:v>
                </c:pt>
                <c:pt idx="4">
                  <c:v>5</c:v>
                </c:pt>
              </c:numCache>
            </c:numRef>
          </c:yVal>
          <c:smooth val="0"/>
        </c:ser>
        <c:ser>
          <c:idx val="3"/>
          <c:order val="3"/>
          <c:tx>
            <c:strRef>
              <c:f>'COG Tool'!$AA$19</c:f>
              <c:strCache>
                <c:ptCount val="1"/>
                <c:pt idx="0">
                  <c:v>Mast</c:v>
                </c:pt>
              </c:strCache>
            </c:strRef>
          </c:tx>
          <c:spPr>
            <a:ln w="12700">
              <a:solidFill>
                <a:srgbClr val="00FFFF"/>
              </a:solidFill>
              <a:prstDash val="solid"/>
            </a:ln>
          </c:spPr>
          <c:marker>
            <c:symbol val="none"/>
          </c:marker>
          <c:xVal>
            <c:numRef>
              <c:f>'COG Tool'!$AB$19:$AB$23</c:f>
              <c:numCache>
                <c:formatCode>General</c:formatCode>
                <c:ptCount val="5"/>
                <c:pt idx="0">
                  <c:v>10.5</c:v>
                </c:pt>
                <c:pt idx="1">
                  <c:v>28.5</c:v>
                </c:pt>
                <c:pt idx="2">
                  <c:v>28.5</c:v>
                </c:pt>
                <c:pt idx="3">
                  <c:v>10.5</c:v>
                </c:pt>
                <c:pt idx="4">
                  <c:v>10.5</c:v>
                </c:pt>
              </c:numCache>
            </c:numRef>
          </c:xVal>
          <c:yVal>
            <c:numRef>
              <c:f>'COG Tool'!$AC$19:$AC$23</c:f>
              <c:numCache>
                <c:formatCode>General</c:formatCode>
                <c:ptCount val="5"/>
                <c:pt idx="0">
                  <c:v>0</c:v>
                </c:pt>
                <c:pt idx="1">
                  <c:v>0</c:v>
                </c:pt>
                <c:pt idx="2">
                  <c:v>28</c:v>
                </c:pt>
                <c:pt idx="3">
                  <c:v>28</c:v>
                </c:pt>
                <c:pt idx="4">
                  <c:v>0</c:v>
                </c:pt>
              </c:numCache>
            </c:numRef>
          </c:yVal>
          <c:smooth val="0"/>
        </c:ser>
        <c:ser>
          <c:idx val="4"/>
          <c:order val="4"/>
          <c:tx>
            <c:strRef>
              <c:f>'COG Tool'!$AA$24</c:f>
              <c:strCache>
                <c:ptCount val="1"/>
                <c:pt idx="0">
                  <c:v>Arm</c:v>
                </c:pt>
              </c:strCache>
            </c:strRef>
          </c:tx>
          <c:spPr>
            <a:ln w="12700">
              <a:solidFill>
                <a:srgbClr val="800080"/>
              </a:solidFill>
              <a:prstDash val="solid"/>
            </a:ln>
          </c:spPr>
          <c:marker>
            <c:symbol val="none"/>
          </c:marker>
          <c:xVal>
            <c:numRef>
              <c:f>'COG Tool'!$AB$24:$AB$28</c:f>
              <c:numCache>
                <c:formatCode>General</c:formatCode>
                <c:ptCount val="5"/>
                <c:pt idx="0">
                  <c:v>28.5</c:v>
                </c:pt>
                <c:pt idx="1">
                  <c:v>40.5</c:v>
                </c:pt>
                <c:pt idx="2">
                  <c:v>40.5</c:v>
                </c:pt>
                <c:pt idx="3">
                  <c:v>28.5</c:v>
                </c:pt>
                <c:pt idx="4">
                  <c:v>28.5</c:v>
                </c:pt>
              </c:numCache>
            </c:numRef>
          </c:xVal>
          <c:yVal>
            <c:numRef>
              <c:f>'COG Tool'!$AC$24:$AC$28</c:f>
              <c:numCache>
                <c:formatCode>General</c:formatCode>
                <c:ptCount val="5"/>
                <c:pt idx="0">
                  <c:v>11</c:v>
                </c:pt>
                <c:pt idx="1">
                  <c:v>11</c:v>
                </c:pt>
                <c:pt idx="2">
                  <c:v>17</c:v>
                </c:pt>
                <c:pt idx="3">
                  <c:v>17</c:v>
                </c:pt>
                <c:pt idx="4">
                  <c:v>11</c:v>
                </c:pt>
              </c:numCache>
            </c:numRef>
          </c:yVal>
          <c:smooth val="0"/>
        </c:ser>
        <c:ser>
          <c:idx val="5"/>
          <c:order val="5"/>
          <c:tx>
            <c:strRef>
              <c:f>'COG Tool'!$AA$29</c:f>
              <c:strCache>
                <c:ptCount val="1"/>
                <c:pt idx="0">
                  <c:v>LH Ramp</c:v>
                </c:pt>
              </c:strCache>
            </c:strRef>
          </c:tx>
          <c:spPr>
            <a:ln w="12700">
              <a:solidFill>
                <a:srgbClr val="800000"/>
              </a:solidFill>
              <a:prstDash val="solid"/>
            </a:ln>
          </c:spPr>
          <c:marker>
            <c:symbol val="none"/>
          </c:marker>
          <c:xVal>
            <c:numRef>
              <c:f>'COG Tool'!$AB$29:$AB$33</c:f>
              <c:numCache>
                <c:formatCode>General</c:formatCode>
                <c:ptCount val="5"/>
                <c:pt idx="0">
                  <c:v>0</c:v>
                </c:pt>
                <c:pt idx="1">
                  <c:v>39</c:v>
                </c:pt>
                <c:pt idx="2">
                  <c:v>39</c:v>
                </c:pt>
                <c:pt idx="3">
                  <c:v>0</c:v>
                </c:pt>
                <c:pt idx="4">
                  <c:v>0</c:v>
                </c:pt>
              </c:numCache>
            </c:numRef>
          </c:xVal>
          <c:yVal>
            <c:numRef>
              <c:f>'COG Tool'!$AC$29:$AC$33</c:f>
              <c:numCache>
                <c:formatCode>General</c:formatCode>
                <c:ptCount val="5"/>
                <c:pt idx="0">
                  <c:v>24</c:v>
                </c:pt>
                <c:pt idx="1">
                  <c:v>24</c:v>
                </c:pt>
                <c:pt idx="2">
                  <c:v>28</c:v>
                </c:pt>
                <c:pt idx="3">
                  <c:v>28</c:v>
                </c:pt>
                <c:pt idx="4">
                  <c:v>24</c:v>
                </c:pt>
              </c:numCache>
            </c:numRef>
          </c:yVal>
          <c:smooth val="0"/>
        </c:ser>
        <c:ser>
          <c:idx val="6"/>
          <c:order val="6"/>
          <c:tx>
            <c:strRef>
              <c:f>'COG Tool'!$AA$34</c:f>
              <c:strCache>
                <c:ptCount val="1"/>
                <c:pt idx="0">
                  <c:v>RH Ramp</c:v>
                </c:pt>
              </c:strCache>
            </c:strRef>
          </c:tx>
          <c:spPr>
            <a:ln w="12700">
              <a:solidFill>
                <a:srgbClr val="008080"/>
              </a:solidFill>
              <a:prstDash val="solid"/>
            </a:ln>
          </c:spPr>
          <c:marker>
            <c:symbol val="none"/>
          </c:marker>
          <c:xVal>
            <c:numRef>
              <c:f>'COG Tool'!$AB$34:$AB$38</c:f>
              <c:numCache>
                <c:formatCode>General</c:formatCode>
                <c:ptCount val="5"/>
                <c:pt idx="0">
                  <c:v>0</c:v>
                </c:pt>
                <c:pt idx="1">
                  <c:v>39</c:v>
                </c:pt>
                <c:pt idx="2">
                  <c:v>39</c:v>
                </c:pt>
                <c:pt idx="3">
                  <c:v>0</c:v>
                </c:pt>
                <c:pt idx="4">
                  <c:v>0</c:v>
                </c:pt>
              </c:numCache>
            </c:numRef>
          </c:xVal>
          <c:yVal>
            <c:numRef>
              <c:f>'COG Tool'!$AC$34:$AC$38</c:f>
              <c:numCache>
                <c:formatCode>General</c:formatCode>
                <c:ptCount val="5"/>
                <c:pt idx="0">
                  <c:v>0</c:v>
                </c:pt>
                <c:pt idx="1">
                  <c:v>0</c:v>
                </c:pt>
                <c:pt idx="2">
                  <c:v>4</c:v>
                </c:pt>
                <c:pt idx="3">
                  <c:v>4</c:v>
                </c:pt>
                <c:pt idx="4">
                  <c:v>0</c:v>
                </c:pt>
              </c:numCache>
            </c:numRef>
          </c:yVal>
          <c:smooth val="0"/>
        </c:ser>
        <c:ser>
          <c:idx val="7"/>
          <c:order val="7"/>
          <c:tx>
            <c:strRef>
              <c:f>'COG Tool'!$AA$39</c:f>
              <c:strCache>
                <c:ptCount val="1"/>
                <c:pt idx="0">
                  <c:v>Manipulator</c:v>
                </c:pt>
              </c:strCache>
            </c:strRef>
          </c:tx>
          <c:spPr>
            <a:ln w="12700">
              <a:solidFill>
                <a:srgbClr val="0000FF"/>
              </a:solidFill>
              <a:prstDash val="solid"/>
            </a:ln>
          </c:spPr>
          <c:marker>
            <c:symbol val="none"/>
          </c:marker>
          <c:xVal>
            <c:numRef>
              <c:f>'COG Tool'!$AB$39:$AB$43</c:f>
              <c:numCache>
                <c:formatCode>General</c:formatCode>
                <c:ptCount val="5"/>
                <c:pt idx="0">
                  <c:v>33</c:v>
                </c:pt>
                <c:pt idx="1">
                  <c:v>39</c:v>
                </c:pt>
                <c:pt idx="2">
                  <c:v>39</c:v>
                </c:pt>
                <c:pt idx="3">
                  <c:v>33</c:v>
                </c:pt>
                <c:pt idx="4">
                  <c:v>33</c:v>
                </c:pt>
              </c:numCache>
            </c:numRef>
          </c:xVal>
          <c:yVal>
            <c:numRef>
              <c:f>'COG Tool'!$AC$39:$AC$43</c:f>
              <c:numCache>
                <c:formatCode>General</c:formatCode>
                <c:ptCount val="5"/>
                <c:pt idx="0">
                  <c:v>2</c:v>
                </c:pt>
                <c:pt idx="1">
                  <c:v>2</c:v>
                </c:pt>
                <c:pt idx="2">
                  <c:v>26</c:v>
                </c:pt>
                <c:pt idx="3">
                  <c:v>26</c:v>
                </c:pt>
                <c:pt idx="4">
                  <c:v>2</c:v>
                </c:pt>
              </c:numCache>
            </c:numRef>
          </c:yVal>
          <c:smooth val="0"/>
        </c:ser>
        <c:ser>
          <c:idx val="8"/>
          <c:order val="8"/>
          <c:tx>
            <c:strRef>
              <c:f>'COG Tool'!$AA$44</c:f>
              <c:strCache>
                <c:ptCount val="1"/>
                <c:pt idx="0">
                  <c:v>System 6</c:v>
                </c:pt>
              </c:strCache>
            </c:strRef>
          </c:tx>
          <c:spPr>
            <a:ln w="12700">
              <a:solidFill>
                <a:srgbClr val="00CCFF"/>
              </a:solidFill>
              <a:prstDash val="solid"/>
            </a:ln>
          </c:spPr>
          <c:marker>
            <c:symbol val="none"/>
          </c:marker>
          <c:xVal>
            <c:numRef>
              <c:f>'COG Tool'!$AB$44:$AB$48</c:f>
              <c:numCache>
                <c:formatCode>General</c:formatCode>
                <c:ptCount val="5"/>
                <c:pt idx="0">
                  <c:v>0</c:v>
                </c:pt>
                <c:pt idx="1">
                  <c:v>0</c:v>
                </c:pt>
                <c:pt idx="2">
                  <c:v>0</c:v>
                </c:pt>
                <c:pt idx="3">
                  <c:v>0</c:v>
                </c:pt>
                <c:pt idx="4">
                  <c:v>0</c:v>
                </c:pt>
              </c:numCache>
            </c:numRef>
          </c:xVal>
          <c:yVal>
            <c:numRef>
              <c:f>'COG Tool'!$AC$44:$AC$48</c:f>
              <c:numCache>
                <c:formatCode>General</c:formatCode>
                <c:ptCount val="5"/>
                <c:pt idx="0">
                  <c:v>0</c:v>
                </c:pt>
                <c:pt idx="1">
                  <c:v>0</c:v>
                </c:pt>
                <c:pt idx="2">
                  <c:v>0</c:v>
                </c:pt>
                <c:pt idx="3">
                  <c:v>0</c:v>
                </c:pt>
                <c:pt idx="4">
                  <c:v>0</c:v>
                </c:pt>
              </c:numCache>
            </c:numRef>
          </c:yVal>
          <c:smooth val="0"/>
        </c:ser>
        <c:ser>
          <c:idx val="9"/>
          <c:order val="9"/>
          <c:tx>
            <c:strRef>
              <c:f>'COG Tool'!$AA$49</c:f>
              <c:strCache>
                <c:ptCount val="1"/>
                <c:pt idx="0">
                  <c:v>System 7</c:v>
                </c:pt>
              </c:strCache>
            </c:strRef>
          </c:tx>
          <c:spPr>
            <a:ln w="12700">
              <a:solidFill>
                <a:srgbClr val="CCFFFF"/>
              </a:solidFill>
              <a:prstDash val="solid"/>
            </a:ln>
          </c:spPr>
          <c:marker>
            <c:symbol val="none"/>
          </c:marker>
          <c:xVal>
            <c:numRef>
              <c:f>'COG Tool'!$AB$49:$AB$53</c:f>
              <c:numCache>
                <c:formatCode>General</c:formatCode>
                <c:ptCount val="5"/>
                <c:pt idx="0">
                  <c:v>0</c:v>
                </c:pt>
                <c:pt idx="1">
                  <c:v>0</c:v>
                </c:pt>
                <c:pt idx="2">
                  <c:v>0</c:v>
                </c:pt>
                <c:pt idx="3">
                  <c:v>0</c:v>
                </c:pt>
                <c:pt idx="4">
                  <c:v>0</c:v>
                </c:pt>
              </c:numCache>
            </c:numRef>
          </c:xVal>
          <c:yVal>
            <c:numRef>
              <c:f>'COG Tool'!$AC$49:$AC$53</c:f>
              <c:numCache>
                <c:formatCode>General</c:formatCode>
                <c:ptCount val="5"/>
                <c:pt idx="0">
                  <c:v>0</c:v>
                </c:pt>
                <c:pt idx="1">
                  <c:v>0</c:v>
                </c:pt>
                <c:pt idx="2">
                  <c:v>0</c:v>
                </c:pt>
                <c:pt idx="3">
                  <c:v>0</c:v>
                </c:pt>
                <c:pt idx="4">
                  <c:v>0</c:v>
                </c:pt>
              </c:numCache>
            </c:numRef>
          </c:yVal>
          <c:smooth val="0"/>
        </c:ser>
        <c:ser>
          <c:idx val="10"/>
          <c:order val="10"/>
          <c:tx>
            <c:strRef>
              <c:f>'COG Tool'!$AA$54</c:f>
              <c:strCache>
                <c:ptCount val="1"/>
                <c:pt idx="0">
                  <c:v>System 8</c:v>
                </c:pt>
              </c:strCache>
            </c:strRef>
          </c:tx>
          <c:spPr>
            <a:ln w="12700">
              <a:solidFill>
                <a:srgbClr val="CCFFCC"/>
              </a:solidFill>
              <a:prstDash val="solid"/>
            </a:ln>
          </c:spPr>
          <c:marker>
            <c:symbol val="none"/>
          </c:marker>
          <c:xVal>
            <c:numRef>
              <c:f>'COG Tool'!$AB$54:$AB$58</c:f>
              <c:numCache>
                <c:formatCode>General</c:formatCode>
                <c:ptCount val="5"/>
                <c:pt idx="0">
                  <c:v>0</c:v>
                </c:pt>
                <c:pt idx="1">
                  <c:v>0</c:v>
                </c:pt>
                <c:pt idx="2">
                  <c:v>0</c:v>
                </c:pt>
                <c:pt idx="3">
                  <c:v>0</c:v>
                </c:pt>
                <c:pt idx="4">
                  <c:v>0</c:v>
                </c:pt>
              </c:numCache>
            </c:numRef>
          </c:xVal>
          <c:yVal>
            <c:numRef>
              <c:f>'COG Tool'!$AC$54:$AC$58</c:f>
              <c:numCache>
                <c:formatCode>General</c:formatCode>
                <c:ptCount val="5"/>
                <c:pt idx="0">
                  <c:v>0</c:v>
                </c:pt>
                <c:pt idx="1">
                  <c:v>0</c:v>
                </c:pt>
                <c:pt idx="2">
                  <c:v>0</c:v>
                </c:pt>
                <c:pt idx="3">
                  <c:v>0</c:v>
                </c:pt>
                <c:pt idx="4">
                  <c:v>0</c:v>
                </c:pt>
              </c:numCache>
            </c:numRef>
          </c:yVal>
          <c:smooth val="0"/>
        </c:ser>
        <c:ser>
          <c:idx val="11"/>
          <c:order val="11"/>
          <c:tx>
            <c:strRef>
              <c:f>'COG Tool'!$AA$59</c:f>
              <c:strCache>
                <c:ptCount val="1"/>
                <c:pt idx="0">
                  <c:v>System 9</c:v>
                </c:pt>
              </c:strCache>
            </c:strRef>
          </c:tx>
          <c:spPr>
            <a:ln w="12700">
              <a:solidFill>
                <a:srgbClr val="FFFF99"/>
              </a:solidFill>
              <a:prstDash val="solid"/>
            </a:ln>
          </c:spPr>
          <c:marker>
            <c:symbol val="none"/>
          </c:marker>
          <c:xVal>
            <c:numRef>
              <c:f>'COG Tool'!$AB$59:$AB$63</c:f>
              <c:numCache>
                <c:formatCode>General</c:formatCode>
                <c:ptCount val="5"/>
                <c:pt idx="0">
                  <c:v>0</c:v>
                </c:pt>
                <c:pt idx="1">
                  <c:v>0</c:v>
                </c:pt>
                <c:pt idx="2">
                  <c:v>0</c:v>
                </c:pt>
                <c:pt idx="3">
                  <c:v>0</c:v>
                </c:pt>
                <c:pt idx="4">
                  <c:v>0</c:v>
                </c:pt>
              </c:numCache>
            </c:numRef>
          </c:xVal>
          <c:yVal>
            <c:numRef>
              <c:f>'COG Tool'!$AC$59:$AC$63</c:f>
              <c:numCache>
                <c:formatCode>General</c:formatCode>
                <c:ptCount val="5"/>
                <c:pt idx="0">
                  <c:v>0</c:v>
                </c:pt>
                <c:pt idx="1">
                  <c:v>0</c:v>
                </c:pt>
                <c:pt idx="2">
                  <c:v>0</c:v>
                </c:pt>
                <c:pt idx="3">
                  <c:v>0</c:v>
                </c:pt>
                <c:pt idx="4">
                  <c:v>0</c:v>
                </c:pt>
              </c:numCache>
            </c:numRef>
          </c:yVal>
          <c:smooth val="0"/>
        </c:ser>
        <c:ser>
          <c:idx val="12"/>
          <c:order val="12"/>
          <c:tx>
            <c:strRef>
              <c:f>'COG Tool'!$AA$64</c:f>
              <c:strCache>
                <c:ptCount val="1"/>
                <c:pt idx="0">
                  <c:v>System 10</c:v>
                </c:pt>
              </c:strCache>
            </c:strRef>
          </c:tx>
          <c:spPr>
            <a:ln w="12700">
              <a:solidFill>
                <a:srgbClr val="99CCFF"/>
              </a:solidFill>
              <a:prstDash val="solid"/>
            </a:ln>
          </c:spPr>
          <c:marker>
            <c:symbol val="none"/>
          </c:marker>
          <c:xVal>
            <c:numRef>
              <c:f>'COG Tool'!$AB$64:$AB$68</c:f>
              <c:numCache>
                <c:formatCode>General</c:formatCode>
                <c:ptCount val="5"/>
                <c:pt idx="0">
                  <c:v>0</c:v>
                </c:pt>
                <c:pt idx="1">
                  <c:v>0</c:v>
                </c:pt>
                <c:pt idx="2">
                  <c:v>0</c:v>
                </c:pt>
                <c:pt idx="3">
                  <c:v>0</c:v>
                </c:pt>
                <c:pt idx="4">
                  <c:v>0</c:v>
                </c:pt>
              </c:numCache>
            </c:numRef>
          </c:xVal>
          <c:yVal>
            <c:numRef>
              <c:f>'COG Tool'!$AC$64:$AC$68</c:f>
              <c:numCache>
                <c:formatCode>General</c:formatCode>
                <c:ptCount val="5"/>
                <c:pt idx="0">
                  <c:v>0</c:v>
                </c:pt>
                <c:pt idx="1">
                  <c:v>0</c:v>
                </c:pt>
                <c:pt idx="2">
                  <c:v>0</c:v>
                </c:pt>
                <c:pt idx="3">
                  <c:v>0</c:v>
                </c:pt>
                <c:pt idx="4">
                  <c:v>0</c:v>
                </c:pt>
              </c:numCache>
            </c:numRef>
          </c:yVal>
          <c:smooth val="0"/>
        </c:ser>
        <c:ser>
          <c:idx val="13"/>
          <c:order val="13"/>
          <c:tx>
            <c:strRef>
              <c:f>'COG Tool'!$O$6</c:f>
              <c:strCache>
                <c:ptCount val="1"/>
                <c:pt idx="0">
                  <c:v>Center of Gravity Locations</c:v>
                </c:pt>
              </c:strCache>
            </c:strRef>
          </c:tx>
          <c:spPr>
            <a:ln w="28575">
              <a:noFill/>
            </a:ln>
          </c:spPr>
          <c:marker>
            <c:symbol val="square"/>
            <c:size val="10"/>
            <c:spPr>
              <a:solidFill>
                <a:srgbClr val="000000"/>
              </a:solidFill>
              <a:ln>
                <a:solidFill>
                  <a:srgbClr val="000000"/>
                </a:solidFill>
                <a:prstDash val="solid"/>
              </a:ln>
            </c:spPr>
          </c:marker>
          <c:xVal>
            <c:numRef>
              <c:f>'COG Tool'!$O$20</c:f>
              <c:numCache>
                <c:formatCode>General</c:formatCode>
                <c:ptCount val="1"/>
                <c:pt idx="0">
                  <c:v>22.6875</c:v>
                </c:pt>
              </c:numCache>
            </c:numRef>
          </c:xVal>
          <c:yVal>
            <c:numRef>
              <c:f>'COG Tool'!$P$20</c:f>
              <c:numCache>
                <c:formatCode>General</c:formatCode>
                <c:ptCount val="1"/>
                <c:pt idx="0">
                  <c:v>14</c:v>
                </c:pt>
              </c:numCache>
            </c:numRef>
          </c:yVal>
          <c:smooth val="0"/>
        </c:ser>
        <c:dLbls>
          <c:showLegendKey val="0"/>
          <c:showVal val="0"/>
          <c:showCatName val="0"/>
          <c:showSerName val="0"/>
          <c:showPercent val="0"/>
          <c:showBubbleSize val="0"/>
        </c:dLbls>
        <c:axId val="59837440"/>
        <c:axId val="59856384"/>
      </c:scatterChart>
      <c:valAx>
        <c:axId val="5983744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 - Length</a:t>
                </a:r>
              </a:p>
            </c:rich>
          </c:tx>
          <c:layout>
            <c:manualLayout>
              <c:xMode val="edge"/>
              <c:yMode val="edge"/>
              <c:x val="0.34334225541460267"/>
              <c:y val="0.9170305676855895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56384"/>
        <c:crosses val="autoZero"/>
        <c:crossBetween val="midCat"/>
      </c:valAx>
      <c:valAx>
        <c:axId val="598563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Y - Width</a:t>
                </a:r>
              </a:p>
            </c:rich>
          </c:tx>
          <c:layout>
            <c:manualLayout>
              <c:xMode val="edge"/>
              <c:yMode val="edge"/>
              <c:x val="2.0887741774272408E-2"/>
              <c:y val="0.436681222707423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37440"/>
        <c:crosses val="autoZero"/>
        <c:crossBetween val="midCat"/>
      </c:valAx>
      <c:spPr>
        <a:solidFill>
          <a:srgbClr val="C0C0C0"/>
        </a:solidFill>
        <a:ln w="12700">
          <a:solidFill>
            <a:srgbClr val="808080"/>
          </a:solidFill>
          <a:prstDash val="solid"/>
        </a:ln>
      </c:spPr>
    </c:plotArea>
    <c:legend>
      <c:legendPos val="r"/>
      <c:layout>
        <c:manualLayout>
          <c:xMode val="edge"/>
          <c:yMode val="edge"/>
          <c:x val="0.71801612349061394"/>
          <c:y val="0.18340611353711792"/>
          <c:w val="0.27154064306554127"/>
          <c:h val="0.64410480349344978"/>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Side View</a:t>
            </a:r>
          </a:p>
        </c:rich>
      </c:tx>
      <c:layout>
        <c:manualLayout>
          <c:xMode val="edge"/>
          <c:yMode val="edge"/>
          <c:x val="0.4477809642859647"/>
          <c:y val="3.0701820136504885E-2"/>
        </c:manualLayout>
      </c:layout>
      <c:overlay val="0"/>
      <c:spPr>
        <a:noFill/>
        <a:ln w="25400">
          <a:noFill/>
        </a:ln>
      </c:spPr>
    </c:title>
    <c:autoTitleDeleted val="0"/>
    <c:plotArea>
      <c:layout>
        <c:manualLayout>
          <c:layoutTarget val="inner"/>
          <c:xMode val="edge"/>
          <c:yMode val="edge"/>
          <c:x val="8.4856450957981652E-2"/>
          <c:y val="0.1600880621403469"/>
          <c:w val="0.61096644689746793"/>
          <c:h val="0.68859796591875244"/>
        </c:manualLayout>
      </c:layout>
      <c:scatterChart>
        <c:scatterStyle val="lineMarker"/>
        <c:varyColors val="0"/>
        <c:ser>
          <c:idx val="0"/>
          <c:order val="0"/>
          <c:tx>
            <c:strRef>
              <c:f>'COG Tool'!$AA$4</c:f>
              <c:strCache>
                <c:ptCount val="1"/>
                <c:pt idx="0">
                  <c:v>Inspection Box</c:v>
                </c:pt>
              </c:strCache>
            </c:strRef>
          </c:tx>
          <c:spPr>
            <a:ln w="38100">
              <a:solidFill>
                <a:srgbClr val="000080"/>
              </a:solidFill>
              <a:prstDash val="sysDash"/>
            </a:ln>
          </c:spPr>
          <c:marker>
            <c:symbol val="none"/>
          </c:marker>
          <c:xVal>
            <c:numRef>
              <c:f>'COG Tool'!$AD$4:$AD$8</c:f>
              <c:numCache>
                <c:formatCode>General</c:formatCode>
                <c:ptCount val="5"/>
                <c:pt idx="0">
                  <c:v>0</c:v>
                </c:pt>
                <c:pt idx="1">
                  <c:v>39</c:v>
                </c:pt>
                <c:pt idx="2">
                  <c:v>39</c:v>
                </c:pt>
                <c:pt idx="3">
                  <c:v>0</c:v>
                </c:pt>
                <c:pt idx="4">
                  <c:v>0</c:v>
                </c:pt>
              </c:numCache>
            </c:numRef>
          </c:xVal>
          <c:yVal>
            <c:numRef>
              <c:f>'COG Tool'!$AE$4:$AE$8</c:f>
              <c:numCache>
                <c:formatCode>General</c:formatCode>
                <c:ptCount val="5"/>
                <c:pt idx="0">
                  <c:v>0</c:v>
                </c:pt>
                <c:pt idx="1">
                  <c:v>0</c:v>
                </c:pt>
                <c:pt idx="2">
                  <c:v>60</c:v>
                </c:pt>
                <c:pt idx="3">
                  <c:v>60</c:v>
                </c:pt>
                <c:pt idx="4">
                  <c:v>0</c:v>
                </c:pt>
              </c:numCache>
            </c:numRef>
          </c:yVal>
          <c:smooth val="0"/>
        </c:ser>
        <c:ser>
          <c:idx val="1"/>
          <c:order val="1"/>
          <c:tx>
            <c:strRef>
              <c:f>'COG Tool'!$AA$9</c:f>
              <c:strCache>
                <c:ptCount val="1"/>
                <c:pt idx="0">
                  <c:v>Drivetrain</c:v>
                </c:pt>
              </c:strCache>
            </c:strRef>
          </c:tx>
          <c:spPr>
            <a:ln w="12700">
              <a:solidFill>
                <a:srgbClr val="FF00FF"/>
              </a:solidFill>
              <a:prstDash val="solid"/>
            </a:ln>
          </c:spPr>
          <c:marker>
            <c:symbol val="none"/>
          </c:marker>
          <c:xVal>
            <c:numRef>
              <c:f>'COG Tool'!$AD$9:$AD$13</c:f>
              <c:numCache>
                <c:formatCode>General</c:formatCode>
                <c:ptCount val="5"/>
                <c:pt idx="0">
                  <c:v>0</c:v>
                </c:pt>
                <c:pt idx="1">
                  <c:v>39</c:v>
                </c:pt>
                <c:pt idx="2">
                  <c:v>39</c:v>
                </c:pt>
                <c:pt idx="3">
                  <c:v>0</c:v>
                </c:pt>
                <c:pt idx="4">
                  <c:v>0</c:v>
                </c:pt>
              </c:numCache>
            </c:numRef>
          </c:xVal>
          <c:yVal>
            <c:numRef>
              <c:f>'COG Tool'!$AE$9:$AE$13</c:f>
              <c:numCache>
                <c:formatCode>General</c:formatCode>
                <c:ptCount val="5"/>
                <c:pt idx="0">
                  <c:v>0</c:v>
                </c:pt>
                <c:pt idx="1">
                  <c:v>0</c:v>
                </c:pt>
                <c:pt idx="2">
                  <c:v>13</c:v>
                </c:pt>
                <c:pt idx="3">
                  <c:v>13</c:v>
                </c:pt>
                <c:pt idx="4">
                  <c:v>0</c:v>
                </c:pt>
              </c:numCache>
            </c:numRef>
          </c:yVal>
          <c:smooth val="0"/>
        </c:ser>
        <c:ser>
          <c:idx val="2"/>
          <c:order val="2"/>
          <c:tx>
            <c:strRef>
              <c:f>'COG Tool'!$AA$14</c:f>
              <c:strCache>
                <c:ptCount val="1"/>
                <c:pt idx="0">
                  <c:v>Electronics Board</c:v>
                </c:pt>
              </c:strCache>
            </c:strRef>
          </c:tx>
          <c:spPr>
            <a:ln w="12700">
              <a:solidFill>
                <a:srgbClr val="FFFF00"/>
              </a:solidFill>
              <a:prstDash val="solid"/>
            </a:ln>
          </c:spPr>
          <c:marker>
            <c:symbol val="none"/>
          </c:marker>
          <c:xVal>
            <c:numRef>
              <c:f>'COG Tool'!$AD$14:$AD$18</c:f>
              <c:numCache>
                <c:formatCode>General</c:formatCode>
                <c:ptCount val="5"/>
                <c:pt idx="0">
                  <c:v>7.5</c:v>
                </c:pt>
                <c:pt idx="1">
                  <c:v>31.5</c:v>
                </c:pt>
                <c:pt idx="2">
                  <c:v>31.5</c:v>
                </c:pt>
                <c:pt idx="3">
                  <c:v>7.5</c:v>
                </c:pt>
                <c:pt idx="4">
                  <c:v>7.5</c:v>
                </c:pt>
              </c:numCache>
            </c:numRef>
          </c:xVal>
          <c:yVal>
            <c:numRef>
              <c:f>'COG Tool'!$AE$14:$AE$18</c:f>
              <c:numCache>
                <c:formatCode>General</c:formatCode>
                <c:ptCount val="5"/>
                <c:pt idx="0">
                  <c:v>10</c:v>
                </c:pt>
                <c:pt idx="1">
                  <c:v>10</c:v>
                </c:pt>
                <c:pt idx="2">
                  <c:v>14</c:v>
                </c:pt>
                <c:pt idx="3">
                  <c:v>14</c:v>
                </c:pt>
                <c:pt idx="4">
                  <c:v>10</c:v>
                </c:pt>
              </c:numCache>
            </c:numRef>
          </c:yVal>
          <c:smooth val="0"/>
        </c:ser>
        <c:ser>
          <c:idx val="3"/>
          <c:order val="3"/>
          <c:tx>
            <c:strRef>
              <c:f>'COG Tool'!$AA$19</c:f>
              <c:strCache>
                <c:ptCount val="1"/>
                <c:pt idx="0">
                  <c:v>Mast</c:v>
                </c:pt>
              </c:strCache>
            </c:strRef>
          </c:tx>
          <c:spPr>
            <a:ln w="12700">
              <a:solidFill>
                <a:srgbClr val="00FFFF"/>
              </a:solidFill>
              <a:prstDash val="solid"/>
            </a:ln>
          </c:spPr>
          <c:marker>
            <c:symbol val="none"/>
          </c:marker>
          <c:xVal>
            <c:numRef>
              <c:f>'COG Tool'!$AD$19:$AD$23</c:f>
              <c:numCache>
                <c:formatCode>General</c:formatCode>
                <c:ptCount val="5"/>
                <c:pt idx="0">
                  <c:v>10.5</c:v>
                </c:pt>
                <c:pt idx="1">
                  <c:v>28.5</c:v>
                </c:pt>
                <c:pt idx="2">
                  <c:v>28.5</c:v>
                </c:pt>
                <c:pt idx="3">
                  <c:v>10.5</c:v>
                </c:pt>
                <c:pt idx="4">
                  <c:v>10.5</c:v>
                </c:pt>
              </c:numCache>
            </c:numRef>
          </c:xVal>
          <c:yVal>
            <c:numRef>
              <c:f>'COG Tool'!$AE$19:$AE$23</c:f>
              <c:numCache>
                <c:formatCode>General</c:formatCode>
                <c:ptCount val="5"/>
                <c:pt idx="0">
                  <c:v>14</c:v>
                </c:pt>
                <c:pt idx="1">
                  <c:v>14</c:v>
                </c:pt>
                <c:pt idx="2">
                  <c:v>50</c:v>
                </c:pt>
                <c:pt idx="3">
                  <c:v>50</c:v>
                </c:pt>
                <c:pt idx="4">
                  <c:v>14</c:v>
                </c:pt>
              </c:numCache>
            </c:numRef>
          </c:yVal>
          <c:smooth val="0"/>
        </c:ser>
        <c:ser>
          <c:idx val="4"/>
          <c:order val="4"/>
          <c:tx>
            <c:strRef>
              <c:f>'COG Tool'!$AA$24</c:f>
              <c:strCache>
                <c:ptCount val="1"/>
                <c:pt idx="0">
                  <c:v>Arm</c:v>
                </c:pt>
              </c:strCache>
            </c:strRef>
          </c:tx>
          <c:spPr>
            <a:ln w="12700">
              <a:solidFill>
                <a:srgbClr val="800080"/>
              </a:solidFill>
              <a:prstDash val="solid"/>
            </a:ln>
          </c:spPr>
          <c:marker>
            <c:symbol val="none"/>
          </c:marker>
          <c:xVal>
            <c:numRef>
              <c:f>'COG Tool'!$AD$24:$AD$28</c:f>
              <c:numCache>
                <c:formatCode>General</c:formatCode>
                <c:ptCount val="5"/>
                <c:pt idx="0">
                  <c:v>28.5</c:v>
                </c:pt>
                <c:pt idx="1">
                  <c:v>40.5</c:v>
                </c:pt>
                <c:pt idx="2">
                  <c:v>40.5</c:v>
                </c:pt>
                <c:pt idx="3">
                  <c:v>28.5</c:v>
                </c:pt>
                <c:pt idx="4">
                  <c:v>28.5</c:v>
                </c:pt>
              </c:numCache>
            </c:numRef>
          </c:xVal>
          <c:yVal>
            <c:numRef>
              <c:f>'COG Tool'!$AE$24:$AE$28</c:f>
              <c:numCache>
                <c:formatCode>General</c:formatCode>
                <c:ptCount val="5"/>
                <c:pt idx="0">
                  <c:v>26</c:v>
                </c:pt>
                <c:pt idx="1">
                  <c:v>26</c:v>
                </c:pt>
                <c:pt idx="2">
                  <c:v>50</c:v>
                </c:pt>
                <c:pt idx="3">
                  <c:v>50</c:v>
                </c:pt>
                <c:pt idx="4">
                  <c:v>26</c:v>
                </c:pt>
              </c:numCache>
            </c:numRef>
          </c:yVal>
          <c:smooth val="0"/>
        </c:ser>
        <c:ser>
          <c:idx val="5"/>
          <c:order val="5"/>
          <c:tx>
            <c:strRef>
              <c:f>'COG Tool'!$AA$29</c:f>
              <c:strCache>
                <c:ptCount val="1"/>
                <c:pt idx="0">
                  <c:v>LH Ramp</c:v>
                </c:pt>
              </c:strCache>
            </c:strRef>
          </c:tx>
          <c:spPr>
            <a:ln w="12700">
              <a:solidFill>
                <a:srgbClr val="800000"/>
              </a:solidFill>
              <a:prstDash val="solid"/>
            </a:ln>
          </c:spPr>
          <c:marker>
            <c:symbol val="none"/>
          </c:marker>
          <c:xVal>
            <c:numRef>
              <c:f>'COG Tool'!$AD$29:$AD$33</c:f>
              <c:numCache>
                <c:formatCode>General</c:formatCode>
                <c:ptCount val="5"/>
                <c:pt idx="0">
                  <c:v>0</c:v>
                </c:pt>
                <c:pt idx="1">
                  <c:v>39</c:v>
                </c:pt>
                <c:pt idx="2">
                  <c:v>39</c:v>
                </c:pt>
                <c:pt idx="3">
                  <c:v>0</c:v>
                </c:pt>
                <c:pt idx="4">
                  <c:v>0</c:v>
                </c:pt>
              </c:numCache>
            </c:numRef>
          </c:xVal>
          <c:yVal>
            <c:numRef>
              <c:f>'COG Tool'!$AE$29:$AE$33</c:f>
              <c:numCache>
                <c:formatCode>General</c:formatCode>
                <c:ptCount val="5"/>
                <c:pt idx="0">
                  <c:v>14</c:v>
                </c:pt>
                <c:pt idx="1">
                  <c:v>14</c:v>
                </c:pt>
                <c:pt idx="2">
                  <c:v>50</c:v>
                </c:pt>
                <c:pt idx="3">
                  <c:v>50</c:v>
                </c:pt>
                <c:pt idx="4">
                  <c:v>14</c:v>
                </c:pt>
              </c:numCache>
            </c:numRef>
          </c:yVal>
          <c:smooth val="0"/>
        </c:ser>
        <c:ser>
          <c:idx val="6"/>
          <c:order val="6"/>
          <c:tx>
            <c:strRef>
              <c:f>'COG Tool'!$AA$34</c:f>
              <c:strCache>
                <c:ptCount val="1"/>
                <c:pt idx="0">
                  <c:v>RH Ramp</c:v>
                </c:pt>
              </c:strCache>
            </c:strRef>
          </c:tx>
          <c:spPr>
            <a:ln w="12700">
              <a:solidFill>
                <a:srgbClr val="008080"/>
              </a:solidFill>
              <a:prstDash val="solid"/>
            </a:ln>
          </c:spPr>
          <c:marker>
            <c:symbol val="none"/>
          </c:marker>
          <c:xVal>
            <c:numRef>
              <c:f>'COG Tool'!$AD$34:$AD$38</c:f>
              <c:numCache>
                <c:formatCode>General</c:formatCode>
                <c:ptCount val="5"/>
                <c:pt idx="0">
                  <c:v>0</c:v>
                </c:pt>
                <c:pt idx="1">
                  <c:v>39</c:v>
                </c:pt>
                <c:pt idx="2">
                  <c:v>39</c:v>
                </c:pt>
                <c:pt idx="3">
                  <c:v>0</c:v>
                </c:pt>
                <c:pt idx="4">
                  <c:v>0</c:v>
                </c:pt>
              </c:numCache>
            </c:numRef>
          </c:xVal>
          <c:yVal>
            <c:numRef>
              <c:f>'COG Tool'!$AE$34:$AE$38</c:f>
              <c:numCache>
                <c:formatCode>General</c:formatCode>
                <c:ptCount val="5"/>
                <c:pt idx="0">
                  <c:v>14</c:v>
                </c:pt>
                <c:pt idx="1">
                  <c:v>14</c:v>
                </c:pt>
                <c:pt idx="2">
                  <c:v>50</c:v>
                </c:pt>
                <c:pt idx="3">
                  <c:v>50</c:v>
                </c:pt>
                <c:pt idx="4">
                  <c:v>14</c:v>
                </c:pt>
              </c:numCache>
            </c:numRef>
          </c:yVal>
          <c:smooth val="0"/>
        </c:ser>
        <c:ser>
          <c:idx val="7"/>
          <c:order val="7"/>
          <c:tx>
            <c:strRef>
              <c:f>'COG Tool'!$AA$39</c:f>
              <c:strCache>
                <c:ptCount val="1"/>
                <c:pt idx="0">
                  <c:v>Manipulator</c:v>
                </c:pt>
              </c:strCache>
            </c:strRef>
          </c:tx>
          <c:spPr>
            <a:ln w="12700">
              <a:solidFill>
                <a:srgbClr val="0000FF"/>
              </a:solidFill>
              <a:prstDash val="solid"/>
            </a:ln>
          </c:spPr>
          <c:marker>
            <c:symbol val="none"/>
          </c:marker>
          <c:xVal>
            <c:numRef>
              <c:f>'COG Tool'!$AD$39:$AD$43</c:f>
              <c:numCache>
                <c:formatCode>General</c:formatCode>
                <c:ptCount val="5"/>
                <c:pt idx="0">
                  <c:v>33</c:v>
                </c:pt>
                <c:pt idx="1">
                  <c:v>39</c:v>
                </c:pt>
                <c:pt idx="2">
                  <c:v>39</c:v>
                </c:pt>
                <c:pt idx="3">
                  <c:v>33</c:v>
                </c:pt>
                <c:pt idx="4">
                  <c:v>33</c:v>
                </c:pt>
              </c:numCache>
            </c:numRef>
          </c:xVal>
          <c:yVal>
            <c:numRef>
              <c:f>'COG Tool'!$AE$39:$AE$43</c:f>
              <c:numCache>
                <c:formatCode>General</c:formatCode>
                <c:ptCount val="5"/>
                <c:pt idx="0">
                  <c:v>36</c:v>
                </c:pt>
                <c:pt idx="1">
                  <c:v>36</c:v>
                </c:pt>
                <c:pt idx="2">
                  <c:v>48</c:v>
                </c:pt>
                <c:pt idx="3">
                  <c:v>48</c:v>
                </c:pt>
                <c:pt idx="4">
                  <c:v>36</c:v>
                </c:pt>
              </c:numCache>
            </c:numRef>
          </c:yVal>
          <c:smooth val="0"/>
        </c:ser>
        <c:ser>
          <c:idx val="8"/>
          <c:order val="8"/>
          <c:tx>
            <c:strRef>
              <c:f>'COG Tool'!$AA$44</c:f>
              <c:strCache>
                <c:ptCount val="1"/>
                <c:pt idx="0">
                  <c:v>System 6</c:v>
                </c:pt>
              </c:strCache>
            </c:strRef>
          </c:tx>
          <c:spPr>
            <a:ln w="12700">
              <a:solidFill>
                <a:srgbClr val="00CCFF"/>
              </a:solidFill>
              <a:prstDash val="solid"/>
            </a:ln>
          </c:spPr>
          <c:marker>
            <c:symbol val="none"/>
          </c:marker>
          <c:xVal>
            <c:numRef>
              <c:f>'COG Tool'!$AD$44:$AD$48</c:f>
              <c:numCache>
                <c:formatCode>General</c:formatCode>
                <c:ptCount val="5"/>
                <c:pt idx="0">
                  <c:v>0</c:v>
                </c:pt>
                <c:pt idx="1">
                  <c:v>0</c:v>
                </c:pt>
                <c:pt idx="2">
                  <c:v>0</c:v>
                </c:pt>
                <c:pt idx="3">
                  <c:v>0</c:v>
                </c:pt>
                <c:pt idx="4">
                  <c:v>0</c:v>
                </c:pt>
              </c:numCache>
            </c:numRef>
          </c:xVal>
          <c:yVal>
            <c:numRef>
              <c:f>'COG Tool'!$AE$44:$AE$48</c:f>
              <c:numCache>
                <c:formatCode>General</c:formatCode>
                <c:ptCount val="5"/>
                <c:pt idx="0">
                  <c:v>0</c:v>
                </c:pt>
                <c:pt idx="1">
                  <c:v>0</c:v>
                </c:pt>
                <c:pt idx="2">
                  <c:v>0</c:v>
                </c:pt>
                <c:pt idx="3">
                  <c:v>0</c:v>
                </c:pt>
                <c:pt idx="4">
                  <c:v>0</c:v>
                </c:pt>
              </c:numCache>
            </c:numRef>
          </c:yVal>
          <c:smooth val="0"/>
        </c:ser>
        <c:ser>
          <c:idx val="9"/>
          <c:order val="9"/>
          <c:tx>
            <c:strRef>
              <c:f>'COG Tool'!$AA$49</c:f>
              <c:strCache>
                <c:ptCount val="1"/>
                <c:pt idx="0">
                  <c:v>System 7</c:v>
                </c:pt>
              </c:strCache>
            </c:strRef>
          </c:tx>
          <c:spPr>
            <a:ln w="12700">
              <a:solidFill>
                <a:srgbClr val="CCFFFF"/>
              </a:solidFill>
              <a:prstDash val="solid"/>
            </a:ln>
          </c:spPr>
          <c:marker>
            <c:symbol val="none"/>
          </c:marker>
          <c:xVal>
            <c:numRef>
              <c:f>'COG Tool'!$AD$49:$AD$53</c:f>
              <c:numCache>
                <c:formatCode>General</c:formatCode>
                <c:ptCount val="5"/>
                <c:pt idx="0">
                  <c:v>0</c:v>
                </c:pt>
                <c:pt idx="1">
                  <c:v>0</c:v>
                </c:pt>
                <c:pt idx="2">
                  <c:v>0</c:v>
                </c:pt>
                <c:pt idx="3">
                  <c:v>0</c:v>
                </c:pt>
                <c:pt idx="4">
                  <c:v>0</c:v>
                </c:pt>
              </c:numCache>
            </c:numRef>
          </c:xVal>
          <c:yVal>
            <c:numRef>
              <c:f>'COG Tool'!$AE$49:$AE$53</c:f>
              <c:numCache>
                <c:formatCode>General</c:formatCode>
                <c:ptCount val="5"/>
                <c:pt idx="0">
                  <c:v>0</c:v>
                </c:pt>
                <c:pt idx="1">
                  <c:v>0</c:v>
                </c:pt>
                <c:pt idx="2">
                  <c:v>0</c:v>
                </c:pt>
                <c:pt idx="3">
                  <c:v>0</c:v>
                </c:pt>
                <c:pt idx="4">
                  <c:v>0</c:v>
                </c:pt>
              </c:numCache>
            </c:numRef>
          </c:yVal>
          <c:smooth val="0"/>
        </c:ser>
        <c:ser>
          <c:idx val="10"/>
          <c:order val="10"/>
          <c:tx>
            <c:strRef>
              <c:f>'COG Tool'!$AA$54</c:f>
              <c:strCache>
                <c:ptCount val="1"/>
                <c:pt idx="0">
                  <c:v>System 8</c:v>
                </c:pt>
              </c:strCache>
            </c:strRef>
          </c:tx>
          <c:spPr>
            <a:ln w="12700">
              <a:solidFill>
                <a:srgbClr val="CCFFCC"/>
              </a:solidFill>
              <a:prstDash val="solid"/>
            </a:ln>
          </c:spPr>
          <c:marker>
            <c:symbol val="none"/>
          </c:marker>
          <c:xVal>
            <c:numRef>
              <c:f>'COG Tool'!$AD$54:$AD$58</c:f>
              <c:numCache>
                <c:formatCode>General</c:formatCode>
                <c:ptCount val="5"/>
                <c:pt idx="0">
                  <c:v>0</c:v>
                </c:pt>
                <c:pt idx="1">
                  <c:v>0</c:v>
                </c:pt>
                <c:pt idx="2">
                  <c:v>0</c:v>
                </c:pt>
                <c:pt idx="3">
                  <c:v>0</c:v>
                </c:pt>
                <c:pt idx="4">
                  <c:v>0</c:v>
                </c:pt>
              </c:numCache>
            </c:numRef>
          </c:xVal>
          <c:yVal>
            <c:numRef>
              <c:f>'COG Tool'!$AE$54:$AE$58</c:f>
              <c:numCache>
                <c:formatCode>General</c:formatCode>
                <c:ptCount val="5"/>
                <c:pt idx="0">
                  <c:v>0</c:v>
                </c:pt>
                <c:pt idx="1">
                  <c:v>0</c:v>
                </c:pt>
                <c:pt idx="2">
                  <c:v>0</c:v>
                </c:pt>
                <c:pt idx="3">
                  <c:v>0</c:v>
                </c:pt>
                <c:pt idx="4">
                  <c:v>0</c:v>
                </c:pt>
              </c:numCache>
            </c:numRef>
          </c:yVal>
          <c:smooth val="0"/>
        </c:ser>
        <c:ser>
          <c:idx val="11"/>
          <c:order val="11"/>
          <c:tx>
            <c:strRef>
              <c:f>'COG Tool'!$AA$59</c:f>
              <c:strCache>
                <c:ptCount val="1"/>
                <c:pt idx="0">
                  <c:v>System 9</c:v>
                </c:pt>
              </c:strCache>
            </c:strRef>
          </c:tx>
          <c:spPr>
            <a:ln w="12700">
              <a:solidFill>
                <a:srgbClr val="FFFF99"/>
              </a:solidFill>
              <a:prstDash val="solid"/>
            </a:ln>
          </c:spPr>
          <c:marker>
            <c:symbol val="none"/>
          </c:marker>
          <c:xVal>
            <c:numRef>
              <c:f>'COG Tool'!$AD$59:$AD$63</c:f>
              <c:numCache>
                <c:formatCode>General</c:formatCode>
                <c:ptCount val="5"/>
                <c:pt idx="0">
                  <c:v>0</c:v>
                </c:pt>
                <c:pt idx="1">
                  <c:v>0</c:v>
                </c:pt>
                <c:pt idx="2">
                  <c:v>0</c:v>
                </c:pt>
                <c:pt idx="3">
                  <c:v>0</c:v>
                </c:pt>
                <c:pt idx="4">
                  <c:v>0</c:v>
                </c:pt>
              </c:numCache>
            </c:numRef>
          </c:xVal>
          <c:yVal>
            <c:numRef>
              <c:f>'COG Tool'!$AE$59:$AE$63</c:f>
              <c:numCache>
                <c:formatCode>General</c:formatCode>
                <c:ptCount val="5"/>
                <c:pt idx="0">
                  <c:v>0</c:v>
                </c:pt>
                <c:pt idx="1">
                  <c:v>0</c:v>
                </c:pt>
                <c:pt idx="2">
                  <c:v>0</c:v>
                </c:pt>
                <c:pt idx="3">
                  <c:v>0</c:v>
                </c:pt>
                <c:pt idx="4">
                  <c:v>0</c:v>
                </c:pt>
              </c:numCache>
            </c:numRef>
          </c:yVal>
          <c:smooth val="0"/>
        </c:ser>
        <c:ser>
          <c:idx val="12"/>
          <c:order val="12"/>
          <c:tx>
            <c:strRef>
              <c:f>'COG Tool'!$AA$64</c:f>
              <c:strCache>
                <c:ptCount val="1"/>
                <c:pt idx="0">
                  <c:v>System 10</c:v>
                </c:pt>
              </c:strCache>
            </c:strRef>
          </c:tx>
          <c:spPr>
            <a:ln w="12700">
              <a:solidFill>
                <a:srgbClr val="99CCFF"/>
              </a:solidFill>
              <a:prstDash val="solid"/>
            </a:ln>
          </c:spPr>
          <c:marker>
            <c:symbol val="none"/>
          </c:marker>
          <c:xVal>
            <c:numRef>
              <c:f>'COG Tool'!$AD$64:$AD$68</c:f>
              <c:numCache>
                <c:formatCode>General</c:formatCode>
                <c:ptCount val="5"/>
                <c:pt idx="0">
                  <c:v>0</c:v>
                </c:pt>
                <c:pt idx="1">
                  <c:v>0</c:v>
                </c:pt>
                <c:pt idx="2">
                  <c:v>0</c:v>
                </c:pt>
                <c:pt idx="3">
                  <c:v>0</c:v>
                </c:pt>
                <c:pt idx="4">
                  <c:v>0</c:v>
                </c:pt>
              </c:numCache>
            </c:numRef>
          </c:xVal>
          <c:yVal>
            <c:numRef>
              <c:f>'COG Tool'!$AE$64:$AE$68</c:f>
              <c:numCache>
                <c:formatCode>General</c:formatCode>
                <c:ptCount val="5"/>
                <c:pt idx="0">
                  <c:v>0</c:v>
                </c:pt>
                <c:pt idx="1">
                  <c:v>0</c:v>
                </c:pt>
                <c:pt idx="2">
                  <c:v>0</c:v>
                </c:pt>
                <c:pt idx="3">
                  <c:v>0</c:v>
                </c:pt>
                <c:pt idx="4">
                  <c:v>0</c:v>
                </c:pt>
              </c:numCache>
            </c:numRef>
          </c:yVal>
          <c:smooth val="0"/>
        </c:ser>
        <c:ser>
          <c:idx val="13"/>
          <c:order val="13"/>
          <c:tx>
            <c:strRef>
              <c:f>'COG Tool'!$O$6</c:f>
              <c:strCache>
                <c:ptCount val="1"/>
                <c:pt idx="0">
                  <c:v>Center of Gravity Locations</c:v>
                </c:pt>
              </c:strCache>
            </c:strRef>
          </c:tx>
          <c:spPr>
            <a:ln w="28575">
              <a:noFill/>
            </a:ln>
          </c:spPr>
          <c:marker>
            <c:symbol val="square"/>
            <c:size val="10"/>
            <c:spPr>
              <a:solidFill>
                <a:srgbClr val="000000"/>
              </a:solidFill>
              <a:ln>
                <a:solidFill>
                  <a:srgbClr val="000000"/>
                </a:solidFill>
                <a:prstDash val="solid"/>
              </a:ln>
            </c:spPr>
          </c:marker>
          <c:xVal>
            <c:numRef>
              <c:f>'COG Tool'!$O$20</c:f>
              <c:numCache>
                <c:formatCode>General</c:formatCode>
                <c:ptCount val="1"/>
                <c:pt idx="0">
                  <c:v>22.6875</c:v>
                </c:pt>
              </c:numCache>
            </c:numRef>
          </c:xVal>
          <c:yVal>
            <c:numRef>
              <c:f>'COG Tool'!$Q$20</c:f>
              <c:numCache>
                <c:formatCode>General</c:formatCode>
                <c:ptCount val="1"/>
                <c:pt idx="0">
                  <c:v>26.4375</c:v>
                </c:pt>
              </c:numCache>
            </c:numRef>
          </c:yVal>
          <c:smooth val="0"/>
        </c:ser>
        <c:dLbls>
          <c:showLegendKey val="0"/>
          <c:showVal val="0"/>
          <c:showCatName val="0"/>
          <c:showSerName val="0"/>
          <c:showPercent val="0"/>
          <c:showBubbleSize val="0"/>
        </c:dLbls>
        <c:axId val="59896192"/>
        <c:axId val="59898496"/>
      </c:scatterChart>
      <c:valAx>
        <c:axId val="598961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 - Length</a:t>
                </a:r>
              </a:p>
            </c:rich>
          </c:tx>
          <c:layout>
            <c:manualLayout>
              <c:xMode val="edge"/>
              <c:yMode val="edge"/>
              <c:x val="0.34595322313638671"/>
              <c:y val="0.9166686297899315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98496"/>
        <c:crosses val="autoZero"/>
        <c:crossBetween val="midCat"/>
      </c:valAx>
      <c:valAx>
        <c:axId val="5989849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Z - Height</a:t>
                </a:r>
              </a:p>
            </c:rich>
          </c:tx>
          <c:layout>
            <c:manualLayout>
              <c:xMode val="edge"/>
              <c:yMode val="edge"/>
              <c:x val="2.0887741774272408E-2"/>
              <c:y val="0.4342114562162833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96192"/>
        <c:crosses val="autoZero"/>
        <c:crossBetween val="midCat"/>
      </c:valAx>
      <c:spPr>
        <a:solidFill>
          <a:srgbClr val="C0C0C0"/>
        </a:solidFill>
        <a:ln w="12700">
          <a:solidFill>
            <a:srgbClr val="808080"/>
          </a:solidFill>
          <a:prstDash val="solid"/>
        </a:ln>
      </c:spPr>
    </c:plotArea>
    <c:legend>
      <c:legendPos val="r"/>
      <c:layout>
        <c:manualLayout>
          <c:xMode val="edge"/>
          <c:yMode val="edge"/>
          <c:x val="0.72193257507329001"/>
          <c:y val="0.1820179336664218"/>
          <c:w val="0.2676241914828652"/>
          <c:h val="0.6469312100192100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en-US"/>
              <a:t>Front View</a:t>
            </a:r>
          </a:p>
        </c:rich>
      </c:tx>
      <c:layout>
        <c:manualLayout>
          <c:xMode val="edge"/>
          <c:yMode val="edge"/>
          <c:x val="0.44832244148649952"/>
          <c:y val="3.0701820136504885E-2"/>
        </c:manualLayout>
      </c:layout>
      <c:overlay val="0"/>
      <c:spPr>
        <a:noFill/>
        <a:ln w="25400">
          <a:noFill/>
        </a:ln>
      </c:spPr>
    </c:title>
    <c:autoTitleDeleted val="0"/>
    <c:plotArea>
      <c:layout>
        <c:manualLayout>
          <c:layoutTarget val="inner"/>
          <c:xMode val="edge"/>
          <c:yMode val="edge"/>
          <c:x val="8.7248379331204995E-2"/>
          <c:y val="0.15789507498773941"/>
          <c:w val="0.60000039324690202"/>
          <c:h val="0.69079095307135985"/>
        </c:manualLayout>
      </c:layout>
      <c:scatterChart>
        <c:scatterStyle val="lineMarker"/>
        <c:varyColors val="0"/>
        <c:ser>
          <c:idx val="0"/>
          <c:order val="0"/>
          <c:tx>
            <c:strRef>
              <c:f>'COG Tool'!$AA$4</c:f>
              <c:strCache>
                <c:ptCount val="1"/>
                <c:pt idx="0">
                  <c:v>Inspection Box</c:v>
                </c:pt>
              </c:strCache>
            </c:strRef>
          </c:tx>
          <c:spPr>
            <a:ln w="38100">
              <a:solidFill>
                <a:srgbClr val="000080"/>
              </a:solidFill>
              <a:prstDash val="sysDash"/>
            </a:ln>
          </c:spPr>
          <c:marker>
            <c:symbol val="none"/>
          </c:marker>
          <c:xVal>
            <c:numRef>
              <c:f>'COG Tool'!$AF$4:$AF$8</c:f>
              <c:numCache>
                <c:formatCode>General</c:formatCode>
                <c:ptCount val="5"/>
                <c:pt idx="0">
                  <c:v>0</c:v>
                </c:pt>
                <c:pt idx="1">
                  <c:v>28</c:v>
                </c:pt>
                <c:pt idx="2">
                  <c:v>28</c:v>
                </c:pt>
                <c:pt idx="3">
                  <c:v>0</c:v>
                </c:pt>
                <c:pt idx="4">
                  <c:v>0</c:v>
                </c:pt>
              </c:numCache>
            </c:numRef>
          </c:xVal>
          <c:yVal>
            <c:numRef>
              <c:f>'COG Tool'!$AG$4:$AG$8</c:f>
              <c:numCache>
                <c:formatCode>General</c:formatCode>
                <c:ptCount val="5"/>
                <c:pt idx="0">
                  <c:v>0</c:v>
                </c:pt>
                <c:pt idx="1">
                  <c:v>0</c:v>
                </c:pt>
                <c:pt idx="2">
                  <c:v>60</c:v>
                </c:pt>
                <c:pt idx="3">
                  <c:v>60</c:v>
                </c:pt>
                <c:pt idx="4">
                  <c:v>0</c:v>
                </c:pt>
              </c:numCache>
            </c:numRef>
          </c:yVal>
          <c:smooth val="0"/>
        </c:ser>
        <c:ser>
          <c:idx val="1"/>
          <c:order val="1"/>
          <c:tx>
            <c:strRef>
              <c:f>'COG Tool'!$AA$9</c:f>
              <c:strCache>
                <c:ptCount val="1"/>
                <c:pt idx="0">
                  <c:v>Drivetrain</c:v>
                </c:pt>
              </c:strCache>
            </c:strRef>
          </c:tx>
          <c:spPr>
            <a:ln w="12700">
              <a:solidFill>
                <a:srgbClr val="FF00FF"/>
              </a:solidFill>
              <a:prstDash val="solid"/>
            </a:ln>
          </c:spPr>
          <c:marker>
            <c:symbol val="none"/>
          </c:marker>
          <c:xVal>
            <c:numRef>
              <c:f>'COG Tool'!$AF$9:$AF$13</c:f>
              <c:numCache>
                <c:formatCode>General</c:formatCode>
                <c:ptCount val="5"/>
                <c:pt idx="0">
                  <c:v>0</c:v>
                </c:pt>
                <c:pt idx="1">
                  <c:v>28</c:v>
                </c:pt>
                <c:pt idx="2">
                  <c:v>28</c:v>
                </c:pt>
                <c:pt idx="3">
                  <c:v>0</c:v>
                </c:pt>
                <c:pt idx="4">
                  <c:v>0</c:v>
                </c:pt>
              </c:numCache>
            </c:numRef>
          </c:xVal>
          <c:yVal>
            <c:numRef>
              <c:f>'COG Tool'!$AG$9:$AG$13</c:f>
              <c:numCache>
                <c:formatCode>General</c:formatCode>
                <c:ptCount val="5"/>
                <c:pt idx="0">
                  <c:v>0</c:v>
                </c:pt>
                <c:pt idx="1">
                  <c:v>0</c:v>
                </c:pt>
                <c:pt idx="2">
                  <c:v>13</c:v>
                </c:pt>
                <c:pt idx="3">
                  <c:v>13</c:v>
                </c:pt>
                <c:pt idx="4">
                  <c:v>0</c:v>
                </c:pt>
              </c:numCache>
            </c:numRef>
          </c:yVal>
          <c:smooth val="0"/>
        </c:ser>
        <c:ser>
          <c:idx val="2"/>
          <c:order val="2"/>
          <c:tx>
            <c:strRef>
              <c:f>'COG Tool'!$AA$14</c:f>
              <c:strCache>
                <c:ptCount val="1"/>
                <c:pt idx="0">
                  <c:v>Electronics Board</c:v>
                </c:pt>
              </c:strCache>
            </c:strRef>
          </c:tx>
          <c:spPr>
            <a:ln w="12700">
              <a:solidFill>
                <a:srgbClr val="FFFF00"/>
              </a:solidFill>
              <a:prstDash val="solid"/>
            </a:ln>
          </c:spPr>
          <c:marker>
            <c:symbol val="none"/>
          </c:marker>
          <c:xVal>
            <c:numRef>
              <c:f>'COG Tool'!$AF$14:$AF$18</c:f>
              <c:numCache>
                <c:formatCode>General</c:formatCode>
                <c:ptCount val="5"/>
                <c:pt idx="0">
                  <c:v>5</c:v>
                </c:pt>
                <c:pt idx="1">
                  <c:v>23</c:v>
                </c:pt>
                <c:pt idx="2">
                  <c:v>23</c:v>
                </c:pt>
                <c:pt idx="3">
                  <c:v>5</c:v>
                </c:pt>
                <c:pt idx="4">
                  <c:v>5</c:v>
                </c:pt>
              </c:numCache>
            </c:numRef>
          </c:xVal>
          <c:yVal>
            <c:numRef>
              <c:f>'COG Tool'!$AG$14:$AG$18</c:f>
              <c:numCache>
                <c:formatCode>General</c:formatCode>
                <c:ptCount val="5"/>
                <c:pt idx="0">
                  <c:v>10</c:v>
                </c:pt>
                <c:pt idx="1">
                  <c:v>10</c:v>
                </c:pt>
                <c:pt idx="2">
                  <c:v>14</c:v>
                </c:pt>
                <c:pt idx="3">
                  <c:v>14</c:v>
                </c:pt>
                <c:pt idx="4">
                  <c:v>10</c:v>
                </c:pt>
              </c:numCache>
            </c:numRef>
          </c:yVal>
          <c:smooth val="0"/>
        </c:ser>
        <c:ser>
          <c:idx val="3"/>
          <c:order val="3"/>
          <c:tx>
            <c:strRef>
              <c:f>'COG Tool'!$AA$19</c:f>
              <c:strCache>
                <c:ptCount val="1"/>
                <c:pt idx="0">
                  <c:v>Mast</c:v>
                </c:pt>
              </c:strCache>
            </c:strRef>
          </c:tx>
          <c:spPr>
            <a:ln w="12700">
              <a:solidFill>
                <a:srgbClr val="00FFFF"/>
              </a:solidFill>
              <a:prstDash val="solid"/>
            </a:ln>
          </c:spPr>
          <c:marker>
            <c:symbol val="none"/>
          </c:marker>
          <c:xVal>
            <c:numRef>
              <c:f>'COG Tool'!$AF$19:$AF$23</c:f>
              <c:numCache>
                <c:formatCode>General</c:formatCode>
                <c:ptCount val="5"/>
                <c:pt idx="0">
                  <c:v>0</c:v>
                </c:pt>
                <c:pt idx="1">
                  <c:v>28</c:v>
                </c:pt>
                <c:pt idx="2">
                  <c:v>28</c:v>
                </c:pt>
                <c:pt idx="3">
                  <c:v>0</c:v>
                </c:pt>
                <c:pt idx="4">
                  <c:v>0</c:v>
                </c:pt>
              </c:numCache>
            </c:numRef>
          </c:xVal>
          <c:yVal>
            <c:numRef>
              <c:f>'COG Tool'!$AG$19:$AG$23</c:f>
              <c:numCache>
                <c:formatCode>General</c:formatCode>
                <c:ptCount val="5"/>
                <c:pt idx="0">
                  <c:v>14</c:v>
                </c:pt>
                <c:pt idx="1">
                  <c:v>14</c:v>
                </c:pt>
                <c:pt idx="2">
                  <c:v>50</c:v>
                </c:pt>
                <c:pt idx="3">
                  <c:v>50</c:v>
                </c:pt>
                <c:pt idx="4">
                  <c:v>14</c:v>
                </c:pt>
              </c:numCache>
            </c:numRef>
          </c:yVal>
          <c:smooth val="0"/>
        </c:ser>
        <c:ser>
          <c:idx val="4"/>
          <c:order val="4"/>
          <c:tx>
            <c:strRef>
              <c:f>'COG Tool'!$AA$24</c:f>
              <c:strCache>
                <c:ptCount val="1"/>
                <c:pt idx="0">
                  <c:v>Arm</c:v>
                </c:pt>
              </c:strCache>
            </c:strRef>
          </c:tx>
          <c:spPr>
            <a:ln w="12700">
              <a:solidFill>
                <a:srgbClr val="800080"/>
              </a:solidFill>
              <a:prstDash val="solid"/>
            </a:ln>
          </c:spPr>
          <c:marker>
            <c:symbol val="none"/>
          </c:marker>
          <c:xVal>
            <c:numRef>
              <c:f>'COG Tool'!$AF$24:$AF$28</c:f>
              <c:numCache>
                <c:formatCode>General</c:formatCode>
                <c:ptCount val="5"/>
                <c:pt idx="0">
                  <c:v>11</c:v>
                </c:pt>
                <c:pt idx="1">
                  <c:v>17</c:v>
                </c:pt>
                <c:pt idx="2">
                  <c:v>17</c:v>
                </c:pt>
                <c:pt idx="3">
                  <c:v>11</c:v>
                </c:pt>
                <c:pt idx="4">
                  <c:v>11</c:v>
                </c:pt>
              </c:numCache>
            </c:numRef>
          </c:xVal>
          <c:yVal>
            <c:numRef>
              <c:f>'COG Tool'!$AG$24:$AG$28</c:f>
              <c:numCache>
                <c:formatCode>General</c:formatCode>
                <c:ptCount val="5"/>
                <c:pt idx="0">
                  <c:v>26</c:v>
                </c:pt>
                <c:pt idx="1">
                  <c:v>26</c:v>
                </c:pt>
                <c:pt idx="2">
                  <c:v>50</c:v>
                </c:pt>
                <c:pt idx="3">
                  <c:v>50</c:v>
                </c:pt>
                <c:pt idx="4">
                  <c:v>26</c:v>
                </c:pt>
              </c:numCache>
            </c:numRef>
          </c:yVal>
          <c:smooth val="0"/>
        </c:ser>
        <c:ser>
          <c:idx val="5"/>
          <c:order val="5"/>
          <c:tx>
            <c:strRef>
              <c:f>'COG Tool'!$AA$29</c:f>
              <c:strCache>
                <c:ptCount val="1"/>
                <c:pt idx="0">
                  <c:v>LH Ramp</c:v>
                </c:pt>
              </c:strCache>
            </c:strRef>
          </c:tx>
          <c:spPr>
            <a:ln w="12700">
              <a:solidFill>
                <a:srgbClr val="800000"/>
              </a:solidFill>
              <a:prstDash val="solid"/>
            </a:ln>
          </c:spPr>
          <c:marker>
            <c:symbol val="none"/>
          </c:marker>
          <c:xVal>
            <c:numRef>
              <c:f>'COG Tool'!$AF$29:$AF$33</c:f>
              <c:numCache>
                <c:formatCode>General</c:formatCode>
                <c:ptCount val="5"/>
                <c:pt idx="0">
                  <c:v>24</c:v>
                </c:pt>
                <c:pt idx="1">
                  <c:v>28</c:v>
                </c:pt>
                <c:pt idx="2">
                  <c:v>28</c:v>
                </c:pt>
                <c:pt idx="3">
                  <c:v>24</c:v>
                </c:pt>
                <c:pt idx="4">
                  <c:v>24</c:v>
                </c:pt>
              </c:numCache>
            </c:numRef>
          </c:xVal>
          <c:yVal>
            <c:numRef>
              <c:f>'COG Tool'!$AG$29:$AG$33</c:f>
              <c:numCache>
                <c:formatCode>General</c:formatCode>
                <c:ptCount val="5"/>
                <c:pt idx="0">
                  <c:v>14</c:v>
                </c:pt>
                <c:pt idx="1">
                  <c:v>14</c:v>
                </c:pt>
                <c:pt idx="2">
                  <c:v>50</c:v>
                </c:pt>
                <c:pt idx="3">
                  <c:v>50</c:v>
                </c:pt>
                <c:pt idx="4">
                  <c:v>14</c:v>
                </c:pt>
              </c:numCache>
            </c:numRef>
          </c:yVal>
          <c:smooth val="0"/>
        </c:ser>
        <c:ser>
          <c:idx val="6"/>
          <c:order val="6"/>
          <c:tx>
            <c:strRef>
              <c:f>'COG Tool'!$AA$34</c:f>
              <c:strCache>
                <c:ptCount val="1"/>
                <c:pt idx="0">
                  <c:v>RH Ramp</c:v>
                </c:pt>
              </c:strCache>
            </c:strRef>
          </c:tx>
          <c:spPr>
            <a:ln w="12700">
              <a:solidFill>
                <a:srgbClr val="008080"/>
              </a:solidFill>
              <a:prstDash val="solid"/>
            </a:ln>
          </c:spPr>
          <c:marker>
            <c:symbol val="none"/>
          </c:marker>
          <c:xVal>
            <c:numRef>
              <c:f>'COG Tool'!$AF$34:$AF$38</c:f>
              <c:numCache>
                <c:formatCode>General</c:formatCode>
                <c:ptCount val="5"/>
                <c:pt idx="0">
                  <c:v>0</c:v>
                </c:pt>
                <c:pt idx="1">
                  <c:v>4</c:v>
                </c:pt>
                <c:pt idx="2">
                  <c:v>4</c:v>
                </c:pt>
                <c:pt idx="3">
                  <c:v>0</c:v>
                </c:pt>
                <c:pt idx="4">
                  <c:v>0</c:v>
                </c:pt>
              </c:numCache>
            </c:numRef>
          </c:xVal>
          <c:yVal>
            <c:numRef>
              <c:f>'COG Tool'!$AG$34:$AG$38</c:f>
              <c:numCache>
                <c:formatCode>General</c:formatCode>
                <c:ptCount val="5"/>
                <c:pt idx="0">
                  <c:v>14</c:v>
                </c:pt>
                <c:pt idx="1">
                  <c:v>14</c:v>
                </c:pt>
                <c:pt idx="2">
                  <c:v>50</c:v>
                </c:pt>
                <c:pt idx="3">
                  <c:v>50</c:v>
                </c:pt>
                <c:pt idx="4">
                  <c:v>14</c:v>
                </c:pt>
              </c:numCache>
            </c:numRef>
          </c:yVal>
          <c:smooth val="0"/>
        </c:ser>
        <c:ser>
          <c:idx val="7"/>
          <c:order val="7"/>
          <c:tx>
            <c:strRef>
              <c:f>'COG Tool'!$AA$39</c:f>
              <c:strCache>
                <c:ptCount val="1"/>
                <c:pt idx="0">
                  <c:v>Manipulator</c:v>
                </c:pt>
              </c:strCache>
            </c:strRef>
          </c:tx>
          <c:spPr>
            <a:ln w="12700">
              <a:solidFill>
                <a:srgbClr val="0000FF"/>
              </a:solidFill>
              <a:prstDash val="solid"/>
            </a:ln>
          </c:spPr>
          <c:marker>
            <c:symbol val="none"/>
          </c:marker>
          <c:xVal>
            <c:numRef>
              <c:f>'COG Tool'!$AF$39:$AF$43</c:f>
              <c:numCache>
                <c:formatCode>General</c:formatCode>
                <c:ptCount val="5"/>
                <c:pt idx="0">
                  <c:v>2</c:v>
                </c:pt>
                <c:pt idx="1">
                  <c:v>26</c:v>
                </c:pt>
                <c:pt idx="2">
                  <c:v>26</c:v>
                </c:pt>
                <c:pt idx="3">
                  <c:v>2</c:v>
                </c:pt>
                <c:pt idx="4">
                  <c:v>2</c:v>
                </c:pt>
              </c:numCache>
            </c:numRef>
          </c:xVal>
          <c:yVal>
            <c:numRef>
              <c:f>'COG Tool'!$AG$39:$AG$43</c:f>
              <c:numCache>
                <c:formatCode>General</c:formatCode>
                <c:ptCount val="5"/>
                <c:pt idx="0">
                  <c:v>36</c:v>
                </c:pt>
                <c:pt idx="1">
                  <c:v>36</c:v>
                </c:pt>
                <c:pt idx="2">
                  <c:v>48</c:v>
                </c:pt>
                <c:pt idx="3">
                  <c:v>48</c:v>
                </c:pt>
                <c:pt idx="4">
                  <c:v>36</c:v>
                </c:pt>
              </c:numCache>
            </c:numRef>
          </c:yVal>
          <c:smooth val="0"/>
        </c:ser>
        <c:ser>
          <c:idx val="8"/>
          <c:order val="8"/>
          <c:tx>
            <c:strRef>
              <c:f>'COG Tool'!$AA$44</c:f>
              <c:strCache>
                <c:ptCount val="1"/>
                <c:pt idx="0">
                  <c:v>System 6</c:v>
                </c:pt>
              </c:strCache>
            </c:strRef>
          </c:tx>
          <c:spPr>
            <a:ln w="12700">
              <a:solidFill>
                <a:srgbClr val="00CCFF"/>
              </a:solidFill>
              <a:prstDash val="solid"/>
            </a:ln>
          </c:spPr>
          <c:marker>
            <c:symbol val="none"/>
          </c:marker>
          <c:xVal>
            <c:numRef>
              <c:f>'COG Tool'!$AF$44:$AF$48</c:f>
              <c:numCache>
                <c:formatCode>General</c:formatCode>
                <c:ptCount val="5"/>
                <c:pt idx="0">
                  <c:v>0</c:v>
                </c:pt>
                <c:pt idx="1">
                  <c:v>0</c:v>
                </c:pt>
                <c:pt idx="2">
                  <c:v>0</c:v>
                </c:pt>
                <c:pt idx="3">
                  <c:v>0</c:v>
                </c:pt>
                <c:pt idx="4">
                  <c:v>0</c:v>
                </c:pt>
              </c:numCache>
            </c:numRef>
          </c:xVal>
          <c:yVal>
            <c:numRef>
              <c:f>'COG Tool'!$AG$44:$AG$48</c:f>
              <c:numCache>
                <c:formatCode>General</c:formatCode>
                <c:ptCount val="5"/>
                <c:pt idx="0">
                  <c:v>0</c:v>
                </c:pt>
                <c:pt idx="1">
                  <c:v>0</c:v>
                </c:pt>
                <c:pt idx="2">
                  <c:v>0</c:v>
                </c:pt>
                <c:pt idx="3">
                  <c:v>0</c:v>
                </c:pt>
                <c:pt idx="4">
                  <c:v>0</c:v>
                </c:pt>
              </c:numCache>
            </c:numRef>
          </c:yVal>
          <c:smooth val="0"/>
        </c:ser>
        <c:ser>
          <c:idx val="9"/>
          <c:order val="9"/>
          <c:tx>
            <c:strRef>
              <c:f>'COG Tool'!$AA$49</c:f>
              <c:strCache>
                <c:ptCount val="1"/>
                <c:pt idx="0">
                  <c:v>System 7</c:v>
                </c:pt>
              </c:strCache>
            </c:strRef>
          </c:tx>
          <c:spPr>
            <a:ln w="12700">
              <a:solidFill>
                <a:srgbClr val="CCFFFF"/>
              </a:solidFill>
              <a:prstDash val="solid"/>
            </a:ln>
          </c:spPr>
          <c:marker>
            <c:symbol val="none"/>
          </c:marker>
          <c:xVal>
            <c:numRef>
              <c:f>'COG Tool'!$AF$49:$AF$53</c:f>
              <c:numCache>
                <c:formatCode>General</c:formatCode>
                <c:ptCount val="5"/>
                <c:pt idx="0">
                  <c:v>0</c:v>
                </c:pt>
                <c:pt idx="1">
                  <c:v>0</c:v>
                </c:pt>
                <c:pt idx="2">
                  <c:v>0</c:v>
                </c:pt>
                <c:pt idx="3">
                  <c:v>0</c:v>
                </c:pt>
                <c:pt idx="4">
                  <c:v>0</c:v>
                </c:pt>
              </c:numCache>
            </c:numRef>
          </c:xVal>
          <c:yVal>
            <c:numRef>
              <c:f>'COG Tool'!$AG$49:$AG$53</c:f>
              <c:numCache>
                <c:formatCode>General</c:formatCode>
                <c:ptCount val="5"/>
                <c:pt idx="0">
                  <c:v>0</c:v>
                </c:pt>
                <c:pt idx="1">
                  <c:v>0</c:v>
                </c:pt>
                <c:pt idx="2">
                  <c:v>0</c:v>
                </c:pt>
                <c:pt idx="3">
                  <c:v>0</c:v>
                </c:pt>
                <c:pt idx="4">
                  <c:v>0</c:v>
                </c:pt>
              </c:numCache>
            </c:numRef>
          </c:yVal>
          <c:smooth val="0"/>
        </c:ser>
        <c:ser>
          <c:idx val="10"/>
          <c:order val="10"/>
          <c:tx>
            <c:strRef>
              <c:f>'COG Tool'!$AA$54</c:f>
              <c:strCache>
                <c:ptCount val="1"/>
                <c:pt idx="0">
                  <c:v>System 8</c:v>
                </c:pt>
              </c:strCache>
            </c:strRef>
          </c:tx>
          <c:spPr>
            <a:ln w="12700">
              <a:solidFill>
                <a:srgbClr val="CCFFCC"/>
              </a:solidFill>
              <a:prstDash val="solid"/>
            </a:ln>
          </c:spPr>
          <c:marker>
            <c:symbol val="none"/>
          </c:marker>
          <c:xVal>
            <c:numRef>
              <c:f>'COG Tool'!$AF$54:$AF$58</c:f>
              <c:numCache>
                <c:formatCode>General</c:formatCode>
                <c:ptCount val="5"/>
                <c:pt idx="0">
                  <c:v>0</c:v>
                </c:pt>
                <c:pt idx="1">
                  <c:v>0</c:v>
                </c:pt>
                <c:pt idx="2">
                  <c:v>0</c:v>
                </c:pt>
                <c:pt idx="3">
                  <c:v>0</c:v>
                </c:pt>
                <c:pt idx="4">
                  <c:v>0</c:v>
                </c:pt>
              </c:numCache>
            </c:numRef>
          </c:xVal>
          <c:yVal>
            <c:numRef>
              <c:f>'COG Tool'!$AG$54:$AG$58</c:f>
              <c:numCache>
                <c:formatCode>General</c:formatCode>
                <c:ptCount val="5"/>
                <c:pt idx="0">
                  <c:v>0</c:v>
                </c:pt>
                <c:pt idx="1">
                  <c:v>0</c:v>
                </c:pt>
                <c:pt idx="2">
                  <c:v>0</c:v>
                </c:pt>
                <c:pt idx="3">
                  <c:v>0</c:v>
                </c:pt>
                <c:pt idx="4">
                  <c:v>0</c:v>
                </c:pt>
              </c:numCache>
            </c:numRef>
          </c:yVal>
          <c:smooth val="0"/>
        </c:ser>
        <c:ser>
          <c:idx val="11"/>
          <c:order val="11"/>
          <c:tx>
            <c:strRef>
              <c:f>'COG Tool'!$AA$59</c:f>
              <c:strCache>
                <c:ptCount val="1"/>
                <c:pt idx="0">
                  <c:v>System 9</c:v>
                </c:pt>
              </c:strCache>
            </c:strRef>
          </c:tx>
          <c:spPr>
            <a:ln w="12700">
              <a:solidFill>
                <a:srgbClr val="FFFF99"/>
              </a:solidFill>
              <a:prstDash val="solid"/>
            </a:ln>
          </c:spPr>
          <c:marker>
            <c:symbol val="none"/>
          </c:marker>
          <c:xVal>
            <c:numRef>
              <c:f>'COG Tool'!$AF$59:$AF$64</c:f>
              <c:numCache>
                <c:formatCode>General</c:formatCode>
                <c:ptCount val="6"/>
                <c:pt idx="0">
                  <c:v>0</c:v>
                </c:pt>
                <c:pt idx="1">
                  <c:v>0</c:v>
                </c:pt>
                <c:pt idx="2">
                  <c:v>0</c:v>
                </c:pt>
                <c:pt idx="3">
                  <c:v>0</c:v>
                </c:pt>
                <c:pt idx="4">
                  <c:v>0</c:v>
                </c:pt>
                <c:pt idx="5">
                  <c:v>0</c:v>
                </c:pt>
              </c:numCache>
            </c:numRef>
          </c:xVal>
          <c:yVal>
            <c:numRef>
              <c:f>'COG Tool'!$AG$59:$AG$63</c:f>
              <c:numCache>
                <c:formatCode>General</c:formatCode>
                <c:ptCount val="5"/>
                <c:pt idx="0">
                  <c:v>0</c:v>
                </c:pt>
                <c:pt idx="1">
                  <c:v>0</c:v>
                </c:pt>
                <c:pt idx="2">
                  <c:v>0</c:v>
                </c:pt>
                <c:pt idx="3">
                  <c:v>0</c:v>
                </c:pt>
                <c:pt idx="4">
                  <c:v>0</c:v>
                </c:pt>
              </c:numCache>
            </c:numRef>
          </c:yVal>
          <c:smooth val="0"/>
        </c:ser>
        <c:ser>
          <c:idx val="12"/>
          <c:order val="12"/>
          <c:tx>
            <c:strRef>
              <c:f>'COG Tool'!$AA$64</c:f>
              <c:strCache>
                <c:ptCount val="1"/>
                <c:pt idx="0">
                  <c:v>System 10</c:v>
                </c:pt>
              </c:strCache>
            </c:strRef>
          </c:tx>
          <c:spPr>
            <a:ln w="12700">
              <a:solidFill>
                <a:srgbClr val="99CCFF"/>
              </a:solidFill>
              <a:prstDash val="solid"/>
            </a:ln>
          </c:spPr>
          <c:marker>
            <c:symbol val="none"/>
          </c:marker>
          <c:xVal>
            <c:numRef>
              <c:f>'COG Tool'!$AF$64:$AF$68</c:f>
              <c:numCache>
                <c:formatCode>General</c:formatCode>
                <c:ptCount val="5"/>
                <c:pt idx="0">
                  <c:v>0</c:v>
                </c:pt>
                <c:pt idx="1">
                  <c:v>0</c:v>
                </c:pt>
                <c:pt idx="2">
                  <c:v>0</c:v>
                </c:pt>
                <c:pt idx="3">
                  <c:v>0</c:v>
                </c:pt>
                <c:pt idx="4">
                  <c:v>0</c:v>
                </c:pt>
              </c:numCache>
            </c:numRef>
          </c:xVal>
          <c:yVal>
            <c:numRef>
              <c:f>'COG Tool'!$AG$64:$AG$68</c:f>
              <c:numCache>
                <c:formatCode>General</c:formatCode>
                <c:ptCount val="5"/>
                <c:pt idx="0">
                  <c:v>0</c:v>
                </c:pt>
                <c:pt idx="1">
                  <c:v>0</c:v>
                </c:pt>
                <c:pt idx="2">
                  <c:v>0</c:v>
                </c:pt>
                <c:pt idx="3">
                  <c:v>0</c:v>
                </c:pt>
                <c:pt idx="4">
                  <c:v>0</c:v>
                </c:pt>
              </c:numCache>
            </c:numRef>
          </c:yVal>
          <c:smooth val="0"/>
        </c:ser>
        <c:ser>
          <c:idx val="13"/>
          <c:order val="13"/>
          <c:tx>
            <c:strRef>
              <c:f>'COG Tool'!$O$6</c:f>
              <c:strCache>
                <c:ptCount val="1"/>
                <c:pt idx="0">
                  <c:v>Center of Gravity Locations</c:v>
                </c:pt>
              </c:strCache>
            </c:strRef>
          </c:tx>
          <c:spPr>
            <a:ln w="28575">
              <a:noFill/>
            </a:ln>
          </c:spPr>
          <c:marker>
            <c:symbol val="square"/>
            <c:size val="10"/>
            <c:spPr>
              <a:solidFill>
                <a:srgbClr val="000000"/>
              </a:solidFill>
              <a:ln>
                <a:solidFill>
                  <a:srgbClr val="000000"/>
                </a:solidFill>
                <a:prstDash val="solid"/>
              </a:ln>
            </c:spPr>
          </c:marker>
          <c:xVal>
            <c:numRef>
              <c:f>'COG Tool'!$P$20</c:f>
              <c:numCache>
                <c:formatCode>General</c:formatCode>
                <c:ptCount val="1"/>
                <c:pt idx="0">
                  <c:v>14</c:v>
                </c:pt>
              </c:numCache>
            </c:numRef>
          </c:xVal>
          <c:yVal>
            <c:numRef>
              <c:f>'COG Tool'!$Q$20</c:f>
              <c:numCache>
                <c:formatCode>General</c:formatCode>
                <c:ptCount val="1"/>
                <c:pt idx="0">
                  <c:v>26.4375</c:v>
                </c:pt>
              </c:numCache>
            </c:numRef>
          </c:yVal>
          <c:smooth val="0"/>
        </c:ser>
        <c:dLbls>
          <c:showLegendKey val="0"/>
          <c:showVal val="0"/>
          <c:showCatName val="0"/>
          <c:showSerName val="0"/>
          <c:showPercent val="0"/>
          <c:showBubbleSize val="0"/>
        </c:dLbls>
        <c:axId val="71206400"/>
        <c:axId val="80420864"/>
      </c:scatterChart>
      <c:valAx>
        <c:axId val="71206400"/>
        <c:scaling>
          <c:orientation val="minMax"/>
        </c:scaling>
        <c:delete val="0"/>
        <c:axPos val="b"/>
        <c:title>
          <c:tx>
            <c:rich>
              <a:bodyPr/>
              <a:lstStyle/>
              <a:p>
                <a:pPr>
                  <a:defRPr sz="950" b="1" i="0" u="none" strike="noStrike" baseline="0">
                    <a:solidFill>
                      <a:srgbClr val="000000"/>
                    </a:solidFill>
                    <a:latin typeface="Arial"/>
                    <a:ea typeface="Arial"/>
                    <a:cs typeface="Arial"/>
                  </a:defRPr>
                </a:pPr>
                <a:r>
                  <a:rPr lang="en-US"/>
                  <a:t>Y - Width</a:t>
                </a:r>
              </a:p>
            </c:rich>
          </c:tx>
          <c:layout>
            <c:manualLayout>
              <c:xMode val="edge"/>
              <c:yMode val="edge"/>
              <c:x val="0.34630895180693677"/>
              <c:y val="0.9166686297899315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80420864"/>
        <c:crosses val="autoZero"/>
        <c:crossBetween val="midCat"/>
      </c:valAx>
      <c:valAx>
        <c:axId val="8042086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Z - Height</a:t>
                </a:r>
              </a:p>
            </c:rich>
          </c:tx>
          <c:layout>
            <c:manualLayout>
              <c:xMode val="edge"/>
              <c:yMode val="edge"/>
              <c:x val="2.1476524143065844E-2"/>
              <c:y val="0.4320184690636758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71206400"/>
        <c:crosses val="autoZero"/>
        <c:crossBetween val="midCat"/>
      </c:valAx>
      <c:spPr>
        <a:solidFill>
          <a:srgbClr val="C0C0C0"/>
        </a:solidFill>
        <a:ln w="12700">
          <a:solidFill>
            <a:srgbClr val="808080"/>
          </a:solidFill>
          <a:prstDash val="solid"/>
        </a:ln>
      </c:spPr>
    </c:plotArea>
    <c:legend>
      <c:legendPos val="r"/>
      <c:layout>
        <c:manualLayout>
          <c:xMode val="edge"/>
          <c:yMode val="edge"/>
          <c:x val="0.71409442775693932"/>
          <c:y val="0.17982494651381431"/>
          <c:w val="0.27516796558303114"/>
          <c:h val="0.64693121001921006"/>
        </c:manualLayout>
      </c:layout>
      <c:overlay val="0"/>
      <c:spPr>
        <a:solidFill>
          <a:srgbClr val="FFFFFF"/>
        </a:solidFill>
        <a:ln w="3175">
          <a:solidFill>
            <a:srgbClr val="000000"/>
          </a:solidFill>
          <a:prstDash val="solid"/>
        </a:ln>
      </c:spPr>
      <c:txPr>
        <a:bodyPr/>
        <a:lstStyle/>
        <a:p>
          <a:pPr>
            <a:defRPr sz="8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emf"/><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image" Target="../media/image8.jpeg"/></Relationships>
</file>

<file path=xl/drawings/_rels/drawing2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image" Target="../media/image9.png"/><Relationship Id="rId4" Type="http://schemas.openxmlformats.org/officeDocument/2006/relationships/hyperlink" Target="http://gpgearheads.org/" TargetMode="External"/></Relationships>
</file>

<file path=xl/drawings/_rels/vmlDrawing1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123825</xdr:colOff>
          <xdr:row>0</xdr:row>
          <xdr:rowOff>0</xdr:rowOff>
        </xdr:from>
        <xdr:to>
          <xdr:col>2</xdr:col>
          <xdr:colOff>904875</xdr:colOff>
          <xdr:row>0</xdr:row>
          <xdr:rowOff>219075</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104775</xdr:colOff>
          <xdr:row>8</xdr:row>
          <xdr:rowOff>47625</xdr:rowOff>
        </xdr:from>
        <xdr:to>
          <xdr:col>4</xdr:col>
          <xdr:colOff>419100</xdr:colOff>
          <xdr:row>9</xdr:row>
          <xdr:rowOff>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19050</xdr:rowOff>
        </xdr:from>
        <xdr:to>
          <xdr:col>4</xdr:col>
          <xdr:colOff>428625</xdr:colOff>
          <xdr:row>5</xdr:row>
          <xdr:rowOff>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4</xdr:row>
          <xdr:rowOff>0</xdr:rowOff>
        </xdr:from>
        <xdr:to>
          <xdr:col>1</xdr:col>
          <xdr:colOff>428625</xdr:colOff>
          <xdr:row>5</xdr:row>
          <xdr:rowOff>0</xdr:rowOff>
        </xdr:to>
        <xdr:sp macro="" textlink="">
          <xdr:nvSpPr>
            <xdr:cNvPr id="12291" name="Button 3" hidden="1">
              <a:extLst>
                <a:ext uri="{63B3BB69-23CF-44E3-9099-C40C66FF867C}">
                  <a14:compatExt spid="_x0000_s12291"/>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14</xdr:row>
          <xdr:rowOff>19050</xdr:rowOff>
        </xdr:from>
        <xdr:to>
          <xdr:col>1</xdr:col>
          <xdr:colOff>428625</xdr:colOff>
          <xdr:row>14</xdr:row>
          <xdr:rowOff>247650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8</xdr:row>
          <xdr:rowOff>19050</xdr:rowOff>
        </xdr:from>
        <xdr:to>
          <xdr:col>1</xdr:col>
          <xdr:colOff>428625</xdr:colOff>
          <xdr:row>8</xdr:row>
          <xdr:rowOff>247650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10</xdr:row>
          <xdr:rowOff>19050</xdr:rowOff>
        </xdr:from>
        <xdr:to>
          <xdr:col>1</xdr:col>
          <xdr:colOff>428625</xdr:colOff>
          <xdr:row>10</xdr:row>
          <xdr:rowOff>247650</xdr:rowOff>
        </xdr:to>
        <xdr:sp macro="" textlink="">
          <xdr:nvSpPr>
            <xdr:cNvPr id="12295" name="Button 7" hidden="1">
              <a:extLst>
                <a:ext uri="{63B3BB69-23CF-44E3-9099-C40C66FF867C}">
                  <a14:compatExt spid="_x0000_s12295"/>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6</xdr:row>
          <xdr:rowOff>19050</xdr:rowOff>
        </xdr:from>
        <xdr:to>
          <xdr:col>4</xdr:col>
          <xdr:colOff>428625</xdr:colOff>
          <xdr:row>6</xdr:row>
          <xdr:rowOff>247650</xdr:rowOff>
        </xdr:to>
        <xdr:sp macro="" textlink="">
          <xdr:nvSpPr>
            <xdr:cNvPr id="12296" name="Button 8" hidden="1">
              <a:extLst>
                <a:ext uri="{63B3BB69-23CF-44E3-9099-C40C66FF867C}">
                  <a14:compatExt spid="_x0000_s12296"/>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18</xdr:row>
          <xdr:rowOff>19050</xdr:rowOff>
        </xdr:from>
        <xdr:to>
          <xdr:col>4</xdr:col>
          <xdr:colOff>428625</xdr:colOff>
          <xdr:row>18</xdr:row>
          <xdr:rowOff>247650</xdr:rowOff>
        </xdr:to>
        <xdr:sp macro="" textlink="">
          <xdr:nvSpPr>
            <xdr:cNvPr id="12297" name="Button 9" hidden="1">
              <a:extLst>
                <a:ext uri="{63B3BB69-23CF-44E3-9099-C40C66FF867C}">
                  <a14:compatExt spid="_x0000_s12297"/>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22</xdr:row>
          <xdr:rowOff>19050</xdr:rowOff>
        </xdr:from>
        <xdr:to>
          <xdr:col>4</xdr:col>
          <xdr:colOff>428625</xdr:colOff>
          <xdr:row>22</xdr:row>
          <xdr:rowOff>247650</xdr:rowOff>
        </xdr:to>
        <xdr:sp macro="" textlink="">
          <xdr:nvSpPr>
            <xdr:cNvPr id="12298" name="Button 10" hidden="1">
              <a:extLst>
                <a:ext uri="{63B3BB69-23CF-44E3-9099-C40C66FF867C}">
                  <a14:compatExt spid="_x0000_s12298"/>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20</xdr:row>
          <xdr:rowOff>19050</xdr:rowOff>
        </xdr:from>
        <xdr:to>
          <xdr:col>4</xdr:col>
          <xdr:colOff>428625</xdr:colOff>
          <xdr:row>20</xdr:row>
          <xdr:rowOff>247650</xdr:rowOff>
        </xdr:to>
        <xdr:sp macro="" textlink="">
          <xdr:nvSpPr>
            <xdr:cNvPr id="12299" name="Button 11" hidden="1">
              <a:extLst>
                <a:ext uri="{63B3BB69-23CF-44E3-9099-C40C66FF867C}">
                  <a14:compatExt spid="_x0000_s12299"/>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16</xdr:row>
          <xdr:rowOff>19050</xdr:rowOff>
        </xdr:from>
        <xdr:to>
          <xdr:col>1</xdr:col>
          <xdr:colOff>428625</xdr:colOff>
          <xdr:row>16</xdr:row>
          <xdr:rowOff>247650</xdr:rowOff>
        </xdr:to>
        <xdr:sp macro="" textlink="">
          <xdr:nvSpPr>
            <xdr:cNvPr id="12300" name="Button 12" hidden="1">
              <a:extLst>
                <a:ext uri="{63B3BB69-23CF-44E3-9099-C40C66FF867C}">
                  <a14:compatExt spid="_x0000_s12300"/>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16</xdr:row>
          <xdr:rowOff>19050</xdr:rowOff>
        </xdr:from>
        <xdr:to>
          <xdr:col>4</xdr:col>
          <xdr:colOff>428625</xdr:colOff>
          <xdr:row>16</xdr:row>
          <xdr:rowOff>247650</xdr:rowOff>
        </xdr:to>
        <xdr:sp macro="" textlink="">
          <xdr:nvSpPr>
            <xdr:cNvPr id="12304" name="Button 16" hidden="1">
              <a:extLst>
                <a:ext uri="{63B3BB69-23CF-44E3-9099-C40C66FF867C}">
                  <a14:compatExt spid="_x0000_s12304"/>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12</xdr:row>
          <xdr:rowOff>19050</xdr:rowOff>
        </xdr:from>
        <xdr:to>
          <xdr:col>4</xdr:col>
          <xdr:colOff>428625</xdr:colOff>
          <xdr:row>12</xdr:row>
          <xdr:rowOff>247650</xdr:rowOff>
        </xdr:to>
        <xdr:sp macro="" textlink="">
          <xdr:nvSpPr>
            <xdr:cNvPr id="12305" name="Button 17" hidden="1">
              <a:extLst>
                <a:ext uri="{63B3BB69-23CF-44E3-9099-C40C66FF867C}">
                  <a14:compatExt spid="_x0000_s12305"/>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10</xdr:row>
          <xdr:rowOff>19050</xdr:rowOff>
        </xdr:from>
        <xdr:to>
          <xdr:col>4</xdr:col>
          <xdr:colOff>428625</xdr:colOff>
          <xdr:row>10</xdr:row>
          <xdr:rowOff>247650</xdr:rowOff>
        </xdr:to>
        <xdr:sp macro="" textlink="">
          <xdr:nvSpPr>
            <xdr:cNvPr id="12306" name="Button 18" hidden="1">
              <a:extLst>
                <a:ext uri="{63B3BB69-23CF-44E3-9099-C40C66FF867C}">
                  <a14:compatExt spid="_x0000_s12306"/>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14</xdr:row>
          <xdr:rowOff>19050</xdr:rowOff>
        </xdr:from>
        <xdr:to>
          <xdr:col>4</xdr:col>
          <xdr:colOff>428625</xdr:colOff>
          <xdr:row>14</xdr:row>
          <xdr:rowOff>247650</xdr:rowOff>
        </xdr:to>
        <xdr:sp macro="" textlink="">
          <xdr:nvSpPr>
            <xdr:cNvPr id="12307" name="Button 19" hidden="1">
              <a:extLst>
                <a:ext uri="{63B3BB69-23CF-44E3-9099-C40C66FF867C}">
                  <a14:compatExt spid="_x0000_s12307"/>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6</xdr:row>
          <xdr:rowOff>19050</xdr:rowOff>
        </xdr:from>
        <xdr:to>
          <xdr:col>1</xdr:col>
          <xdr:colOff>428625</xdr:colOff>
          <xdr:row>6</xdr:row>
          <xdr:rowOff>247650</xdr:rowOff>
        </xdr:to>
        <xdr:sp macro="" textlink="">
          <xdr:nvSpPr>
            <xdr:cNvPr id="12308" name="Button 20" hidden="1">
              <a:extLst>
                <a:ext uri="{63B3BB69-23CF-44E3-9099-C40C66FF867C}">
                  <a14:compatExt spid="_x0000_s12308"/>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12</xdr:row>
          <xdr:rowOff>19050</xdr:rowOff>
        </xdr:from>
        <xdr:to>
          <xdr:col>1</xdr:col>
          <xdr:colOff>428625</xdr:colOff>
          <xdr:row>12</xdr:row>
          <xdr:rowOff>247650</xdr:rowOff>
        </xdr:to>
        <xdr:sp macro="" textlink="">
          <xdr:nvSpPr>
            <xdr:cNvPr id="12309" name="Button 21" hidden="1">
              <a:extLst>
                <a:ext uri="{63B3BB69-23CF-44E3-9099-C40C66FF867C}">
                  <a14:compatExt spid="_x0000_s12309"/>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123825</xdr:colOff>
          <xdr:row>0</xdr:row>
          <xdr:rowOff>0</xdr:rowOff>
        </xdr:from>
        <xdr:to>
          <xdr:col>4</xdr:col>
          <xdr:colOff>904875</xdr:colOff>
          <xdr:row>0</xdr:row>
          <xdr:rowOff>219075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19050</xdr:rowOff>
        </xdr:from>
        <xdr:to>
          <xdr:col>2</xdr:col>
          <xdr:colOff>742950</xdr:colOff>
          <xdr:row>0</xdr:row>
          <xdr:rowOff>209550</xdr:rowOff>
        </xdr:to>
        <xdr:sp macro="" textlink="">
          <xdr:nvSpPr>
            <xdr:cNvPr id="227330" name="Button 2" hidden="1">
              <a:extLst>
                <a:ext uri="{63B3BB69-23CF-44E3-9099-C40C66FF867C}">
                  <a14:compatExt spid="_x0000_s2273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0</xdr:row>
          <xdr:rowOff>0</xdr:rowOff>
        </xdr:from>
        <xdr:to>
          <xdr:col>2</xdr:col>
          <xdr:colOff>1028700</xdr:colOff>
          <xdr:row>0</xdr:row>
          <xdr:rowOff>209550</xdr:rowOff>
        </xdr:to>
        <xdr:sp macro="" textlink="">
          <xdr:nvSpPr>
            <xdr:cNvPr id="27650" name="Button 2" hidden="1">
              <a:extLst>
                <a:ext uri="{63B3BB69-23CF-44E3-9099-C40C66FF867C}">
                  <a14:compatExt spid="_x0000_s276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0</xdr:row>
          <xdr:rowOff>19050</xdr:rowOff>
        </xdr:from>
        <xdr:to>
          <xdr:col>1</xdr:col>
          <xdr:colOff>742950</xdr:colOff>
          <xdr:row>0</xdr:row>
          <xdr:rowOff>209550</xdr:rowOff>
        </xdr:to>
        <xdr:sp macro="" textlink="">
          <xdr:nvSpPr>
            <xdr:cNvPr id="28678" name="Button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twoCellAnchor>
    <xdr:from>
      <xdr:col>0</xdr:col>
      <xdr:colOff>0</xdr:colOff>
      <xdr:row>6</xdr:row>
      <xdr:rowOff>57151</xdr:rowOff>
    </xdr:from>
    <xdr:to>
      <xdr:col>11</xdr:col>
      <xdr:colOff>66676</xdr:colOff>
      <xdr:row>26</xdr:row>
      <xdr:rowOff>28575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19050</xdr:rowOff>
        </xdr:from>
        <xdr:to>
          <xdr:col>2</xdr:col>
          <xdr:colOff>742950</xdr:colOff>
          <xdr:row>0</xdr:row>
          <xdr:rowOff>209550</xdr:rowOff>
        </xdr:to>
        <xdr:sp macro="" textlink="">
          <xdr:nvSpPr>
            <xdr:cNvPr id="181249" name="Button 1" hidden="1">
              <a:extLst>
                <a:ext uri="{63B3BB69-23CF-44E3-9099-C40C66FF867C}">
                  <a14:compatExt spid="_x0000_s181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581025</xdr:colOff>
          <xdr:row>0</xdr:row>
          <xdr:rowOff>0</xdr:rowOff>
        </xdr:from>
        <xdr:to>
          <xdr:col>6</xdr:col>
          <xdr:colOff>142875</xdr:colOff>
          <xdr:row>0</xdr:row>
          <xdr:rowOff>219075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581025</xdr:colOff>
          <xdr:row>0</xdr:row>
          <xdr:rowOff>0</xdr:rowOff>
        </xdr:from>
        <xdr:to>
          <xdr:col>6</xdr:col>
          <xdr:colOff>142875</xdr:colOff>
          <xdr:row>0</xdr:row>
          <xdr:rowOff>219075</xdr:rowOff>
        </xdr:to>
        <xdr:sp macro="" textlink="">
          <xdr:nvSpPr>
            <xdr:cNvPr id="139265" name="Button 1" hidden="1">
              <a:extLst>
                <a:ext uri="{63B3BB69-23CF-44E3-9099-C40C66FF867C}">
                  <a14:compatExt spid="_x0000_s139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5</xdr:col>
      <xdr:colOff>285750</xdr:colOff>
      <xdr:row>1</xdr:row>
      <xdr:rowOff>47625</xdr:rowOff>
    </xdr:from>
    <xdr:to>
      <xdr:col>12</xdr:col>
      <xdr:colOff>561975</xdr:colOff>
      <xdr:row>21</xdr:row>
      <xdr:rowOff>9525</xdr:rowOff>
    </xdr:to>
    <xdr:sp macro="" textlink="">
      <xdr:nvSpPr>
        <xdr:cNvPr id="2" name="TextBox 1"/>
        <xdr:cNvSpPr txBox="1"/>
      </xdr:nvSpPr>
      <xdr:spPr>
        <a:xfrm>
          <a:off x="4076700" y="342900"/>
          <a:ext cx="5953125" cy="381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dk1"/>
              </a:solidFill>
              <a:effectLst/>
              <a:latin typeface="+mn-lt"/>
              <a:ea typeface="+mn-ea"/>
              <a:cs typeface="+mn-cs"/>
            </a:rPr>
            <a:t>The center distance sprocket-to-sprocket for a tight chain may be determined by:</a:t>
          </a:r>
          <a:r>
            <a:rPr lang="en-US" sz="1200" b="1"/>
            <a:t> </a:t>
          </a:r>
        </a:p>
        <a:p>
          <a:endParaRPr lang="en-US"/>
        </a:p>
        <a:p>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 = center-to-center distance in inches</a:t>
          </a:r>
          <a:r>
            <a:rPr lang="en-US"/>
            <a:t> </a:t>
          </a:r>
        </a:p>
        <a:p>
          <a:r>
            <a:rPr lang="en-US" sz="1100" b="0" i="0" u="none" strike="noStrike">
              <a:solidFill>
                <a:schemeClr val="dk1"/>
              </a:solidFill>
              <a:effectLst/>
              <a:latin typeface="+mn-lt"/>
              <a:ea typeface="+mn-ea"/>
              <a:cs typeface="+mn-cs"/>
            </a:rPr>
            <a:t>    L = chain length in pitches</a:t>
          </a:r>
          <a:r>
            <a:rPr lang="en-US"/>
            <a:t> </a:t>
          </a:r>
        </a:p>
        <a:p>
          <a:r>
            <a:rPr lang="en-US" sz="1100" b="0" i="0" u="none" strike="noStrike">
              <a:solidFill>
                <a:schemeClr val="dk1"/>
              </a:solidFill>
              <a:effectLst/>
              <a:latin typeface="+mn-lt"/>
              <a:ea typeface="+mn-ea"/>
              <a:cs typeface="+mn-cs"/>
            </a:rPr>
            <a:t>    P = pitch of chain [in inches] (.250" for #25 chain and .375" for #35 chain)</a:t>
          </a:r>
          <a:r>
            <a:rPr lang="en-US"/>
            <a:t> </a:t>
          </a:r>
        </a:p>
        <a:p>
          <a:r>
            <a:rPr lang="en-US" sz="1100" b="0" i="0" u="none" strike="noStrike">
              <a:solidFill>
                <a:schemeClr val="dk1"/>
              </a:solidFill>
              <a:effectLst/>
              <a:latin typeface="+mn-lt"/>
              <a:ea typeface="+mn-ea"/>
              <a:cs typeface="+mn-cs"/>
            </a:rPr>
            <a:t>    N = number of teeth in large sprocket</a:t>
          </a:r>
          <a:r>
            <a:rPr lang="en-US"/>
            <a:t> </a:t>
          </a:r>
        </a:p>
        <a:p>
          <a:r>
            <a:rPr lang="en-US" sz="1100" b="0" i="0" u="none" strike="noStrike">
              <a:solidFill>
                <a:schemeClr val="dk1"/>
              </a:solidFill>
              <a:effectLst/>
              <a:latin typeface="+mn-lt"/>
              <a:ea typeface="+mn-ea"/>
              <a:cs typeface="+mn-cs"/>
            </a:rPr>
            <a:t>    n = number of teeth in small sprocket</a:t>
          </a:r>
          <a:r>
            <a:rPr lang="en-US"/>
            <a:t> </a:t>
          </a:r>
        </a:p>
        <a:p>
          <a:endParaRPr lang="en-US"/>
        </a:p>
        <a:p>
          <a:r>
            <a:rPr lang="en-US" sz="1100" b="0" i="1" u="none" strike="noStrike">
              <a:solidFill>
                <a:schemeClr val="dk1"/>
              </a:solidFill>
              <a:effectLst/>
              <a:latin typeface="+mn-lt"/>
              <a:ea typeface="+mn-ea"/>
              <a:cs typeface="+mn-cs"/>
            </a:rPr>
            <a:t>c=P/8*(2*L-N-n+sqrt((2*L-N-n)^2-0.810*(N-n)^2))</a:t>
          </a:r>
          <a:r>
            <a:rPr lang="en-US"/>
            <a:t> </a:t>
          </a:r>
        </a:p>
        <a:p>
          <a:endParaRPr lang="en-US"/>
        </a:p>
        <a:p>
          <a:r>
            <a:rPr lang="en-US" sz="1100" b="0" i="0" u="none" strike="noStrike">
              <a:solidFill>
                <a:schemeClr val="dk1"/>
              </a:solidFill>
              <a:effectLst/>
              <a:latin typeface="+mn-lt"/>
              <a:ea typeface="+mn-ea"/>
              <a:cs typeface="+mn-cs"/>
            </a:rPr>
            <a:t>Begin with a chain length approximately the distance you are looking for and solve for it, then pick the nearest whole number for "L" to get the final distance "c".</a:t>
          </a:r>
          <a:r>
            <a:rPr lang="en-US"/>
            <a:t> </a:t>
          </a:r>
          <a:endParaRPr lang="en-US" sz="1100"/>
        </a:p>
        <a:p>
          <a:endParaRPr lang="en-US" sz="1100"/>
        </a:p>
        <a:p>
          <a:r>
            <a:rPr lang="en-US" sz="1100" b="0" i="0" u="none" strike="noStrike">
              <a:solidFill>
                <a:schemeClr val="dk1"/>
              </a:solidFill>
              <a:effectLst/>
              <a:latin typeface="+mn-lt"/>
              <a:ea typeface="+mn-ea"/>
              <a:cs typeface="+mn-cs"/>
            </a:rPr>
            <a:t>Sprockets must have sufficient chain wrapped around both the driving and driven sprockets to avoid skipping teeth. Shoot for an optimal 180° around each sprocket, but don't depend on less than a minimum of 135° unless there is virtually no-load on the system. Be especially wary of small sprockets where the number of teeth engaging the chain is very few.</a:t>
          </a:r>
          <a:r>
            <a:rPr lang="en-US"/>
            <a:t> </a:t>
          </a:r>
        </a:p>
        <a:p>
          <a:endParaRPr lang="en-US" sz="1100"/>
        </a:p>
        <a:p>
          <a:r>
            <a:rPr lang="en-US" sz="1100" b="1" i="0" u="none" strike="noStrike">
              <a:solidFill>
                <a:schemeClr val="dk1"/>
              </a:solidFill>
              <a:effectLst/>
              <a:latin typeface="+mn-lt"/>
              <a:ea typeface="+mn-ea"/>
              <a:cs typeface="+mn-cs"/>
            </a:rPr>
            <a:t>Usage Notes:</a:t>
          </a:r>
          <a:r>
            <a:rPr lang="en-US" b="1"/>
            <a:t> </a:t>
          </a:r>
        </a:p>
        <a:p>
          <a:r>
            <a:rPr lang="en-US" sz="1100" b="0" i="0" u="none" strike="noStrike">
              <a:solidFill>
                <a:schemeClr val="dk1"/>
              </a:solidFill>
              <a:effectLst/>
              <a:latin typeface="+mn-lt"/>
              <a:ea typeface="+mn-ea"/>
              <a:cs typeface="+mn-cs"/>
            </a:rPr>
            <a:t>Use .375 for #35 chain or .250 for #25 chain</a:t>
          </a:r>
          <a:r>
            <a:rPr lang="en-US"/>
            <a:t> </a:t>
          </a:r>
        </a:p>
        <a:p>
          <a:r>
            <a:rPr lang="en-US" sz="1100" b="0" i="0" u="none" strike="noStrike">
              <a:solidFill>
                <a:schemeClr val="dk1"/>
              </a:solidFill>
              <a:effectLst/>
              <a:latin typeface="+mn-lt"/>
              <a:ea typeface="+mn-ea"/>
              <a:cs typeface="+mn-cs"/>
            </a:rPr>
            <a:t>Links ideally should be an even whole number</a:t>
          </a:r>
          <a:r>
            <a:rPr lang="en-US"/>
            <a:t>  since chain links</a:t>
          </a:r>
          <a:r>
            <a:rPr lang="en-US" baseline="0"/>
            <a:t> are in pairs.   A "half link" can be used to create a loop of odd numbered links.</a:t>
          </a:r>
        </a:p>
        <a:p>
          <a:endParaRPr lang="en-US" sz="1100"/>
        </a:p>
      </xdr:txBody>
    </xdr:sp>
    <xdr:clientData/>
  </xdr:twoCellAnchor>
  <xdr:twoCellAnchor editAs="oneCell">
    <xdr:from>
      <xdr:col>0</xdr:col>
      <xdr:colOff>209550</xdr:colOff>
      <xdr:row>23</xdr:row>
      <xdr:rowOff>9525</xdr:rowOff>
    </xdr:from>
    <xdr:to>
      <xdr:col>4</xdr:col>
      <xdr:colOff>38100</xdr:colOff>
      <xdr:row>35</xdr:row>
      <xdr:rowOff>41924</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9550" y="4533900"/>
          <a:ext cx="3390900" cy="2318399"/>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0</xdr:colOff>
          <xdr:row>0</xdr:row>
          <xdr:rowOff>47625</xdr:rowOff>
        </xdr:from>
        <xdr:to>
          <xdr:col>5</xdr:col>
          <xdr:colOff>781050</xdr:colOff>
          <xdr:row>0</xdr:row>
          <xdr:rowOff>266700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twoCellAnchor editAs="oneCell">
    <xdr:from>
      <xdr:col>6</xdr:col>
      <xdr:colOff>323850</xdr:colOff>
      <xdr:row>23</xdr:row>
      <xdr:rowOff>133350</xdr:rowOff>
    </xdr:from>
    <xdr:to>
      <xdr:col>13</xdr:col>
      <xdr:colOff>57150</xdr:colOff>
      <xdr:row>37</xdr:row>
      <xdr:rowOff>5852</xdr:rowOff>
    </xdr:to>
    <xdr:pic>
      <xdr:nvPicPr>
        <xdr:cNvPr id="7" name="Picture 6"/>
        <xdr:cNvPicPr>
          <a:picLocks noChangeAspect="1"/>
        </xdr:cNvPicPr>
      </xdr:nvPicPr>
      <xdr:blipFill>
        <a:blip xmlns:r="http://schemas.openxmlformats.org/officeDocument/2006/relationships" r:embed="rId2"/>
        <a:stretch>
          <a:fillRect/>
        </a:stretch>
      </xdr:blipFill>
      <xdr:spPr>
        <a:xfrm>
          <a:off x="5924550" y="4772025"/>
          <a:ext cx="4210050" cy="253950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7</xdr:col>
      <xdr:colOff>657225</xdr:colOff>
      <xdr:row>10</xdr:row>
      <xdr:rowOff>85726</xdr:rowOff>
    </xdr:from>
    <xdr:to>
      <xdr:col>12</xdr:col>
      <xdr:colOff>103098</xdr:colOff>
      <xdr:row>21</xdr:row>
      <xdr:rowOff>142876</xdr:rowOff>
    </xdr:to>
    <xdr:pic>
      <xdr:nvPicPr>
        <xdr:cNvPr id="3" name="Picture 2" descr="Gear Pitch"/>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57900" y="2066926"/>
          <a:ext cx="2789148" cy="2152650"/>
        </a:xfrm>
        <a:prstGeom prst="rect">
          <a:avLst/>
        </a:prstGeom>
        <a:noFill/>
        <a:ln>
          <a:noFill/>
        </a:ln>
        <a:effectLst>
          <a:outerShdw blurRad="76200" dist="12700" dir="2700000" sy="-23000" kx="-800400" algn="bl" rotWithShape="0">
            <a:prstClr val="black">
              <a:alpha val="2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295274</xdr:colOff>
      <xdr:row>20</xdr:row>
      <xdr:rowOff>47625</xdr:rowOff>
    </xdr:from>
    <xdr:to>
      <xdr:col>7</xdr:col>
      <xdr:colOff>409575</xdr:colOff>
      <xdr:row>42</xdr:row>
      <xdr:rowOff>180975</xdr:rowOff>
    </xdr:to>
    <xdr:sp macro="" textlink="">
      <xdr:nvSpPr>
        <xdr:cNvPr id="4" name="TextBox 3"/>
        <xdr:cNvSpPr txBox="1"/>
      </xdr:nvSpPr>
      <xdr:spPr>
        <a:xfrm>
          <a:off x="295274" y="4410075"/>
          <a:ext cx="5534026" cy="4324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baseline="0" smtClean="0">
              <a:solidFill>
                <a:schemeClr val="dk1"/>
              </a:solidFill>
              <a:latin typeface="+mn-lt"/>
              <a:ea typeface="+mn-ea"/>
              <a:cs typeface="+mn-cs"/>
            </a:rPr>
            <a:t>Spur Gears</a:t>
          </a:r>
        </a:p>
        <a:p>
          <a:r>
            <a:rPr lang="en-US" sz="1100" b="0" i="0" u="none" strike="noStrike" baseline="0" smtClean="0">
              <a:solidFill>
                <a:schemeClr val="dk1"/>
              </a:solidFill>
              <a:latin typeface="+mn-lt"/>
              <a:ea typeface="+mn-ea"/>
              <a:cs typeface="+mn-cs"/>
            </a:rPr>
            <a:t>Are cogged wheels whose cogs or teeth project radially and stand parallel to the axis.</a:t>
          </a:r>
        </a:p>
        <a:p>
          <a:endParaRPr lang="en-US" sz="1100" b="0" i="0" u="none" strike="noStrike" baseline="0" smtClean="0">
            <a:solidFill>
              <a:schemeClr val="dk1"/>
            </a:solidFill>
            <a:latin typeface="+mn-lt"/>
            <a:ea typeface="+mn-ea"/>
            <a:cs typeface="+mn-cs"/>
          </a:endParaRPr>
        </a:p>
        <a:p>
          <a:r>
            <a:rPr lang="en-US" sz="1100" b="1" i="0" u="none" strike="noStrike" baseline="0" smtClean="0">
              <a:solidFill>
                <a:schemeClr val="dk1"/>
              </a:solidFill>
              <a:latin typeface="+mn-lt"/>
              <a:ea typeface="+mn-ea"/>
              <a:cs typeface="+mn-cs"/>
            </a:rPr>
            <a:t>Diametral Pitch (DP)</a:t>
          </a:r>
        </a:p>
        <a:p>
          <a:r>
            <a:rPr lang="en-US" sz="1100" b="0" i="0" u="none" strike="noStrike" baseline="0" smtClean="0">
              <a:solidFill>
                <a:schemeClr val="dk1"/>
              </a:solidFill>
              <a:latin typeface="+mn-lt"/>
              <a:ea typeface="+mn-ea"/>
              <a:cs typeface="+mn-cs"/>
            </a:rPr>
            <a:t>The Diametral Pitch describes the gear tooth size. The Diametral Pitch is expressed as the</a:t>
          </a:r>
        </a:p>
        <a:p>
          <a:r>
            <a:rPr lang="en-US" sz="1100" b="0" i="0" u="none" strike="noStrike" baseline="0" smtClean="0">
              <a:solidFill>
                <a:schemeClr val="dk1"/>
              </a:solidFill>
              <a:latin typeface="+mn-lt"/>
              <a:ea typeface="+mn-ea"/>
              <a:cs typeface="+mn-cs"/>
            </a:rPr>
            <a:t>number of teeth per inch of Pitch Diameter. Larger gears have fewer teeth per inch of</a:t>
          </a:r>
        </a:p>
        <a:p>
          <a:r>
            <a:rPr lang="en-US" sz="1100" b="0" i="0" u="none" strike="noStrike" baseline="0" smtClean="0">
              <a:solidFill>
                <a:schemeClr val="dk1"/>
              </a:solidFill>
              <a:latin typeface="+mn-lt"/>
              <a:ea typeface="+mn-ea"/>
              <a:cs typeface="+mn-cs"/>
            </a:rPr>
            <a:t>Diametral Pitch. Another way of saying this; Gear teeth size varies inversely with Diametral</a:t>
          </a:r>
        </a:p>
        <a:p>
          <a:r>
            <a:rPr lang="en-US" sz="1100" b="0" i="0" u="none" strike="noStrike" baseline="0" smtClean="0">
              <a:solidFill>
                <a:schemeClr val="dk1"/>
              </a:solidFill>
              <a:latin typeface="+mn-lt"/>
              <a:ea typeface="+mn-ea"/>
              <a:cs typeface="+mn-cs"/>
            </a:rPr>
            <a:t>Pitch.  Typical FRC gear sets are 20dp or 32dp.</a:t>
          </a:r>
        </a:p>
        <a:p>
          <a:endParaRPr lang="en-US" sz="1100" b="0" i="0" u="none" strike="noStrike" baseline="0" smtClean="0">
            <a:solidFill>
              <a:schemeClr val="dk1"/>
            </a:solidFill>
            <a:latin typeface="+mn-lt"/>
            <a:ea typeface="+mn-ea"/>
            <a:cs typeface="+mn-cs"/>
          </a:endParaRPr>
        </a:p>
        <a:p>
          <a:r>
            <a:rPr lang="en-US" sz="1100" b="1" i="0" u="none" strike="noStrike" baseline="0" smtClean="0">
              <a:solidFill>
                <a:schemeClr val="dk1"/>
              </a:solidFill>
              <a:latin typeface="+mn-lt"/>
              <a:ea typeface="+mn-ea"/>
              <a:cs typeface="+mn-cs"/>
            </a:rPr>
            <a:t>Pitch Diameter (D)</a:t>
          </a:r>
        </a:p>
        <a:p>
          <a:r>
            <a:rPr lang="en-US" sz="1100" b="0" i="0" u="none" strike="noStrike" baseline="0" smtClean="0">
              <a:solidFill>
                <a:schemeClr val="dk1"/>
              </a:solidFill>
              <a:latin typeface="+mn-lt"/>
              <a:ea typeface="+mn-ea"/>
              <a:cs typeface="+mn-cs"/>
            </a:rPr>
            <a:t>The Pitch Diameter refers to the diameter of the pitch circle. If the gear pitch is known then the Pitch Diameter is easily calculated using the following formula;</a:t>
          </a:r>
        </a:p>
        <a:p>
          <a:endParaRPr lang="en-US" sz="1100" b="0" i="1" u="none" strike="noStrike" baseline="0" smtClean="0">
            <a:solidFill>
              <a:schemeClr val="dk1"/>
            </a:solidFill>
            <a:latin typeface="+mn-lt"/>
            <a:ea typeface="+mn-ea"/>
            <a:cs typeface="+mn-cs"/>
          </a:endParaRPr>
        </a:p>
        <a:p>
          <a:r>
            <a:rPr lang="en-US" sz="1100" b="0" i="1" u="none" strike="noStrike" baseline="0" smtClean="0">
              <a:solidFill>
                <a:schemeClr val="dk1"/>
              </a:solidFill>
              <a:latin typeface="+mn-lt"/>
              <a:ea typeface="+mn-ea"/>
              <a:cs typeface="+mn-cs"/>
            </a:rPr>
            <a:t>	PD  </a:t>
          </a:r>
          <a:r>
            <a:rPr lang="en-US" sz="1100" b="0" i="0" u="none" strike="noStrike" baseline="0" smtClean="0">
              <a:solidFill>
                <a:schemeClr val="dk1"/>
              </a:solidFill>
              <a:latin typeface="+mn-lt"/>
              <a:ea typeface="+mn-ea"/>
              <a:cs typeface="+mn-cs"/>
            </a:rPr>
            <a:t>=  </a:t>
          </a:r>
          <a:r>
            <a:rPr lang="en-US" sz="1100" b="0" i="1" u="none" strike="noStrike" baseline="0" smtClean="0">
              <a:solidFill>
                <a:schemeClr val="dk1"/>
              </a:solidFill>
              <a:latin typeface="+mn-lt"/>
              <a:ea typeface="+mn-ea"/>
              <a:cs typeface="+mn-cs"/>
            </a:rPr>
            <a:t>N / P</a:t>
          </a:r>
        </a:p>
        <a:p>
          <a:endParaRPr lang="en-US" sz="1100" b="0" i="0" u="none" strike="noStrike" baseline="0" smtClean="0">
            <a:solidFill>
              <a:schemeClr val="dk1"/>
            </a:solidFill>
            <a:latin typeface="+mn-lt"/>
            <a:ea typeface="+mn-ea"/>
            <a:cs typeface="+mn-cs"/>
          </a:endParaRPr>
        </a:p>
        <a:p>
          <a:r>
            <a:rPr lang="en-US" sz="1100" b="0" i="0" u="none" strike="noStrike" baseline="0" smtClean="0">
              <a:solidFill>
                <a:schemeClr val="dk1"/>
              </a:solidFill>
              <a:latin typeface="+mn-lt"/>
              <a:ea typeface="+mn-ea"/>
              <a:cs typeface="+mn-cs"/>
            </a:rPr>
            <a:t>PD = Pitch Diameter</a:t>
          </a:r>
        </a:p>
        <a:p>
          <a:r>
            <a:rPr lang="en-US" sz="1100" b="0" i="0" u="none" strike="noStrike" baseline="0" smtClean="0">
              <a:solidFill>
                <a:schemeClr val="dk1"/>
              </a:solidFill>
              <a:latin typeface="+mn-lt"/>
              <a:ea typeface="+mn-ea"/>
              <a:cs typeface="+mn-cs"/>
            </a:rPr>
            <a:t>N = Number of teeth on the gear</a:t>
          </a:r>
        </a:p>
        <a:p>
          <a:r>
            <a:rPr lang="en-US" sz="1100" b="0" i="0" u="none" strike="noStrike" baseline="0" smtClean="0">
              <a:solidFill>
                <a:schemeClr val="dk1"/>
              </a:solidFill>
              <a:latin typeface="+mn-lt"/>
              <a:ea typeface="+mn-ea"/>
              <a:cs typeface="+mn-cs"/>
            </a:rPr>
            <a:t>P = Diametral Pitch (Gear Size)</a:t>
          </a:r>
        </a:p>
        <a:p>
          <a:endParaRPr lang="en-US" sz="1100" b="0" i="0" u="none" strike="noStrike" baseline="0" smtClean="0">
            <a:solidFill>
              <a:schemeClr val="dk1"/>
            </a:solidFill>
            <a:latin typeface="+mn-lt"/>
            <a:ea typeface="+mn-ea"/>
            <a:cs typeface="+mn-cs"/>
          </a:endParaRPr>
        </a:p>
        <a:p>
          <a:r>
            <a:rPr lang="en-US" sz="1100" b="1" i="0" u="none" strike="noStrike" baseline="0" smtClean="0">
              <a:solidFill>
                <a:schemeClr val="dk1"/>
              </a:solidFill>
              <a:latin typeface="+mn-lt"/>
              <a:ea typeface="+mn-ea"/>
              <a:cs typeface="+mn-cs"/>
            </a:rPr>
            <a:t>Pressure Angle</a:t>
          </a:r>
          <a:endParaRPr lang="en-US" sz="1100" b="0" i="0" u="none" strike="noStrike" baseline="0" smtClean="0">
            <a:solidFill>
              <a:schemeClr val="dk1"/>
            </a:solidFill>
            <a:latin typeface="+mn-lt"/>
            <a:ea typeface="+mn-ea"/>
            <a:cs typeface="+mn-cs"/>
          </a:endParaRPr>
        </a:p>
        <a:p>
          <a:r>
            <a:rPr lang="en-US" sz="1100" b="0" i="0" u="none" strike="noStrike" baseline="0" smtClean="0">
              <a:solidFill>
                <a:schemeClr val="dk1"/>
              </a:solidFill>
              <a:latin typeface="+mn-lt"/>
              <a:ea typeface="+mn-ea"/>
              <a:cs typeface="+mn-cs"/>
            </a:rPr>
            <a:t>Pressure angle is the angle between the  gear tooth face and plane tangent to the  pitch surface.  Typical gears used in FRC have a pressure angle of 14.5 degrees.   Make sure all gear pairs are the same diametral pitch and pressure angle.</a:t>
          </a:r>
          <a:endParaRPr lang="en-US" sz="1100" b="1"/>
        </a:p>
      </xdr:txBody>
    </xdr:sp>
    <xdr:clientData/>
  </xdr:twoCellAnchor>
  <xdr:twoCellAnchor editAs="oneCell">
    <xdr:from>
      <xdr:col>7</xdr:col>
      <xdr:colOff>523875</xdr:colOff>
      <xdr:row>22</xdr:row>
      <xdr:rowOff>76200</xdr:rowOff>
    </xdr:from>
    <xdr:to>
      <xdr:col>12</xdr:col>
      <xdr:colOff>9525</xdr:colOff>
      <xdr:row>36</xdr:row>
      <xdr:rowOff>29971</xdr:rowOff>
    </xdr:to>
    <xdr:pic>
      <xdr:nvPicPr>
        <xdr:cNvPr id="5" name="Picture 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24550" y="4343400"/>
          <a:ext cx="2847975" cy="262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38100</xdr:colOff>
          <xdr:row>0</xdr:row>
          <xdr:rowOff>9525</xdr:rowOff>
        </xdr:from>
        <xdr:to>
          <xdr:col>5</xdr:col>
          <xdr:colOff>95250</xdr:colOff>
          <xdr:row>0</xdr:row>
          <xdr:rowOff>219075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twoCellAnchor editAs="oneCell">
    <xdr:from>
      <xdr:col>12</xdr:col>
      <xdr:colOff>42233</xdr:colOff>
      <xdr:row>12</xdr:row>
      <xdr:rowOff>123825</xdr:rowOff>
    </xdr:from>
    <xdr:to>
      <xdr:col>19</xdr:col>
      <xdr:colOff>336251</xdr:colOff>
      <xdr:row>33</xdr:row>
      <xdr:rowOff>47626</xdr:rowOff>
    </xdr:to>
    <xdr:pic>
      <xdr:nvPicPr>
        <xdr:cNvPr id="2" name="Picture 1"/>
        <xdr:cNvPicPr>
          <a:picLocks noChangeAspect="1"/>
        </xdr:cNvPicPr>
      </xdr:nvPicPr>
      <xdr:blipFill>
        <a:blip xmlns:r="http://schemas.openxmlformats.org/officeDocument/2006/relationships" r:embed="rId3"/>
        <a:stretch>
          <a:fillRect/>
        </a:stretch>
      </xdr:blipFill>
      <xdr:spPr>
        <a:xfrm>
          <a:off x="8824283" y="2857500"/>
          <a:ext cx="4561218" cy="402907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1152525</xdr:colOff>
          <xdr:row>3</xdr:row>
          <xdr:rowOff>390525</xdr:rowOff>
        </xdr:from>
        <xdr:to>
          <xdr:col>3</xdr:col>
          <xdr:colOff>228600</xdr:colOff>
          <xdr:row>5</xdr:row>
          <xdr:rowOff>38100</xdr:rowOff>
        </xdr:to>
        <xdr:sp macro="" textlink="">
          <xdr:nvSpPr>
            <xdr:cNvPr id="1025" name="Spin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14</xdr:row>
          <xdr:rowOff>57150</xdr:rowOff>
        </xdr:from>
        <xdr:to>
          <xdr:col>10</xdr:col>
          <xdr:colOff>238125</xdr:colOff>
          <xdr:row>14</xdr:row>
          <xdr:rowOff>314325</xdr:rowOff>
        </xdr:to>
        <xdr:sp macro="" textlink="">
          <xdr:nvSpPr>
            <xdr:cNvPr id="1026" name="Spin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twoCellAnchor editAs="absolute">
    <xdr:from>
      <xdr:col>14</xdr:col>
      <xdr:colOff>476250</xdr:colOff>
      <xdr:row>1</xdr:row>
      <xdr:rowOff>114300</xdr:rowOff>
    </xdr:from>
    <xdr:to>
      <xdr:col>20</xdr:col>
      <xdr:colOff>209550</xdr:colOff>
      <xdr:row>9</xdr:row>
      <xdr:rowOff>9525</xdr:rowOff>
    </xdr:to>
    <xdr:sp macro="" textlink="">
      <xdr:nvSpPr>
        <xdr:cNvPr id="2" name="TextBox 1"/>
        <xdr:cNvSpPr txBox="1"/>
      </xdr:nvSpPr>
      <xdr:spPr>
        <a:xfrm>
          <a:off x="7991475" y="409575"/>
          <a:ext cx="3657600" cy="228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u="sng">
              <a:solidFill>
                <a:schemeClr val="dk1"/>
              </a:solidFill>
              <a:effectLst/>
              <a:latin typeface="+mn-lt"/>
              <a:ea typeface="+mn-ea"/>
              <a:cs typeface="+mn-cs"/>
            </a:rPr>
            <a:t>Resistive</a:t>
          </a:r>
          <a:r>
            <a:rPr lang="en-US" sz="1100" u="sng" baseline="0">
              <a:solidFill>
                <a:schemeClr val="dk1"/>
              </a:solidFill>
              <a:effectLst/>
              <a:latin typeface="+mn-lt"/>
              <a:ea typeface="+mn-ea"/>
              <a:cs typeface="+mn-cs"/>
            </a:rPr>
            <a:t> Forces </a:t>
          </a:r>
          <a:r>
            <a:rPr lang="en-US" sz="1100" baseline="0">
              <a:solidFill>
                <a:schemeClr val="dk1"/>
              </a:solidFill>
              <a:effectLst/>
              <a:latin typeface="+mn-lt"/>
              <a:ea typeface="+mn-ea"/>
              <a:cs typeface="+mn-cs"/>
            </a:rPr>
            <a:t>  = Air Drag + Rolling Resistance  + Incline</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u="sng" baseline="0">
              <a:solidFill>
                <a:schemeClr val="dk1"/>
              </a:solidFill>
              <a:effectLst/>
              <a:latin typeface="+mn-lt"/>
              <a:ea typeface="+mn-ea"/>
              <a:cs typeface="+mn-cs"/>
            </a:rPr>
            <a:t>Air Drag (</a:t>
          </a:r>
          <a:r>
            <a:rPr lang="en-US" sz="1600" u="sng" baseline="0">
              <a:solidFill>
                <a:schemeClr val="dk1"/>
              </a:solidFill>
              <a:effectLst/>
              <a:latin typeface="+mn-lt"/>
              <a:ea typeface="+mn-ea"/>
              <a:cs typeface="+mn-cs"/>
            </a:rPr>
            <a:t>F</a:t>
          </a:r>
          <a:r>
            <a:rPr lang="en-US" sz="800" u="sng" baseline="0">
              <a:solidFill>
                <a:schemeClr val="dk1"/>
              </a:solidFill>
              <a:effectLst/>
              <a:latin typeface="+mn-lt"/>
              <a:ea typeface="+mn-ea"/>
              <a:cs typeface="+mn-cs"/>
            </a:rPr>
            <a:t>DRAG</a:t>
          </a:r>
          <a:r>
            <a:rPr lang="en-US" sz="1100" u="sng" baseline="0">
              <a:solidFill>
                <a:schemeClr val="dk1"/>
              </a:solidFill>
              <a:effectLst/>
              <a:latin typeface="+mn-lt"/>
              <a:ea typeface="+mn-ea"/>
              <a:cs typeface="+mn-cs"/>
            </a:rPr>
            <a:t>)</a:t>
          </a:r>
          <a:r>
            <a:rPr lang="en-US" sz="1100" u="none" baseline="0">
              <a:solidFill>
                <a:schemeClr val="dk1"/>
              </a:solidFill>
              <a:effectLst/>
              <a:latin typeface="+mn-lt"/>
              <a:ea typeface="+mn-ea"/>
              <a:cs typeface="+mn-cs"/>
            </a:rPr>
            <a:t>: </a:t>
          </a:r>
          <a:r>
            <a:rPr lang="en-US" sz="1100" baseline="0">
              <a:solidFill>
                <a:schemeClr val="dk1"/>
              </a:solidFill>
              <a:effectLst/>
              <a:latin typeface="+mn-lt"/>
              <a:ea typeface="+mn-ea"/>
              <a:cs typeface="+mn-cs"/>
            </a:rPr>
            <a:t>Based on square of velocity.  (Not considered in this model.)</a:t>
          </a:r>
        </a:p>
        <a:p>
          <a:pPr marL="0" marR="0" indent="0" defTabSz="914400" eaLnBrk="1" fontAlgn="auto" latinLnBrk="0" hangingPunct="1">
            <a:lnSpc>
              <a:spcPct val="100000"/>
            </a:lnSpc>
            <a:spcBef>
              <a:spcPts val="0"/>
            </a:spcBef>
            <a:spcAft>
              <a:spcPts val="0"/>
            </a:spcAft>
            <a:buClrTx/>
            <a:buSzTx/>
            <a:buFontTx/>
            <a:buNone/>
            <a:tabLst/>
            <a:defRPr/>
          </a:pPr>
          <a:r>
            <a:rPr lang="en-US" sz="1100" u="sng" baseline="0">
              <a:solidFill>
                <a:schemeClr val="dk1"/>
              </a:solidFill>
              <a:effectLst/>
              <a:latin typeface="+mn-lt"/>
              <a:ea typeface="+mn-ea"/>
              <a:cs typeface="+mn-cs"/>
            </a:rPr>
            <a:t>Rolling Resistance (</a:t>
          </a:r>
          <a:r>
            <a:rPr lang="en-US" sz="1600" u="sng" baseline="0">
              <a:solidFill>
                <a:schemeClr val="dk1"/>
              </a:solidFill>
              <a:effectLst/>
              <a:latin typeface="+mn-lt"/>
              <a:ea typeface="+mn-ea"/>
              <a:cs typeface="+mn-cs"/>
            </a:rPr>
            <a:t>F</a:t>
          </a:r>
          <a:r>
            <a:rPr lang="en-US" sz="800" u="sng" baseline="0">
              <a:solidFill>
                <a:schemeClr val="dk1"/>
              </a:solidFill>
              <a:effectLst/>
              <a:latin typeface="+mn-lt"/>
              <a:ea typeface="+mn-ea"/>
              <a:cs typeface="+mn-cs"/>
            </a:rPr>
            <a:t>rr</a:t>
          </a:r>
          <a:r>
            <a:rPr lang="en-US" sz="1100" u="sng" baseline="0">
              <a:solidFill>
                <a:schemeClr val="dk1"/>
              </a:solidFill>
              <a:effectLst/>
              <a:latin typeface="+mn-lt"/>
              <a:ea typeface="+mn-ea"/>
              <a:cs typeface="+mn-cs"/>
            </a:rPr>
            <a:t>) </a:t>
          </a:r>
          <a:r>
            <a:rPr lang="en-US" sz="1100" u="none" baseline="0">
              <a:solidFill>
                <a:schemeClr val="dk1"/>
              </a:solidFill>
              <a:effectLst/>
              <a:latin typeface="+mn-lt"/>
              <a:ea typeface="+mn-ea"/>
              <a:cs typeface="+mn-cs"/>
            </a:rPr>
            <a:t> :  Resistance of wheels interaction with surface plus wheel bearing.   Based on robot weight, or normal force (</a:t>
          </a:r>
          <a:r>
            <a:rPr lang="en-US" sz="1600" u="none" baseline="0">
              <a:solidFill>
                <a:schemeClr val="dk1"/>
              </a:solidFill>
              <a:effectLst/>
              <a:latin typeface="+mn-lt"/>
              <a:ea typeface="+mn-ea"/>
              <a:cs typeface="+mn-cs"/>
            </a:rPr>
            <a:t>F</a:t>
          </a:r>
          <a:r>
            <a:rPr lang="en-US" sz="800" u="none" baseline="0">
              <a:solidFill>
                <a:schemeClr val="dk1"/>
              </a:solidFill>
              <a:effectLst/>
              <a:latin typeface="+mn-lt"/>
              <a:ea typeface="+mn-ea"/>
              <a:cs typeface="+mn-cs"/>
            </a:rPr>
            <a:t>N</a:t>
          </a:r>
          <a:r>
            <a:rPr lang="en-US" sz="1100" u="none" baseline="0">
              <a:solidFill>
                <a:schemeClr val="dk1"/>
              </a:solidFill>
              <a:effectLst/>
              <a:latin typeface="+mn-lt"/>
              <a:ea typeface="+mn-ea"/>
              <a:cs typeface="+mn-cs"/>
            </a:rPr>
            <a:t>)  times a coefficient (</a:t>
          </a:r>
          <a:r>
            <a:rPr lang="en-US" sz="1600" u="none" baseline="0">
              <a:solidFill>
                <a:schemeClr val="dk1"/>
              </a:solidFill>
              <a:effectLst/>
              <a:latin typeface="+mn-lt"/>
              <a:ea typeface="+mn-ea"/>
              <a:cs typeface="+mn-cs"/>
            </a:rPr>
            <a:t>C</a:t>
          </a:r>
          <a:r>
            <a:rPr lang="en-US" sz="800" u="none" baseline="0">
              <a:solidFill>
                <a:schemeClr val="dk1"/>
              </a:solidFill>
              <a:effectLst/>
              <a:latin typeface="+mn-lt"/>
              <a:ea typeface="+mn-ea"/>
              <a:cs typeface="+mn-cs"/>
            </a:rPr>
            <a:t>RR</a:t>
          </a:r>
          <a:r>
            <a:rPr lang="en-US" sz="1100" u="none" baseline="0">
              <a:solidFill>
                <a:schemeClr val="dk1"/>
              </a:solidFill>
              <a:effectLst/>
              <a:latin typeface="+mn-lt"/>
              <a:ea typeface="+mn-ea"/>
              <a:cs typeface="+mn-cs"/>
            </a:rPr>
            <a:t>).  (Not considered in this model.)</a:t>
          </a:r>
        </a:p>
        <a:p>
          <a:pPr marL="0" marR="0" indent="0" defTabSz="914400" eaLnBrk="1" fontAlgn="auto" latinLnBrk="0" hangingPunct="1">
            <a:lnSpc>
              <a:spcPct val="100000"/>
            </a:lnSpc>
            <a:spcBef>
              <a:spcPts val="0"/>
            </a:spcBef>
            <a:spcAft>
              <a:spcPts val="0"/>
            </a:spcAft>
            <a:buClrTx/>
            <a:buSzTx/>
            <a:buFontTx/>
            <a:buNone/>
            <a:tabLst/>
            <a:defRPr/>
          </a:pPr>
          <a:r>
            <a:rPr lang="en-US" sz="1100" u="sng" baseline="0">
              <a:solidFill>
                <a:schemeClr val="dk1"/>
              </a:solidFill>
              <a:effectLst/>
              <a:latin typeface="+mn-lt"/>
              <a:ea typeface="+mn-ea"/>
              <a:cs typeface="+mn-cs"/>
            </a:rPr>
            <a:t>Incline (</a:t>
          </a:r>
          <a:r>
            <a:rPr lang="en-US" sz="1600" u="sng" baseline="0">
              <a:solidFill>
                <a:schemeClr val="dk1"/>
              </a:solidFill>
              <a:effectLst/>
              <a:latin typeface="+mn-lt"/>
              <a:ea typeface="+mn-ea"/>
              <a:cs typeface="+mn-cs"/>
            </a:rPr>
            <a:t>F</a:t>
          </a:r>
          <a:r>
            <a:rPr lang="en-US" sz="800" u="sng" baseline="0">
              <a:solidFill>
                <a:schemeClr val="dk1"/>
              </a:solidFill>
              <a:effectLst/>
              <a:latin typeface="+mn-lt"/>
              <a:ea typeface="+mn-ea"/>
              <a:cs typeface="+mn-cs"/>
            </a:rPr>
            <a:t>W</a:t>
          </a:r>
          <a:r>
            <a:rPr lang="en-US" sz="1100" u="sng" baseline="0">
              <a:solidFill>
                <a:schemeClr val="dk1"/>
              </a:solidFill>
              <a:effectLst/>
              <a:latin typeface="+mn-lt"/>
              <a:ea typeface="+mn-ea"/>
              <a:cs typeface="+mn-cs"/>
            </a:rPr>
            <a:t>)</a:t>
          </a:r>
          <a:r>
            <a:rPr lang="en-US" sz="1100" u="none" baseline="0">
              <a:solidFill>
                <a:schemeClr val="dk1"/>
              </a:solidFill>
              <a:effectLst/>
              <a:latin typeface="+mn-lt"/>
              <a:ea typeface="+mn-ea"/>
              <a:cs typeface="+mn-cs"/>
            </a:rPr>
            <a:t>:  Weight component of robot parallel with angle of incline.  Force is equal to robot weight times the sine of the incline angle (</a:t>
          </a:r>
          <a:r>
            <a:rPr lang="el-GR" sz="1600" u="none" baseline="0">
              <a:solidFill>
                <a:schemeClr val="dk1"/>
              </a:solidFill>
              <a:effectLst/>
              <a:latin typeface="+mn-lt"/>
              <a:ea typeface="+mn-ea"/>
              <a:cs typeface="+mn-cs"/>
            </a:rPr>
            <a:t>θ</a:t>
          </a:r>
          <a:r>
            <a:rPr lang="en-US" sz="1100" u="none" baseline="0">
              <a:solidFill>
                <a:schemeClr val="dk1"/>
              </a:solidFill>
              <a:effectLst/>
              <a:latin typeface="+mn-lt"/>
              <a:ea typeface="+mn-ea"/>
              <a:cs typeface="+mn-cs"/>
            </a:rPr>
            <a:t>).</a:t>
          </a:r>
          <a:endParaRPr lang="en-US">
            <a:effectLst/>
          </a:endParaRPr>
        </a:p>
        <a:p>
          <a:endParaRPr lang="en-US" sz="1100"/>
        </a:p>
      </xdr:txBody>
    </xdr:sp>
    <xdr:clientData/>
  </xdr:twoCellAnchor>
  <xdr:twoCellAnchor editAs="absolute">
    <xdr:from>
      <xdr:col>20</xdr:col>
      <xdr:colOff>238124</xdr:colOff>
      <xdr:row>1</xdr:row>
      <xdr:rowOff>114301</xdr:rowOff>
    </xdr:from>
    <xdr:to>
      <xdr:col>26</xdr:col>
      <xdr:colOff>238124</xdr:colOff>
      <xdr:row>9</xdr:row>
      <xdr:rowOff>9526</xdr:rowOff>
    </xdr:to>
    <xdr:sp macro="" textlink="">
      <xdr:nvSpPr>
        <xdr:cNvPr id="36" name="TextBox 35"/>
        <xdr:cNvSpPr txBox="1"/>
      </xdr:nvSpPr>
      <xdr:spPr>
        <a:xfrm>
          <a:off x="11677649" y="409576"/>
          <a:ext cx="3657600" cy="228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baseline="0"/>
            <a:t>Motive Force </a:t>
          </a:r>
          <a:r>
            <a:rPr lang="en-US" sz="1100" baseline="0"/>
            <a:t>= Applied force acting on a object necessary for movement </a:t>
          </a:r>
        </a:p>
        <a:p>
          <a:endParaRPr lang="en-US" sz="1100" baseline="0"/>
        </a:p>
        <a:p>
          <a:r>
            <a:rPr lang="en-US" sz="1100" baseline="0"/>
            <a:t>Wheels provide motive force based on three factors:  torque at wheel axle,  diameter of the wheel, and available traction.  </a:t>
          </a:r>
        </a:p>
        <a:p>
          <a:endParaRPr lang="en-US" sz="1100" baseline="0"/>
        </a:p>
        <a:p>
          <a:r>
            <a:rPr lang="en-US" sz="1100" baseline="0"/>
            <a:t>A drive system is "traction limited" where the available torque is greater than traction force between the tread and drive surface.</a:t>
          </a:r>
        </a:p>
        <a:p>
          <a:endParaRPr lang="en-US" sz="1100" baseline="0"/>
        </a:p>
        <a:p>
          <a:r>
            <a:rPr lang="en-US" sz="1100" baseline="0"/>
            <a:t>Note:  If all wheels are not powered, the available traction to the driven wheels is reducted to the supported normal force at the drive wheels .</a:t>
          </a:r>
        </a:p>
        <a:p>
          <a:endParaRPr lang="en-US" sz="1100" baseline="0"/>
        </a:p>
        <a:p>
          <a:endParaRPr lang="en-US" sz="1100"/>
        </a:p>
      </xdr:txBody>
    </xdr:sp>
    <xdr:clientData/>
  </xdr:twoCellAnchor>
  <xdr:twoCellAnchor editAs="absolute">
    <xdr:from>
      <xdr:col>14</xdr:col>
      <xdr:colOff>476250</xdr:colOff>
      <xdr:row>9</xdr:row>
      <xdr:rowOff>47625</xdr:rowOff>
    </xdr:from>
    <xdr:to>
      <xdr:col>26</xdr:col>
      <xdr:colOff>266700</xdr:colOff>
      <xdr:row>10</xdr:row>
      <xdr:rowOff>133350</xdr:rowOff>
    </xdr:to>
    <xdr:sp macro="" textlink="">
      <xdr:nvSpPr>
        <xdr:cNvPr id="4" name="TextBox 3"/>
        <xdr:cNvSpPr txBox="1"/>
      </xdr:nvSpPr>
      <xdr:spPr>
        <a:xfrm>
          <a:off x="7991475" y="2733675"/>
          <a:ext cx="7372350" cy="32385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Net Force</a:t>
          </a:r>
          <a:r>
            <a:rPr lang="en-US" sz="1400" baseline="0"/>
            <a:t> = Motive Force - Resistive Forces = Mass x Acceleration</a:t>
          </a:r>
          <a:endParaRPr lang="en-US" sz="1400"/>
        </a:p>
      </xdr:txBody>
    </xdr:sp>
    <xdr:clientData/>
  </xdr:twoCellAnchor>
  <xdr:twoCellAnchor editAs="absolute">
    <xdr:from>
      <xdr:col>15</xdr:col>
      <xdr:colOff>57150</xdr:colOff>
      <xdr:row>10</xdr:row>
      <xdr:rowOff>190500</xdr:rowOff>
    </xdr:from>
    <xdr:to>
      <xdr:col>20</xdr:col>
      <xdr:colOff>38100</xdr:colOff>
      <xdr:row>28</xdr:row>
      <xdr:rowOff>171450</xdr:rowOff>
    </xdr:to>
    <xdr:grpSp>
      <xdr:nvGrpSpPr>
        <xdr:cNvPr id="7" name="Group 6"/>
        <xdr:cNvGrpSpPr/>
      </xdr:nvGrpSpPr>
      <xdr:grpSpPr>
        <a:xfrm>
          <a:off x="8448675" y="3114675"/>
          <a:ext cx="3028950" cy="4067175"/>
          <a:chOff x="619125" y="3028950"/>
          <a:chExt cx="3028950" cy="4067175"/>
        </a:xfrm>
      </xdr:grpSpPr>
      <xdr:grpSp>
        <xdr:nvGrpSpPr>
          <xdr:cNvPr id="62" name="Group 61"/>
          <xdr:cNvGrpSpPr/>
        </xdr:nvGrpSpPr>
        <xdr:grpSpPr>
          <a:xfrm>
            <a:off x="619125" y="3038475"/>
            <a:ext cx="3028950" cy="4057650"/>
            <a:chOff x="552450" y="171450"/>
            <a:chExt cx="3028950" cy="4057650"/>
          </a:xfrm>
        </xdr:grpSpPr>
        <xdr:sp macro="" textlink="">
          <xdr:nvSpPr>
            <xdr:cNvPr id="61" name="Rounded Rectangle 60"/>
            <xdr:cNvSpPr/>
          </xdr:nvSpPr>
          <xdr:spPr>
            <a:xfrm>
              <a:off x="552450" y="171450"/>
              <a:ext cx="3028950" cy="4057650"/>
            </a:xfrm>
            <a:prstGeom prst="roundRect">
              <a:avLst/>
            </a:prstGeom>
            <a:solidFill>
              <a:srgbClr val="DDDDDD">
                <a:alpha val="24706"/>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0" name="Group 59"/>
            <xdr:cNvGrpSpPr/>
          </xdr:nvGrpSpPr>
          <xdr:grpSpPr>
            <a:xfrm>
              <a:off x="762000" y="533400"/>
              <a:ext cx="2628900" cy="3429000"/>
              <a:chOff x="933450" y="800100"/>
              <a:chExt cx="2628900" cy="3429000"/>
            </a:xfrm>
          </xdr:grpSpPr>
          <xdr:grpSp>
            <xdr:nvGrpSpPr>
              <xdr:cNvPr id="58" name="Group 57"/>
              <xdr:cNvGrpSpPr/>
            </xdr:nvGrpSpPr>
            <xdr:grpSpPr>
              <a:xfrm>
                <a:off x="933450" y="800100"/>
                <a:ext cx="2628900" cy="1964532"/>
                <a:chOff x="933450" y="800100"/>
                <a:chExt cx="2628900" cy="1964532"/>
              </a:xfrm>
            </xdr:grpSpPr>
            <xdr:grpSp>
              <xdr:nvGrpSpPr>
                <xdr:cNvPr id="56" name="Group 55"/>
                <xdr:cNvGrpSpPr/>
              </xdr:nvGrpSpPr>
              <xdr:grpSpPr>
                <a:xfrm>
                  <a:off x="933450" y="1004885"/>
                  <a:ext cx="2628900" cy="1759747"/>
                  <a:chOff x="1133475" y="1004885"/>
                  <a:chExt cx="2628900" cy="1759747"/>
                </a:xfrm>
              </xdr:grpSpPr>
              <xdr:grpSp>
                <xdr:nvGrpSpPr>
                  <xdr:cNvPr id="54" name="Group 53"/>
                  <xdr:cNvGrpSpPr/>
                </xdr:nvGrpSpPr>
                <xdr:grpSpPr>
                  <a:xfrm>
                    <a:off x="1133475" y="1004885"/>
                    <a:ext cx="2628900" cy="1759747"/>
                    <a:chOff x="2105025" y="1223960"/>
                    <a:chExt cx="2628900" cy="1759747"/>
                  </a:xfrm>
                </xdr:grpSpPr>
                <xdr:grpSp>
                  <xdr:nvGrpSpPr>
                    <xdr:cNvPr id="39" name="Group 38"/>
                    <xdr:cNvGrpSpPr/>
                  </xdr:nvGrpSpPr>
                  <xdr:grpSpPr>
                    <a:xfrm>
                      <a:off x="2105025" y="1223960"/>
                      <a:ext cx="2628900" cy="1495427"/>
                      <a:chOff x="2095500" y="1085848"/>
                      <a:chExt cx="2628900" cy="1495427"/>
                    </a:xfrm>
                  </xdr:grpSpPr>
                  <xdr:grpSp>
                    <xdr:nvGrpSpPr>
                      <xdr:cNvPr id="10" name="Group 9"/>
                      <xdr:cNvGrpSpPr/>
                    </xdr:nvGrpSpPr>
                    <xdr:grpSpPr>
                      <a:xfrm>
                        <a:off x="2095500" y="1304925"/>
                        <a:ext cx="2628900" cy="1276350"/>
                        <a:chOff x="1828800" y="476250"/>
                        <a:chExt cx="2628900" cy="1276350"/>
                      </a:xfrm>
                    </xdr:grpSpPr>
                    <xdr:cxnSp macro="">
                      <xdr:nvCxnSpPr>
                        <xdr:cNvPr id="3" name="Straight Connector 2"/>
                        <xdr:cNvCxnSpPr/>
                      </xdr:nvCxnSpPr>
                      <xdr:spPr>
                        <a:xfrm flipH="1" flipV="1">
                          <a:off x="1828800" y="1743075"/>
                          <a:ext cx="2628900" cy="9525"/>
                        </a:xfrm>
                        <a:prstGeom prst="line">
                          <a:avLst/>
                        </a:prstGeom>
                        <a:ln w="317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5"/>
                        <xdr:cNvCxnSpPr/>
                      </xdr:nvCxnSpPr>
                      <xdr:spPr>
                        <a:xfrm flipV="1">
                          <a:off x="1838325" y="476250"/>
                          <a:ext cx="2600325" cy="1257301"/>
                        </a:xfrm>
                        <a:prstGeom prst="line">
                          <a:avLst/>
                        </a:prstGeom>
                        <a:ln w="317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24" name="Group 23"/>
                      <xdr:cNvGrpSpPr/>
                    </xdr:nvGrpSpPr>
                    <xdr:grpSpPr>
                      <a:xfrm rot="20056860">
                        <a:off x="2881312" y="1085848"/>
                        <a:ext cx="1533525" cy="685801"/>
                        <a:chOff x="6182956" y="1854724"/>
                        <a:chExt cx="1533525" cy="685801"/>
                      </a:xfrm>
                    </xdr:grpSpPr>
                    <xdr:grpSp>
                      <xdr:nvGrpSpPr>
                        <xdr:cNvPr id="16" name="Group 15"/>
                        <xdr:cNvGrpSpPr/>
                      </xdr:nvGrpSpPr>
                      <xdr:grpSpPr>
                        <a:xfrm>
                          <a:off x="6182956" y="1854724"/>
                          <a:ext cx="1533525" cy="685801"/>
                          <a:chOff x="6182956" y="1854724"/>
                          <a:chExt cx="1533525" cy="685801"/>
                        </a:xfrm>
                        <a:solidFill>
                          <a:schemeClr val="accent5">
                            <a:lumMod val="40000"/>
                            <a:lumOff val="60000"/>
                          </a:schemeClr>
                        </a:solidFill>
                      </xdr:grpSpPr>
                      <xdr:sp macro="" textlink="">
                        <xdr:nvSpPr>
                          <xdr:cNvPr id="13" name="Rectangle 12"/>
                          <xdr:cNvSpPr/>
                        </xdr:nvSpPr>
                        <xdr:spPr>
                          <a:xfrm>
                            <a:off x="6182956" y="1854724"/>
                            <a:ext cx="1533525" cy="476250"/>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Oval 13"/>
                          <xdr:cNvSpPr/>
                        </xdr:nvSpPr>
                        <xdr:spPr>
                          <a:xfrm>
                            <a:off x="6287731" y="2159525"/>
                            <a:ext cx="381000" cy="381000"/>
                          </a:xfrm>
                          <a:prstGeom prst="ellipse">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Oval 14"/>
                          <xdr:cNvSpPr/>
                        </xdr:nvSpPr>
                        <xdr:spPr>
                          <a:xfrm>
                            <a:off x="7249755" y="2149999"/>
                            <a:ext cx="381000" cy="381000"/>
                          </a:xfrm>
                          <a:prstGeom prst="ellipse">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8" name="Oval 17"/>
                        <xdr:cNvSpPr/>
                      </xdr:nvSpPr>
                      <xdr:spPr>
                        <a:xfrm>
                          <a:off x="6902094" y="2045225"/>
                          <a:ext cx="123825" cy="114300"/>
                        </a:xfrm>
                        <a:prstGeom prst="ellipse">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xnSp macro="">
                    <xdr:nvCxnSpPr>
                      <xdr:cNvPr id="26" name="Straight Arrow Connector 25"/>
                      <xdr:cNvCxnSpPr/>
                    </xdr:nvCxnSpPr>
                    <xdr:spPr>
                      <a:xfrm>
                        <a:off x="3626283" y="1315941"/>
                        <a:ext cx="7504" cy="89385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xdr:cNvCxnSpPr/>
                    </xdr:nvCxnSpPr>
                    <xdr:spPr>
                      <a:xfrm>
                        <a:off x="3612942" y="1314667"/>
                        <a:ext cx="373270" cy="73320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33" name="Straight Arrow Connector 32"/>
                      <xdr:cNvCxnSpPr/>
                    </xdr:nvCxnSpPr>
                    <xdr:spPr>
                      <a:xfrm flipH="1">
                        <a:off x="3648075" y="2057400"/>
                        <a:ext cx="352425" cy="1714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41" name="TextBox 40"/>
                    <xdr:cNvSpPr txBox="1"/>
                  </xdr:nvSpPr>
                  <xdr:spPr>
                    <a:xfrm>
                      <a:off x="3938587" y="1819275"/>
                      <a:ext cx="3905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F</a:t>
                      </a:r>
                      <a:r>
                        <a:rPr lang="en-US" sz="800"/>
                        <a:t>N</a:t>
                      </a:r>
                      <a:endParaRPr lang="en-US" sz="1400"/>
                    </a:p>
                  </xdr:txBody>
                </xdr:sp>
                <xdr:sp macro="" textlink="">
                  <xdr:nvSpPr>
                    <xdr:cNvPr id="42" name="TextBox 41"/>
                    <xdr:cNvSpPr txBox="1"/>
                  </xdr:nvSpPr>
                  <xdr:spPr>
                    <a:xfrm>
                      <a:off x="3767137" y="2200275"/>
                      <a:ext cx="3905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F</a:t>
                      </a:r>
                      <a:r>
                        <a:rPr lang="en-US" sz="800"/>
                        <a:t>W</a:t>
                      </a:r>
                      <a:endParaRPr lang="en-US" sz="1400"/>
                    </a:p>
                  </xdr:txBody>
                </xdr:sp>
                <xdr:sp macro="" textlink="">
                  <xdr:nvSpPr>
                    <xdr:cNvPr id="43" name="TextBox 42"/>
                    <xdr:cNvSpPr txBox="1"/>
                  </xdr:nvSpPr>
                  <xdr:spPr>
                    <a:xfrm>
                      <a:off x="3300412" y="2038349"/>
                      <a:ext cx="3905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F</a:t>
                      </a:r>
                      <a:r>
                        <a:rPr lang="en-US" sz="1100"/>
                        <a:t>g</a:t>
                      </a:r>
                    </a:p>
                  </xdr:txBody>
                </xdr:sp>
                <xdr:sp macro="" textlink="">
                  <xdr:nvSpPr>
                    <xdr:cNvPr id="45" name="TextBox 44"/>
                    <xdr:cNvSpPr txBox="1"/>
                  </xdr:nvSpPr>
                  <xdr:spPr>
                    <a:xfrm>
                      <a:off x="2438400" y="2400300"/>
                      <a:ext cx="3905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800"/>
                        <a:t>θ</a:t>
                      </a:r>
                      <a:endParaRPr lang="en-US" sz="1800"/>
                    </a:p>
                  </xdr:txBody>
                </xdr:sp>
                <xdr:cxnSp macro="">
                  <xdr:nvCxnSpPr>
                    <xdr:cNvPr id="49" name="Straight Arrow Connector 48"/>
                    <xdr:cNvCxnSpPr/>
                  </xdr:nvCxnSpPr>
                  <xdr:spPr>
                    <a:xfrm flipH="1">
                      <a:off x="2314575" y="1724025"/>
                      <a:ext cx="504825" cy="2381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50" name="Arc 49"/>
                    <xdr:cNvSpPr/>
                  </xdr:nvSpPr>
                  <xdr:spPr>
                    <a:xfrm>
                      <a:off x="2145506" y="2347912"/>
                      <a:ext cx="639605" cy="635795"/>
                    </a:xfrm>
                    <a:prstGeom prst="arc">
                      <a:avLst>
                        <a:gd name="adj1" fmla="val 19090138"/>
                        <a:gd name="adj2" fmla="val 0"/>
                      </a:avLst>
                    </a:prstGeom>
                    <a:ln>
                      <a:solidFill>
                        <a:schemeClr val="tx1"/>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2" name="TextBox 51"/>
                    <xdr:cNvSpPr txBox="1"/>
                  </xdr:nvSpPr>
                  <xdr:spPr>
                    <a:xfrm>
                      <a:off x="2209800" y="1547813"/>
                      <a:ext cx="3905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F</a:t>
                      </a:r>
                      <a:r>
                        <a:rPr lang="en-US" sz="1000"/>
                        <a:t>rr</a:t>
                      </a:r>
                    </a:p>
                  </xdr:txBody>
                </xdr:sp>
                <xdr:sp macro="" textlink="">
                  <xdr:nvSpPr>
                    <xdr:cNvPr id="53" name="TextBox 52"/>
                    <xdr:cNvSpPr txBox="1"/>
                  </xdr:nvSpPr>
                  <xdr:spPr>
                    <a:xfrm>
                      <a:off x="2424112" y="1952626"/>
                      <a:ext cx="7620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F</a:t>
                      </a:r>
                      <a:r>
                        <a:rPr lang="en-US" sz="800"/>
                        <a:t>DRAG</a:t>
                      </a:r>
                      <a:endParaRPr lang="en-US" sz="1400"/>
                    </a:p>
                  </xdr:txBody>
                </xdr:sp>
                <xdr:cxnSp macro="">
                  <xdr:nvCxnSpPr>
                    <xdr:cNvPr id="38" name="Straight Arrow Connector 37"/>
                    <xdr:cNvCxnSpPr/>
                  </xdr:nvCxnSpPr>
                  <xdr:spPr>
                    <a:xfrm flipH="1">
                      <a:off x="2386013" y="1871663"/>
                      <a:ext cx="504825" cy="2381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55" name="TextBox 54"/>
                  <xdr:cNvSpPr txBox="1"/>
                </xdr:nvSpPr>
                <xdr:spPr>
                  <a:xfrm>
                    <a:off x="2300287" y="1057275"/>
                    <a:ext cx="3905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cg</a:t>
                    </a:r>
                  </a:p>
                </xdr:txBody>
              </xdr:sp>
            </xdr:grpSp>
            <xdr:sp macro="" textlink="">
              <xdr:nvSpPr>
                <xdr:cNvPr id="57" name="TextBox 56"/>
                <xdr:cNvSpPr txBox="1"/>
              </xdr:nvSpPr>
              <xdr:spPr>
                <a:xfrm>
                  <a:off x="1066800" y="800100"/>
                  <a:ext cx="1409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cg</a:t>
                  </a:r>
                  <a:r>
                    <a:rPr lang="en-US" sz="1100" baseline="0"/>
                    <a:t> = center of gravity</a:t>
                  </a:r>
                  <a:endParaRPr lang="en-US" sz="1100"/>
                </a:p>
              </xdr:txBody>
            </xdr:sp>
          </xdr:grpSp>
          <xdr:sp macro="" textlink="">
            <xdr:nvSpPr>
              <xdr:cNvPr id="59" name="TextBox 58"/>
              <xdr:cNvSpPr txBox="1"/>
            </xdr:nvSpPr>
            <xdr:spPr>
              <a:xfrm>
                <a:off x="971551" y="2533651"/>
                <a:ext cx="2476500" cy="1695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F</a:t>
                </a:r>
                <a:r>
                  <a:rPr lang="en-US" sz="1100"/>
                  <a:t>g  =  Force of</a:t>
                </a:r>
                <a:r>
                  <a:rPr lang="en-US" sz="1100" baseline="0"/>
                  <a:t> Gravity  =  m•g	</a:t>
                </a:r>
              </a:p>
              <a:p>
                <a:r>
                  <a:rPr lang="en-US" sz="1600"/>
                  <a:t>F</a:t>
                </a:r>
                <a:r>
                  <a:rPr lang="en-US" sz="800"/>
                  <a:t>N </a:t>
                </a:r>
                <a:r>
                  <a:rPr lang="en-US" sz="1100" baseline="0"/>
                  <a:t> =  Normal Force  =  </a:t>
                </a:r>
                <a:r>
                  <a:rPr lang="en-US" sz="1100" baseline="0">
                    <a:solidFill>
                      <a:schemeClr val="dk1"/>
                    </a:solidFill>
                    <a:effectLst/>
                    <a:latin typeface="+mn-lt"/>
                    <a:ea typeface="+mn-ea"/>
                    <a:cs typeface="+mn-cs"/>
                  </a:rPr>
                  <a:t>m•g•cos </a:t>
                </a:r>
                <a:r>
                  <a:rPr lang="el-GR" sz="1100" baseline="0">
                    <a:solidFill>
                      <a:schemeClr val="dk1"/>
                    </a:solidFill>
                    <a:effectLst/>
                    <a:latin typeface="+mn-lt"/>
                    <a:ea typeface="+mn-ea"/>
                    <a:cs typeface="+mn-cs"/>
                  </a:rPr>
                  <a:t>θ</a:t>
                </a:r>
                <a:endParaRPr lang="en-US" sz="1100" baseline="0">
                  <a:solidFill>
                    <a:schemeClr val="dk1"/>
                  </a:solidFill>
                  <a:effectLst/>
                  <a:latin typeface="+mn-lt"/>
                  <a:ea typeface="+mn-ea"/>
                  <a:cs typeface="+mn-cs"/>
                </a:endParaRPr>
              </a:p>
              <a:p>
                <a:r>
                  <a:rPr lang="en-US" sz="1600"/>
                  <a:t>F</a:t>
                </a:r>
                <a:r>
                  <a:rPr lang="en-US" sz="800"/>
                  <a:t>W</a:t>
                </a:r>
                <a:r>
                  <a:rPr lang="en-US" sz="1100"/>
                  <a:t>  =  Weight</a:t>
                </a:r>
                <a:r>
                  <a:rPr lang="en-US" sz="1100" baseline="0"/>
                  <a:t> Force  =  </a:t>
                </a:r>
                <a:r>
                  <a:rPr lang="en-US" sz="1100" baseline="0">
                    <a:solidFill>
                      <a:schemeClr val="dk1"/>
                    </a:solidFill>
                    <a:effectLst/>
                    <a:latin typeface="+mn-lt"/>
                    <a:ea typeface="+mn-ea"/>
                    <a:cs typeface="+mn-cs"/>
                  </a:rPr>
                  <a:t>m•g•sin </a:t>
                </a:r>
                <a:r>
                  <a:rPr lang="el-GR" sz="1100" baseline="0">
                    <a:solidFill>
                      <a:schemeClr val="dk1"/>
                    </a:solidFill>
                    <a:effectLst/>
                    <a:latin typeface="+mn-lt"/>
                    <a:ea typeface="+mn-ea"/>
                    <a:cs typeface="+mn-cs"/>
                  </a:rPr>
                  <a:t>θ</a:t>
                </a:r>
                <a:endParaRPr lang="en-US" sz="1100" baseline="0">
                  <a:solidFill>
                    <a:schemeClr val="dk1"/>
                  </a:solidFill>
                  <a:effectLst/>
                  <a:latin typeface="+mn-lt"/>
                  <a:ea typeface="+mn-ea"/>
                  <a:cs typeface="+mn-cs"/>
                </a:endParaRPr>
              </a:p>
              <a:p>
                <a:r>
                  <a:rPr lang="en-US" sz="1600"/>
                  <a:t>F</a:t>
                </a:r>
                <a:r>
                  <a:rPr lang="en-US" sz="900"/>
                  <a:t>rr</a:t>
                </a:r>
                <a:r>
                  <a:rPr lang="en-US" sz="1100" baseline="0"/>
                  <a:t>  =  Rolling Resistance Force  </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t>        =  </a:t>
                </a:r>
                <a:r>
                  <a:rPr lang="en-US" sz="1600" baseline="0"/>
                  <a:t>C</a:t>
                </a:r>
                <a:r>
                  <a:rPr lang="en-US" sz="800" baseline="0"/>
                  <a:t>RR</a:t>
                </a:r>
                <a:r>
                  <a:rPr lang="en-US" sz="1100" baseline="0"/>
                  <a:t>•</a:t>
                </a:r>
                <a:r>
                  <a:rPr lang="en-US" sz="1600">
                    <a:solidFill>
                      <a:schemeClr val="dk1"/>
                    </a:solidFill>
                    <a:effectLst/>
                    <a:latin typeface="+mn-lt"/>
                    <a:ea typeface="+mn-ea"/>
                    <a:cs typeface="+mn-cs"/>
                  </a:rPr>
                  <a:t>F</a:t>
                </a:r>
                <a:r>
                  <a:rPr lang="en-US" sz="800">
                    <a:solidFill>
                      <a:schemeClr val="dk1"/>
                    </a:solidFill>
                    <a:effectLst/>
                    <a:latin typeface="+mn-lt"/>
                    <a:ea typeface="+mn-ea"/>
                    <a:cs typeface="+mn-cs"/>
                  </a:rPr>
                  <a:t>N </a:t>
                </a:r>
                <a:r>
                  <a:rPr lang="en-US" sz="1100" baseline="0">
                    <a:solidFill>
                      <a:schemeClr val="dk1"/>
                    </a:solidFill>
                    <a:effectLst/>
                    <a:latin typeface="+mn-lt"/>
                    <a:ea typeface="+mn-ea"/>
                    <a:cs typeface="+mn-cs"/>
                  </a:rPr>
                  <a:t>(not considered)</a:t>
                </a:r>
                <a:endParaRPr lang="en-US" sz="800">
                  <a:solidFill>
                    <a:schemeClr val="dk1"/>
                  </a:solidFill>
                  <a:effectLst/>
                  <a:latin typeface="+mn-lt"/>
                  <a:ea typeface="+mn-ea"/>
                  <a:cs typeface="+mn-cs"/>
                </a:endParaRPr>
              </a:p>
              <a:p>
                <a:r>
                  <a:rPr lang="en-US" sz="1600">
                    <a:solidFill>
                      <a:schemeClr val="dk1"/>
                    </a:solidFill>
                    <a:effectLst/>
                    <a:latin typeface="+mn-lt"/>
                    <a:ea typeface="+mn-ea"/>
                    <a:cs typeface="+mn-cs"/>
                  </a:rPr>
                  <a:t>F</a:t>
                </a:r>
                <a:r>
                  <a:rPr lang="en-US" sz="800">
                    <a:solidFill>
                      <a:schemeClr val="dk1"/>
                    </a:solidFill>
                    <a:effectLst/>
                    <a:latin typeface="+mn-lt"/>
                    <a:ea typeface="+mn-ea"/>
                    <a:cs typeface="+mn-cs"/>
                  </a:rPr>
                  <a:t>DRAG</a:t>
                </a:r>
                <a:r>
                  <a:rPr lang="en-US" sz="1100" baseline="0">
                    <a:solidFill>
                      <a:schemeClr val="dk1"/>
                    </a:solidFill>
                    <a:effectLst/>
                    <a:latin typeface="+mn-lt"/>
                    <a:ea typeface="+mn-ea"/>
                    <a:cs typeface="+mn-cs"/>
                  </a:rPr>
                  <a:t> = Air Drag (not considered)</a:t>
                </a:r>
                <a:endParaRPr lang="en-US" sz="800">
                  <a:solidFill>
                    <a:schemeClr val="dk1"/>
                  </a:solidFill>
                  <a:effectLst/>
                  <a:latin typeface="+mn-lt"/>
                  <a:ea typeface="+mn-ea"/>
                  <a:cs typeface="+mn-cs"/>
                </a:endParaRPr>
              </a:p>
              <a:p>
                <a:endParaRPr lang="en-US" sz="1100">
                  <a:solidFill>
                    <a:schemeClr val="dk1"/>
                  </a:solidFill>
                  <a:effectLst/>
                  <a:latin typeface="+mn-lt"/>
                  <a:ea typeface="+mn-ea"/>
                  <a:cs typeface="+mn-cs"/>
                </a:endParaRPr>
              </a:p>
            </xdr:txBody>
          </xdr:sp>
        </xdr:grpSp>
      </xdr:grpSp>
      <xdr:sp macro="" textlink="">
        <xdr:nvSpPr>
          <xdr:cNvPr id="5" name="TextBox 4"/>
          <xdr:cNvSpPr txBox="1"/>
        </xdr:nvSpPr>
        <xdr:spPr>
          <a:xfrm>
            <a:off x="1085850" y="3028950"/>
            <a:ext cx="1507592" cy="311496"/>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solidFill>
                  <a:schemeClr val="bg1"/>
                </a:solidFill>
              </a:rPr>
              <a:t>RESISTIVE FORCES</a:t>
            </a:r>
          </a:p>
        </xdr:txBody>
      </xdr:sp>
    </xdr:grpSp>
    <xdr:clientData/>
  </xdr:twoCellAnchor>
  <xdr:twoCellAnchor editAs="absolute">
    <xdr:from>
      <xdr:col>20</xdr:col>
      <xdr:colOff>285750</xdr:colOff>
      <xdr:row>10</xdr:row>
      <xdr:rowOff>200025</xdr:rowOff>
    </xdr:from>
    <xdr:to>
      <xdr:col>25</xdr:col>
      <xdr:colOff>404812</xdr:colOff>
      <xdr:row>28</xdr:row>
      <xdr:rowOff>180975</xdr:rowOff>
    </xdr:to>
    <xdr:grpSp>
      <xdr:nvGrpSpPr>
        <xdr:cNvPr id="28" name="Group 27"/>
        <xdr:cNvGrpSpPr/>
      </xdr:nvGrpSpPr>
      <xdr:grpSpPr>
        <a:xfrm>
          <a:off x="11725275" y="3124200"/>
          <a:ext cx="3167062" cy="4067175"/>
          <a:chOff x="11772900" y="3124200"/>
          <a:chExt cx="3119437" cy="4067175"/>
        </a:xfrm>
      </xdr:grpSpPr>
      <xdr:sp macro="" textlink="">
        <xdr:nvSpPr>
          <xdr:cNvPr id="21" name="TextBox 20"/>
          <xdr:cNvSpPr txBox="1"/>
        </xdr:nvSpPr>
        <xdr:spPr>
          <a:xfrm>
            <a:off x="11725275" y="4362450"/>
            <a:ext cx="1086067"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Axle Torque = </a:t>
            </a:r>
            <a:r>
              <a:rPr lang="el-GR" sz="1600"/>
              <a:t>τ</a:t>
            </a:r>
            <a:endParaRPr lang="en-US" sz="1600"/>
          </a:p>
        </xdr:txBody>
      </xdr:sp>
      <xdr:grpSp>
        <xdr:nvGrpSpPr>
          <xdr:cNvPr id="25" name="Group 24"/>
          <xdr:cNvGrpSpPr/>
        </xdr:nvGrpSpPr>
        <xdr:grpSpPr>
          <a:xfrm>
            <a:off x="11772900" y="3124200"/>
            <a:ext cx="3119437" cy="4067175"/>
            <a:chOff x="4324350" y="3362325"/>
            <a:chExt cx="3119437" cy="4067175"/>
          </a:xfrm>
        </xdr:grpSpPr>
        <xdr:grpSp>
          <xdr:nvGrpSpPr>
            <xdr:cNvPr id="20" name="Group 19"/>
            <xdr:cNvGrpSpPr/>
          </xdr:nvGrpSpPr>
          <xdr:grpSpPr>
            <a:xfrm>
              <a:off x="4324350" y="3362325"/>
              <a:ext cx="3119437" cy="4067175"/>
              <a:chOff x="4324350" y="3362325"/>
              <a:chExt cx="3119437" cy="4067175"/>
            </a:xfrm>
          </xdr:grpSpPr>
          <xdr:grpSp>
            <xdr:nvGrpSpPr>
              <xdr:cNvPr id="44" name="Group 43"/>
              <xdr:cNvGrpSpPr/>
            </xdr:nvGrpSpPr>
            <xdr:grpSpPr>
              <a:xfrm>
                <a:off x="4324350" y="3362325"/>
                <a:ext cx="3119437" cy="4067175"/>
                <a:chOff x="619125" y="3028950"/>
                <a:chExt cx="3119437" cy="4067175"/>
              </a:xfrm>
            </xdr:grpSpPr>
            <xdr:grpSp>
              <xdr:nvGrpSpPr>
                <xdr:cNvPr id="46" name="Group 45"/>
                <xdr:cNvGrpSpPr/>
              </xdr:nvGrpSpPr>
              <xdr:grpSpPr>
                <a:xfrm>
                  <a:off x="619125" y="3038475"/>
                  <a:ext cx="3119437" cy="4057650"/>
                  <a:chOff x="552450" y="171450"/>
                  <a:chExt cx="3119437" cy="4057650"/>
                </a:xfrm>
              </xdr:grpSpPr>
              <xdr:sp macro="" textlink="">
                <xdr:nvSpPr>
                  <xdr:cNvPr id="48" name="Rounded Rectangle 47"/>
                  <xdr:cNvSpPr/>
                </xdr:nvSpPr>
                <xdr:spPr>
                  <a:xfrm>
                    <a:off x="552450" y="171450"/>
                    <a:ext cx="3028950" cy="4057650"/>
                  </a:xfrm>
                  <a:prstGeom prst="roundRect">
                    <a:avLst/>
                  </a:prstGeom>
                  <a:solidFill>
                    <a:srgbClr val="DDDDDD">
                      <a:alpha val="24706"/>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1" name="Group 50"/>
                  <xdr:cNvGrpSpPr/>
                </xdr:nvGrpSpPr>
                <xdr:grpSpPr>
                  <a:xfrm>
                    <a:off x="762000" y="381001"/>
                    <a:ext cx="2909887" cy="3771899"/>
                    <a:chOff x="933450" y="647701"/>
                    <a:chExt cx="2909887" cy="3771899"/>
                  </a:xfrm>
                </xdr:grpSpPr>
                <xdr:grpSp>
                  <xdr:nvGrpSpPr>
                    <xdr:cNvPr id="63" name="Group 62"/>
                    <xdr:cNvGrpSpPr/>
                  </xdr:nvGrpSpPr>
                  <xdr:grpSpPr>
                    <a:xfrm>
                      <a:off x="933450" y="647701"/>
                      <a:ext cx="2909887" cy="2116931"/>
                      <a:chOff x="933450" y="647701"/>
                      <a:chExt cx="2909887" cy="2116931"/>
                    </a:xfrm>
                  </xdr:grpSpPr>
                  <xdr:grpSp>
                    <xdr:nvGrpSpPr>
                      <xdr:cNvPr id="65" name="Group 64"/>
                      <xdr:cNvGrpSpPr/>
                    </xdr:nvGrpSpPr>
                    <xdr:grpSpPr>
                      <a:xfrm>
                        <a:off x="933450" y="647701"/>
                        <a:ext cx="2909887" cy="2116931"/>
                        <a:chOff x="1133475" y="647701"/>
                        <a:chExt cx="2909887" cy="2116931"/>
                      </a:xfrm>
                    </xdr:grpSpPr>
                    <xdr:grpSp>
                      <xdr:nvGrpSpPr>
                        <xdr:cNvPr id="67" name="Group 66"/>
                        <xdr:cNvGrpSpPr/>
                      </xdr:nvGrpSpPr>
                      <xdr:grpSpPr>
                        <a:xfrm>
                          <a:off x="1133475" y="647701"/>
                          <a:ext cx="2909887" cy="2116931"/>
                          <a:chOff x="2105025" y="866776"/>
                          <a:chExt cx="2909887" cy="2116931"/>
                        </a:xfrm>
                      </xdr:grpSpPr>
                      <xdr:grpSp>
                        <xdr:nvGrpSpPr>
                          <xdr:cNvPr id="69" name="Group 68"/>
                          <xdr:cNvGrpSpPr/>
                        </xdr:nvGrpSpPr>
                        <xdr:grpSpPr>
                          <a:xfrm>
                            <a:off x="2105025" y="1223960"/>
                            <a:ext cx="2628900" cy="1495427"/>
                            <a:chOff x="2095500" y="1085848"/>
                            <a:chExt cx="2628900" cy="1495427"/>
                          </a:xfrm>
                        </xdr:grpSpPr>
                        <xdr:grpSp>
                          <xdr:nvGrpSpPr>
                            <xdr:cNvPr id="79" name="Group 78"/>
                            <xdr:cNvGrpSpPr/>
                          </xdr:nvGrpSpPr>
                          <xdr:grpSpPr>
                            <a:xfrm>
                              <a:off x="2095500" y="1304925"/>
                              <a:ext cx="2628900" cy="1276350"/>
                              <a:chOff x="1828800" y="476250"/>
                              <a:chExt cx="2628900" cy="1276350"/>
                            </a:xfrm>
                          </xdr:grpSpPr>
                          <xdr:cxnSp macro="">
                            <xdr:nvCxnSpPr>
                              <xdr:cNvPr id="89" name="Straight Connector 88"/>
                              <xdr:cNvCxnSpPr/>
                            </xdr:nvCxnSpPr>
                            <xdr:spPr>
                              <a:xfrm flipH="1" flipV="1">
                                <a:off x="1828800" y="1743075"/>
                                <a:ext cx="2628900" cy="9525"/>
                              </a:xfrm>
                              <a:prstGeom prst="line">
                                <a:avLst/>
                              </a:prstGeom>
                              <a:ln w="317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xdr:cNvCxnSpPr/>
                            </xdr:nvCxnSpPr>
                            <xdr:spPr>
                              <a:xfrm flipV="1">
                                <a:off x="1838325" y="476250"/>
                                <a:ext cx="2600325" cy="1257301"/>
                              </a:xfrm>
                              <a:prstGeom prst="line">
                                <a:avLst/>
                              </a:prstGeom>
                              <a:ln w="317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80" name="Group 79"/>
                            <xdr:cNvGrpSpPr/>
                          </xdr:nvGrpSpPr>
                          <xdr:grpSpPr>
                            <a:xfrm rot="20056860">
                              <a:off x="2881312" y="1085848"/>
                              <a:ext cx="1533525" cy="685801"/>
                              <a:chOff x="6182956" y="1854724"/>
                              <a:chExt cx="1533525" cy="685801"/>
                            </a:xfrm>
                          </xdr:grpSpPr>
                          <xdr:grpSp>
                            <xdr:nvGrpSpPr>
                              <xdr:cNvPr id="84" name="Group 83"/>
                              <xdr:cNvGrpSpPr/>
                            </xdr:nvGrpSpPr>
                            <xdr:grpSpPr>
                              <a:xfrm>
                                <a:off x="6182956" y="1854724"/>
                                <a:ext cx="1533525" cy="685801"/>
                                <a:chOff x="6182956" y="1854724"/>
                                <a:chExt cx="1533525" cy="685801"/>
                              </a:xfrm>
                              <a:solidFill>
                                <a:schemeClr val="accent5">
                                  <a:lumMod val="40000"/>
                                  <a:lumOff val="60000"/>
                                </a:schemeClr>
                              </a:solidFill>
                            </xdr:grpSpPr>
                            <xdr:sp macro="" textlink="">
                              <xdr:nvSpPr>
                                <xdr:cNvPr id="86" name="Rectangle 85"/>
                                <xdr:cNvSpPr/>
                              </xdr:nvSpPr>
                              <xdr:spPr>
                                <a:xfrm>
                                  <a:off x="6182956" y="1854724"/>
                                  <a:ext cx="1533525" cy="476250"/>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Oval 86"/>
                                <xdr:cNvSpPr/>
                              </xdr:nvSpPr>
                              <xdr:spPr>
                                <a:xfrm>
                                  <a:off x="6287731" y="2159525"/>
                                  <a:ext cx="381000" cy="381000"/>
                                </a:xfrm>
                                <a:prstGeom prst="ellipse">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Oval 87"/>
                                <xdr:cNvSpPr/>
                              </xdr:nvSpPr>
                              <xdr:spPr>
                                <a:xfrm>
                                  <a:off x="7249755" y="2149999"/>
                                  <a:ext cx="381000" cy="381000"/>
                                </a:xfrm>
                                <a:prstGeom prst="ellipse">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85" name="Oval 84"/>
                              <xdr:cNvSpPr/>
                            </xdr:nvSpPr>
                            <xdr:spPr>
                              <a:xfrm>
                                <a:off x="6902094" y="2045225"/>
                                <a:ext cx="123825" cy="114300"/>
                              </a:xfrm>
                              <a:prstGeom prst="ellipse">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xnSp macro="">
                          <xdr:nvCxnSpPr>
                            <xdr:cNvPr id="81" name="Straight Arrow Connector 80"/>
                            <xdr:cNvCxnSpPr/>
                          </xdr:nvCxnSpPr>
                          <xdr:spPr>
                            <a:xfrm>
                              <a:off x="3626283" y="1315941"/>
                              <a:ext cx="7504" cy="89385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82" name="Straight Arrow Connector 81"/>
                            <xdr:cNvCxnSpPr/>
                          </xdr:nvCxnSpPr>
                          <xdr:spPr>
                            <a:xfrm>
                              <a:off x="3612942" y="1314667"/>
                              <a:ext cx="373270" cy="73320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70" name="TextBox 69"/>
                          <xdr:cNvSpPr txBox="1"/>
                        </xdr:nvSpPr>
                        <xdr:spPr>
                          <a:xfrm>
                            <a:off x="3938587" y="1819275"/>
                            <a:ext cx="3905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F</a:t>
                            </a:r>
                            <a:r>
                              <a:rPr lang="en-US" sz="800"/>
                              <a:t>N</a:t>
                            </a:r>
                            <a:endParaRPr lang="en-US" sz="1400"/>
                          </a:p>
                        </xdr:txBody>
                      </xdr:sp>
                      <xdr:sp macro="" textlink="">
                        <xdr:nvSpPr>
                          <xdr:cNvPr id="72" name="TextBox 71"/>
                          <xdr:cNvSpPr txBox="1"/>
                        </xdr:nvSpPr>
                        <xdr:spPr>
                          <a:xfrm>
                            <a:off x="3300412" y="2038349"/>
                            <a:ext cx="3905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F</a:t>
                            </a:r>
                            <a:r>
                              <a:rPr lang="en-US" sz="1100"/>
                              <a:t>g</a:t>
                            </a:r>
                          </a:p>
                        </xdr:txBody>
                      </xdr:sp>
                      <xdr:sp macro="" textlink="">
                        <xdr:nvSpPr>
                          <xdr:cNvPr id="73" name="TextBox 72"/>
                          <xdr:cNvSpPr txBox="1"/>
                        </xdr:nvSpPr>
                        <xdr:spPr>
                          <a:xfrm>
                            <a:off x="2438400" y="2400300"/>
                            <a:ext cx="3905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800"/>
                              <a:t>θ</a:t>
                            </a:r>
                            <a:endParaRPr lang="en-US" sz="1800"/>
                          </a:p>
                        </xdr:txBody>
                      </xdr:sp>
                      <xdr:cxnSp macro="">
                        <xdr:nvCxnSpPr>
                          <xdr:cNvPr id="74" name="Straight Arrow Connector 73"/>
                          <xdr:cNvCxnSpPr/>
                        </xdr:nvCxnSpPr>
                        <xdr:spPr>
                          <a:xfrm flipV="1">
                            <a:off x="4171950" y="1171575"/>
                            <a:ext cx="590550" cy="29527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5" name="Arc 74"/>
                          <xdr:cNvSpPr/>
                        </xdr:nvSpPr>
                        <xdr:spPr>
                          <a:xfrm>
                            <a:off x="2145506" y="2347912"/>
                            <a:ext cx="639605" cy="635795"/>
                          </a:xfrm>
                          <a:prstGeom prst="arc">
                            <a:avLst>
                              <a:gd name="adj1" fmla="val 19090138"/>
                              <a:gd name="adj2" fmla="val 0"/>
                            </a:avLst>
                          </a:prstGeom>
                          <a:ln>
                            <a:solidFill>
                              <a:schemeClr val="tx1"/>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7" name="TextBox 76"/>
                          <xdr:cNvSpPr txBox="1"/>
                        </xdr:nvSpPr>
                        <xdr:spPr>
                          <a:xfrm>
                            <a:off x="4252912" y="866776"/>
                            <a:ext cx="7620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F</a:t>
                            </a:r>
                            <a:r>
                              <a:rPr lang="en-US" sz="800"/>
                              <a:t>MOTIVE</a:t>
                            </a:r>
                            <a:endParaRPr lang="en-US" sz="1400"/>
                          </a:p>
                        </xdr:txBody>
                      </xdr:sp>
                    </xdr:grpSp>
                    <xdr:sp macro="" textlink="">
                      <xdr:nvSpPr>
                        <xdr:cNvPr id="68" name="TextBox 67"/>
                        <xdr:cNvSpPr txBox="1"/>
                      </xdr:nvSpPr>
                      <xdr:spPr>
                        <a:xfrm>
                          <a:off x="2300287" y="1057275"/>
                          <a:ext cx="3905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cg</a:t>
                          </a:r>
                        </a:p>
                      </xdr:txBody>
                    </xdr:sp>
                  </xdr:grpSp>
                  <xdr:sp macro="" textlink="">
                    <xdr:nvSpPr>
                      <xdr:cNvPr id="66" name="TextBox 65"/>
                      <xdr:cNvSpPr txBox="1"/>
                    </xdr:nvSpPr>
                    <xdr:spPr>
                      <a:xfrm>
                        <a:off x="1066800" y="800100"/>
                        <a:ext cx="1409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cg</a:t>
                        </a:r>
                        <a:r>
                          <a:rPr lang="en-US" sz="1100" baseline="0"/>
                          <a:t> = center of gravity</a:t>
                        </a:r>
                        <a:endParaRPr lang="en-US" sz="1100"/>
                      </a:p>
                    </xdr:txBody>
                  </xdr:sp>
                </xdr:grpSp>
                <xdr:sp macro="" textlink="">
                  <xdr:nvSpPr>
                    <xdr:cNvPr id="64" name="TextBox 63"/>
                    <xdr:cNvSpPr txBox="1"/>
                  </xdr:nvSpPr>
                  <xdr:spPr>
                    <a:xfrm>
                      <a:off x="971551" y="2533651"/>
                      <a:ext cx="2476500" cy="18859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F</a:t>
                      </a:r>
                      <a:r>
                        <a:rPr lang="en-US" sz="800"/>
                        <a:t>MOTIVE</a:t>
                      </a:r>
                      <a:r>
                        <a:rPr lang="en-US" sz="1100"/>
                        <a:t>  =  Motive</a:t>
                      </a:r>
                      <a:r>
                        <a:rPr lang="en-US" sz="1100" baseline="0"/>
                        <a:t> force from drive wheels = </a:t>
                      </a:r>
                      <a:r>
                        <a:rPr lang="en-US" sz="1600" baseline="0"/>
                        <a:t> </a:t>
                      </a:r>
                      <a:r>
                        <a:rPr lang="el-GR" sz="1600" baseline="0"/>
                        <a:t>τ</a:t>
                      </a:r>
                      <a:r>
                        <a:rPr lang="en-US" sz="800" baseline="0"/>
                        <a:t>AXLE </a:t>
                      </a:r>
                      <a:r>
                        <a:rPr lang="en-US" sz="1100" baseline="0"/>
                        <a:t>• wheel radius	</a:t>
                      </a:r>
                    </a:p>
                    <a:p>
                      <a:r>
                        <a:rPr lang="el-GR" sz="1600" baseline="0">
                          <a:solidFill>
                            <a:schemeClr val="dk1"/>
                          </a:solidFill>
                          <a:effectLst/>
                          <a:latin typeface="+mn-lt"/>
                          <a:ea typeface="+mn-ea"/>
                          <a:cs typeface="+mn-cs"/>
                        </a:rPr>
                        <a:t>τ</a:t>
                      </a:r>
                      <a:r>
                        <a:rPr lang="en-US" sz="800" baseline="0">
                          <a:solidFill>
                            <a:schemeClr val="dk1"/>
                          </a:solidFill>
                          <a:effectLst/>
                          <a:latin typeface="+mn-lt"/>
                          <a:ea typeface="+mn-ea"/>
                          <a:cs typeface="+mn-cs"/>
                        </a:rPr>
                        <a:t>AXLE</a:t>
                      </a:r>
                      <a:r>
                        <a:rPr lang="en-US" sz="1100" baseline="0">
                          <a:solidFill>
                            <a:schemeClr val="dk1"/>
                          </a:solidFill>
                          <a:effectLst/>
                          <a:latin typeface="+mn-lt"/>
                          <a:ea typeface="+mn-ea"/>
                          <a:cs typeface="+mn-cs"/>
                        </a:rPr>
                        <a:t>  = </a:t>
                      </a:r>
                      <a:r>
                        <a:rPr lang="el-GR" sz="1600" baseline="0">
                          <a:solidFill>
                            <a:schemeClr val="dk1"/>
                          </a:solidFill>
                          <a:effectLst/>
                          <a:latin typeface="+mn-lt"/>
                          <a:ea typeface="+mn-ea"/>
                          <a:cs typeface="+mn-cs"/>
                        </a:rPr>
                        <a:t>τ</a:t>
                      </a:r>
                      <a:r>
                        <a:rPr lang="en-US" sz="800" baseline="0">
                          <a:solidFill>
                            <a:schemeClr val="dk1"/>
                          </a:solidFill>
                          <a:effectLst/>
                          <a:latin typeface="+mn-lt"/>
                          <a:ea typeface="+mn-ea"/>
                          <a:cs typeface="+mn-cs"/>
                        </a:rPr>
                        <a:t>MOTORS</a:t>
                      </a:r>
                      <a:r>
                        <a:rPr lang="en-US" sz="1100" baseline="0">
                          <a:solidFill>
                            <a:schemeClr val="dk1"/>
                          </a:solidFill>
                          <a:effectLst/>
                          <a:latin typeface="+mn-lt"/>
                          <a:ea typeface="+mn-ea"/>
                          <a:cs typeface="+mn-cs"/>
                        </a:rPr>
                        <a:t>•Efficiency transmission</a:t>
                      </a:r>
                      <a:endParaRPr lang="en-US" sz="1600"/>
                    </a:p>
                    <a:p>
                      <a:r>
                        <a:rPr lang="en-US" sz="1600"/>
                        <a:t>F</a:t>
                      </a:r>
                      <a:r>
                        <a:rPr lang="en-US" sz="800"/>
                        <a:t>N </a:t>
                      </a:r>
                      <a:r>
                        <a:rPr lang="en-US" sz="1100" baseline="0"/>
                        <a:t> =  Normal Force  =  </a:t>
                      </a:r>
                      <a:r>
                        <a:rPr lang="en-US" sz="1100" baseline="0">
                          <a:solidFill>
                            <a:schemeClr val="dk1"/>
                          </a:solidFill>
                          <a:effectLst/>
                          <a:latin typeface="+mn-lt"/>
                          <a:ea typeface="+mn-ea"/>
                          <a:cs typeface="+mn-cs"/>
                        </a:rPr>
                        <a:t>m•g•cos </a:t>
                      </a:r>
                      <a:r>
                        <a:rPr lang="el-GR" sz="1100" baseline="0">
                          <a:solidFill>
                            <a:schemeClr val="dk1"/>
                          </a:solidFill>
                          <a:effectLst/>
                          <a:latin typeface="+mn-lt"/>
                          <a:ea typeface="+mn-ea"/>
                          <a:cs typeface="+mn-cs"/>
                        </a:rPr>
                        <a:t>θ</a:t>
                      </a:r>
                      <a:endParaRPr lang="en-US" sz="1100" baseline="0">
                        <a:solidFill>
                          <a:schemeClr val="dk1"/>
                        </a:solidFill>
                        <a:effectLst/>
                        <a:latin typeface="+mn-lt"/>
                        <a:ea typeface="+mn-ea"/>
                        <a:cs typeface="+mn-cs"/>
                      </a:endParaRPr>
                    </a:p>
                    <a:p>
                      <a:pPr eaLnBrk="1" fontAlgn="auto" latinLnBrk="0" hangingPunct="1"/>
                      <a:r>
                        <a:rPr lang="en-US" sz="1600">
                          <a:solidFill>
                            <a:schemeClr val="dk1"/>
                          </a:solidFill>
                          <a:effectLst/>
                          <a:latin typeface="+mn-lt"/>
                          <a:ea typeface="+mn-ea"/>
                          <a:cs typeface="+mn-cs"/>
                        </a:rPr>
                        <a:t>F</a:t>
                      </a:r>
                      <a:r>
                        <a:rPr lang="en-US" sz="800">
                          <a:solidFill>
                            <a:schemeClr val="dk1"/>
                          </a:solidFill>
                          <a:effectLst/>
                          <a:latin typeface="+mn-lt"/>
                          <a:ea typeface="+mn-ea"/>
                          <a:cs typeface="+mn-cs"/>
                        </a:rPr>
                        <a:t>tr</a:t>
                      </a:r>
                      <a:r>
                        <a:rPr lang="en-US" sz="1100" baseline="0">
                          <a:solidFill>
                            <a:schemeClr val="dk1"/>
                          </a:solidFill>
                          <a:effectLst/>
                          <a:latin typeface="+mn-lt"/>
                          <a:ea typeface="+mn-ea"/>
                          <a:cs typeface="+mn-cs"/>
                        </a:rPr>
                        <a:t>  =  Maximum Traction Force  </a:t>
                      </a:r>
                      <a:endParaRPr lang="en-US">
                        <a:effectLst/>
                      </a:endParaRPr>
                    </a:p>
                    <a:p>
                      <a:pPr eaLnBrk="1" fontAlgn="auto" latinLnBrk="0" hangingPunct="1"/>
                      <a:r>
                        <a:rPr lang="en-US" sz="1100" baseline="0">
                          <a:solidFill>
                            <a:schemeClr val="dk1"/>
                          </a:solidFill>
                          <a:effectLst/>
                          <a:latin typeface="+mn-lt"/>
                          <a:ea typeface="+mn-ea"/>
                          <a:cs typeface="+mn-cs"/>
                        </a:rPr>
                        <a:t>         =  </a:t>
                      </a:r>
                      <a:r>
                        <a:rPr lang="el-GR" sz="1100" baseline="0">
                          <a:solidFill>
                            <a:schemeClr val="dk1"/>
                          </a:solidFill>
                          <a:effectLst/>
                          <a:latin typeface="+mn-lt"/>
                          <a:ea typeface="+mn-ea"/>
                          <a:cs typeface="+mn-cs"/>
                        </a:rPr>
                        <a:t>μ</a:t>
                      </a:r>
                      <a:r>
                        <a:rPr lang="en-US" sz="1100" baseline="0">
                          <a:solidFill>
                            <a:schemeClr val="dk1"/>
                          </a:solidFill>
                          <a:effectLst/>
                          <a:latin typeface="+mn-lt"/>
                          <a:ea typeface="+mn-ea"/>
                          <a:cs typeface="+mn-cs"/>
                        </a:rPr>
                        <a:t> •</a:t>
                      </a:r>
                      <a:r>
                        <a:rPr lang="en-US" sz="1600">
                          <a:solidFill>
                            <a:schemeClr val="dk1"/>
                          </a:solidFill>
                          <a:effectLst/>
                          <a:latin typeface="+mn-lt"/>
                          <a:ea typeface="+mn-ea"/>
                          <a:cs typeface="+mn-cs"/>
                        </a:rPr>
                        <a:t>F</a:t>
                      </a:r>
                      <a:r>
                        <a:rPr lang="en-US" sz="800">
                          <a:solidFill>
                            <a:schemeClr val="dk1"/>
                          </a:solidFill>
                          <a:effectLst/>
                          <a:latin typeface="+mn-lt"/>
                          <a:ea typeface="+mn-ea"/>
                          <a:cs typeface="+mn-cs"/>
                        </a:rPr>
                        <a:t>N</a:t>
                      </a:r>
                      <a:endParaRPr lang="en-US" sz="800">
                        <a:effectLst/>
                      </a:endParaRPr>
                    </a:p>
                    <a:p>
                      <a:r>
                        <a:rPr lang="el-GR" sz="1600" baseline="0">
                          <a:solidFill>
                            <a:schemeClr val="dk1"/>
                          </a:solidFill>
                          <a:effectLst/>
                          <a:latin typeface="+mn-lt"/>
                          <a:ea typeface="+mn-ea"/>
                          <a:cs typeface="+mn-cs"/>
                        </a:rPr>
                        <a:t>μ</a:t>
                      </a:r>
                      <a:r>
                        <a:rPr lang="en-US" sz="1100" baseline="0">
                          <a:solidFill>
                            <a:schemeClr val="dk1"/>
                          </a:solidFill>
                          <a:effectLst/>
                          <a:latin typeface="+mn-lt"/>
                          <a:ea typeface="+mn-ea"/>
                          <a:cs typeface="+mn-cs"/>
                        </a:rPr>
                        <a:t> =  coefficient of friction</a:t>
                      </a:r>
                      <a:endParaRPr lang="en-US">
                        <a:effectLst/>
                      </a:endParaRPr>
                    </a:p>
                  </xdr:txBody>
                </xdr:sp>
              </xdr:grpSp>
            </xdr:grpSp>
            <xdr:sp macro="" textlink="">
              <xdr:nvSpPr>
                <xdr:cNvPr id="47" name="TextBox 46"/>
                <xdr:cNvSpPr txBox="1"/>
              </xdr:nvSpPr>
              <xdr:spPr>
                <a:xfrm>
                  <a:off x="1085850" y="3028950"/>
                  <a:ext cx="1384610" cy="311496"/>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solidFill>
                        <a:schemeClr val="bg1"/>
                      </a:solidFill>
                    </a:rPr>
                    <a:t>MOTIVE FORCES</a:t>
                  </a:r>
                </a:p>
              </xdr:txBody>
            </xdr:sp>
          </xdr:grpSp>
          <xdr:sp macro="" textlink="">
            <xdr:nvSpPr>
              <xdr:cNvPr id="19" name="Arc 18"/>
              <xdr:cNvSpPr/>
            </xdr:nvSpPr>
            <xdr:spPr>
              <a:xfrm rot="20134889">
                <a:off x="5581649" y="4495800"/>
                <a:ext cx="274320" cy="274320"/>
              </a:xfrm>
              <a:prstGeom prst="arc">
                <a:avLst>
                  <a:gd name="adj1" fmla="val 16200000"/>
                  <a:gd name="adj2" fmla="val 5953793"/>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xnSp macro="">
          <xdr:nvCxnSpPr>
            <xdr:cNvPr id="23" name="Straight Arrow Connector 22"/>
            <xdr:cNvCxnSpPr/>
          </xdr:nvCxnSpPr>
          <xdr:spPr>
            <a:xfrm flipV="1">
              <a:off x="5305425" y="4657725"/>
              <a:ext cx="457200" cy="1333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grpSp>
    </xdr:grpSp>
    <xdr:clientData/>
  </xdr:twoCellAnchor>
  <mc:AlternateContent xmlns:mc="http://schemas.openxmlformats.org/markup-compatibility/2006">
    <mc:Choice xmlns:a14="http://schemas.microsoft.com/office/drawing/2010/main" Requires="a14">
      <xdr:twoCellAnchor>
        <xdr:from>
          <xdr:col>9</xdr:col>
          <xdr:colOff>333375</xdr:colOff>
          <xdr:row>0</xdr:row>
          <xdr:rowOff>47625</xdr:rowOff>
        </xdr:from>
        <xdr:to>
          <xdr:col>9</xdr:col>
          <xdr:colOff>1114425</xdr:colOff>
          <xdr:row>0</xdr:row>
          <xdr:rowOff>266700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161925</xdr:colOff>
          <xdr:row>0</xdr:row>
          <xdr:rowOff>47625</xdr:rowOff>
        </xdr:from>
        <xdr:to>
          <xdr:col>8</xdr:col>
          <xdr:colOff>200025</xdr:colOff>
          <xdr:row>1</xdr:row>
          <xdr:rowOff>38100</xdr:rowOff>
        </xdr:to>
        <xdr:sp macro="" textlink="">
          <xdr:nvSpPr>
            <xdr:cNvPr id="135169" name="Button 1" hidden="1">
              <a:extLst>
                <a:ext uri="{63B3BB69-23CF-44E3-9099-C40C66FF867C}">
                  <a14:compatExt spid="_x0000_s1351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161925</xdr:colOff>
          <xdr:row>0</xdr:row>
          <xdr:rowOff>47625</xdr:rowOff>
        </xdr:from>
        <xdr:to>
          <xdr:col>8</xdr:col>
          <xdr:colOff>200025</xdr:colOff>
          <xdr:row>1</xdr:row>
          <xdr:rowOff>38100</xdr:rowOff>
        </xdr:to>
        <xdr:sp macro="" textlink="">
          <xdr:nvSpPr>
            <xdr:cNvPr id="158721" name="Button 1" hidden="1">
              <a:extLst>
                <a:ext uri="{63B3BB69-23CF-44E3-9099-C40C66FF867C}">
                  <a14:compatExt spid="_x0000_s1587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9</xdr:col>
      <xdr:colOff>9526</xdr:colOff>
      <xdr:row>1</xdr:row>
      <xdr:rowOff>152401</xdr:rowOff>
    </xdr:from>
    <xdr:to>
      <xdr:col>14</xdr:col>
      <xdr:colOff>504825</xdr:colOff>
      <xdr:row>9</xdr:row>
      <xdr:rowOff>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209550</xdr:colOff>
      <xdr:row>13</xdr:row>
      <xdr:rowOff>57150</xdr:rowOff>
    </xdr:from>
    <xdr:to>
      <xdr:col>15</xdr:col>
      <xdr:colOff>76200</xdr:colOff>
      <xdr:row>21</xdr:row>
      <xdr:rowOff>47626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114299</xdr:colOff>
      <xdr:row>21</xdr:row>
      <xdr:rowOff>104773</xdr:rowOff>
    </xdr:from>
    <xdr:to>
      <xdr:col>14</xdr:col>
      <xdr:colOff>466725</xdr:colOff>
      <xdr:row>28</xdr:row>
      <xdr:rowOff>57150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209550</xdr:colOff>
      <xdr:row>27</xdr:row>
      <xdr:rowOff>123826</xdr:rowOff>
    </xdr:from>
    <xdr:to>
      <xdr:col>15</xdr:col>
      <xdr:colOff>142875</xdr:colOff>
      <xdr:row>33</xdr:row>
      <xdr:rowOff>123826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257175</xdr:colOff>
      <xdr:row>33</xdr:row>
      <xdr:rowOff>9523</xdr:rowOff>
    </xdr:from>
    <xdr:to>
      <xdr:col>14</xdr:col>
      <xdr:colOff>561975</xdr:colOff>
      <xdr:row>40</xdr:row>
      <xdr:rowOff>57149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209550</xdr:colOff>
          <xdr:row>0</xdr:row>
          <xdr:rowOff>47625</xdr:rowOff>
        </xdr:from>
        <xdr:to>
          <xdr:col>3</xdr:col>
          <xdr:colOff>590550</xdr:colOff>
          <xdr:row>0</xdr:row>
          <xdr:rowOff>257175</xdr:rowOff>
        </xdr:to>
        <xdr:sp macro="" textlink="">
          <xdr:nvSpPr>
            <xdr:cNvPr id="159745" name="Button 1" hidden="1">
              <a:extLst>
                <a:ext uri="{63B3BB69-23CF-44E3-9099-C40C66FF867C}">
                  <a14:compatExt spid="_x0000_s1597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333375</xdr:colOff>
          <xdr:row>0</xdr:row>
          <xdr:rowOff>19050</xdr:rowOff>
        </xdr:from>
        <xdr:to>
          <xdr:col>5</xdr:col>
          <xdr:colOff>0</xdr:colOff>
          <xdr:row>0</xdr:row>
          <xdr:rowOff>209550</xdr:rowOff>
        </xdr:to>
        <xdr:sp macro="" textlink="">
          <xdr:nvSpPr>
            <xdr:cNvPr id="76801" name="Button 1" hidden="1">
              <a:extLst>
                <a:ext uri="{63B3BB69-23CF-44E3-9099-C40C66FF867C}">
                  <a14:compatExt spid="_x0000_s768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twoCellAnchor>
    <xdr:from>
      <xdr:col>0</xdr:col>
      <xdr:colOff>171450</xdr:colOff>
      <xdr:row>17</xdr:row>
      <xdr:rowOff>9526</xdr:rowOff>
    </xdr:from>
    <xdr:to>
      <xdr:col>11</xdr:col>
      <xdr:colOff>238126</xdr:colOff>
      <xdr:row>36</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333375</xdr:colOff>
          <xdr:row>0</xdr:row>
          <xdr:rowOff>19050</xdr:rowOff>
        </xdr:from>
        <xdr:to>
          <xdr:col>5</xdr:col>
          <xdr:colOff>0</xdr:colOff>
          <xdr:row>0</xdr:row>
          <xdr:rowOff>209550</xdr:rowOff>
        </xdr:to>
        <xdr:sp macro="" textlink="">
          <xdr:nvSpPr>
            <xdr:cNvPr id="210945" name="Button 1" hidden="1">
              <a:extLst>
                <a:ext uri="{63B3BB69-23CF-44E3-9099-C40C66FF867C}">
                  <a14:compatExt spid="_x0000_s2109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twoCellAnchor>
    <xdr:from>
      <xdr:col>0</xdr:col>
      <xdr:colOff>171450</xdr:colOff>
      <xdr:row>17</xdr:row>
      <xdr:rowOff>9526</xdr:rowOff>
    </xdr:from>
    <xdr:to>
      <xdr:col>11</xdr:col>
      <xdr:colOff>238126</xdr:colOff>
      <xdr:row>36</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5</xdr:col>
      <xdr:colOff>38100</xdr:colOff>
      <xdr:row>0</xdr:row>
      <xdr:rowOff>66674</xdr:rowOff>
    </xdr:from>
    <xdr:to>
      <xdr:col>12</xdr:col>
      <xdr:colOff>361950</xdr:colOff>
      <xdr:row>11</xdr:row>
      <xdr:rowOff>9524</xdr:rowOff>
    </xdr:to>
    <xdr:sp macro="" textlink="">
      <xdr:nvSpPr>
        <xdr:cNvPr id="2" name="TextBox 1"/>
        <xdr:cNvSpPr txBox="1"/>
      </xdr:nvSpPr>
      <xdr:spPr>
        <a:xfrm>
          <a:off x="5114925" y="66674"/>
          <a:ext cx="4591050"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Cascade elevator</a:t>
          </a:r>
          <a:r>
            <a:rPr lang="en-US" sz="1100" baseline="0"/>
            <a:t> rigging is shown on the right.   </a:t>
          </a:r>
          <a:br>
            <a:rPr lang="en-US" sz="1100" baseline="0"/>
          </a:br>
          <a:r>
            <a:rPr lang="en-US" sz="1100" b="1" baseline="0"/>
            <a:t>MOTION: </a:t>
          </a:r>
          <a:r>
            <a:rPr lang="en-US" sz="1100" baseline="0"/>
            <a:t>As stage 1 moves an inch relative to the base stage, stage 2 is lifted an inch relative to stage 1.    Therefore, stage 2 is moving 2 inches relative to the base stage as stage 1 moves one inch.   Bottom line,  stage 2 moves at twice the rate of the cable lifting stage  1.</a:t>
          </a:r>
        </a:p>
        <a:p>
          <a:r>
            <a:rPr lang="en-US" sz="1100" b="1" baseline="0"/>
            <a:t>MOTION PART 2:  </a:t>
          </a:r>
          <a:r>
            <a:rPr lang="en-US" sz="1100" b="0" baseline="0"/>
            <a:t>Unlike a continuous rigged elevator, the cascade stages move together.   As stage 1 moves half its full length, stage 2 has also moved half its length.</a:t>
          </a:r>
        </a:p>
        <a:p>
          <a:r>
            <a:rPr lang="en-US" sz="1100" b="1" baseline="0"/>
            <a:t>MOTOR LIFT LOAD: </a:t>
          </a:r>
          <a:r>
            <a:rPr lang="en-US" sz="1100" b="0" baseline="0"/>
            <a:t>Stage 2 weight (plus the game piece) is lift by the cable on top of stage 1.  Tension in the cable pulls down on stage 1 with twice the weight of stage 2 plus the game piece.   It is best of offset the weight of Stage 2 by using a constant force spring from the top of the base stage to the bottom of stage 1.</a:t>
          </a:r>
          <a:endParaRPr lang="en-US" sz="1100" b="1" baseline="0"/>
        </a:p>
        <a:p>
          <a:endParaRPr lang="en-US" sz="1100"/>
        </a:p>
        <a:p>
          <a:endParaRPr lang="en-US" sz="1100"/>
        </a:p>
      </xdr:txBody>
    </xdr:sp>
    <xdr:clientData/>
  </xdr:twoCellAnchor>
  <xdr:twoCellAnchor>
    <xdr:from>
      <xdr:col>8</xdr:col>
      <xdr:colOff>76200</xdr:colOff>
      <xdr:row>16</xdr:row>
      <xdr:rowOff>9525</xdr:rowOff>
    </xdr:from>
    <xdr:to>
      <xdr:col>8</xdr:col>
      <xdr:colOff>247650</xdr:colOff>
      <xdr:row>24</xdr:row>
      <xdr:rowOff>95250</xdr:rowOff>
    </xdr:to>
    <xdr:sp macro="" textlink="">
      <xdr:nvSpPr>
        <xdr:cNvPr id="4" name="Rectangle 3"/>
        <xdr:cNvSpPr/>
      </xdr:nvSpPr>
      <xdr:spPr>
        <a:xfrm>
          <a:off x="8201025" y="3562350"/>
          <a:ext cx="171450" cy="16097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a:t>Base</a:t>
          </a:r>
        </a:p>
        <a:p>
          <a:pPr algn="ctr"/>
          <a:endParaRPr lang="en-US" sz="1100"/>
        </a:p>
      </xdr:txBody>
    </xdr:sp>
    <xdr:clientData/>
  </xdr:twoCellAnchor>
  <xdr:twoCellAnchor>
    <xdr:from>
      <xdr:col>7</xdr:col>
      <xdr:colOff>371475</xdr:colOff>
      <xdr:row>24</xdr:row>
      <xdr:rowOff>104775</xdr:rowOff>
    </xdr:from>
    <xdr:to>
      <xdr:col>8</xdr:col>
      <xdr:colOff>561975</xdr:colOff>
      <xdr:row>24</xdr:row>
      <xdr:rowOff>114300</xdr:rowOff>
    </xdr:to>
    <xdr:cxnSp macro="">
      <xdr:nvCxnSpPr>
        <xdr:cNvPr id="6" name="Straight Connector 5"/>
        <xdr:cNvCxnSpPr/>
      </xdr:nvCxnSpPr>
      <xdr:spPr>
        <a:xfrm>
          <a:off x="7886700" y="5181600"/>
          <a:ext cx="800100" cy="9525"/>
        </a:xfrm>
        <a:prstGeom prst="line">
          <a:avLst/>
        </a:prstGeom>
        <a:ln w="444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400050</xdr:colOff>
      <xdr:row>12</xdr:row>
      <xdr:rowOff>28575</xdr:rowOff>
    </xdr:from>
    <xdr:to>
      <xdr:col>7</xdr:col>
      <xdr:colOff>590550</xdr:colOff>
      <xdr:row>20</xdr:row>
      <xdr:rowOff>180975</xdr:rowOff>
    </xdr:to>
    <xdr:sp macro="" textlink="">
      <xdr:nvSpPr>
        <xdr:cNvPr id="7" name="Rectangle 6"/>
        <xdr:cNvSpPr/>
      </xdr:nvSpPr>
      <xdr:spPr>
        <a:xfrm>
          <a:off x="7915275" y="2819400"/>
          <a:ext cx="190500" cy="1676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Stage 1</a:t>
          </a:r>
        </a:p>
      </xdr:txBody>
    </xdr:sp>
    <xdr:clientData/>
  </xdr:twoCellAnchor>
  <xdr:twoCellAnchor>
    <xdr:from>
      <xdr:col>7</xdr:col>
      <xdr:colOff>428625</xdr:colOff>
      <xdr:row>11</xdr:row>
      <xdr:rowOff>38100</xdr:rowOff>
    </xdr:from>
    <xdr:to>
      <xdr:col>7</xdr:col>
      <xdr:colOff>542925</xdr:colOff>
      <xdr:row>11</xdr:row>
      <xdr:rowOff>171450</xdr:rowOff>
    </xdr:to>
    <xdr:sp macro="" textlink="">
      <xdr:nvSpPr>
        <xdr:cNvPr id="8" name="Oval 7"/>
        <xdr:cNvSpPr/>
      </xdr:nvSpPr>
      <xdr:spPr>
        <a:xfrm>
          <a:off x="7943850" y="2638425"/>
          <a:ext cx="114300" cy="133350"/>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95250</xdr:colOff>
      <xdr:row>15</xdr:row>
      <xdr:rowOff>19050</xdr:rowOff>
    </xdr:from>
    <xdr:to>
      <xdr:col>8</xdr:col>
      <xdr:colOff>209550</xdr:colOff>
      <xdr:row>15</xdr:row>
      <xdr:rowOff>152400</xdr:rowOff>
    </xdr:to>
    <xdr:sp macro="" textlink="">
      <xdr:nvSpPr>
        <xdr:cNvPr id="9" name="Oval 8"/>
        <xdr:cNvSpPr/>
      </xdr:nvSpPr>
      <xdr:spPr>
        <a:xfrm>
          <a:off x="8220075" y="3381375"/>
          <a:ext cx="114300" cy="133350"/>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342900</xdr:colOff>
      <xdr:row>23</xdr:row>
      <xdr:rowOff>38100</xdr:rowOff>
    </xdr:from>
    <xdr:to>
      <xdr:col>8</xdr:col>
      <xdr:colOff>457200</xdr:colOff>
      <xdr:row>23</xdr:row>
      <xdr:rowOff>171450</xdr:rowOff>
    </xdr:to>
    <xdr:sp macro="" textlink="">
      <xdr:nvSpPr>
        <xdr:cNvPr id="10" name="Oval 9"/>
        <xdr:cNvSpPr/>
      </xdr:nvSpPr>
      <xdr:spPr>
        <a:xfrm>
          <a:off x="8467725" y="4924425"/>
          <a:ext cx="114300" cy="133350"/>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581026</xdr:colOff>
      <xdr:row>22</xdr:row>
      <xdr:rowOff>176212</xdr:rowOff>
    </xdr:from>
    <xdr:to>
      <xdr:col>9</xdr:col>
      <xdr:colOff>590550</xdr:colOff>
      <xdr:row>24</xdr:row>
      <xdr:rowOff>33337</xdr:rowOff>
    </xdr:to>
    <xdr:sp macro="" textlink="">
      <xdr:nvSpPr>
        <xdr:cNvPr id="11" name="Flowchart: Alternate Process 10"/>
        <xdr:cNvSpPr/>
      </xdr:nvSpPr>
      <xdr:spPr>
        <a:xfrm>
          <a:off x="8705851" y="4872037"/>
          <a:ext cx="619124" cy="238125"/>
        </a:xfrm>
        <a:prstGeom prst="flowChartAlternateProcess">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900"/>
            <a:t>MOTOR</a:t>
          </a:r>
          <a:endParaRPr lang="en-US" sz="1100"/>
        </a:p>
      </xdr:txBody>
    </xdr:sp>
    <xdr:clientData/>
  </xdr:twoCellAnchor>
  <xdr:twoCellAnchor>
    <xdr:from>
      <xdr:col>8</xdr:col>
      <xdr:colOff>457200</xdr:colOff>
      <xdr:row>23</xdr:row>
      <xdr:rowOff>104775</xdr:rowOff>
    </xdr:from>
    <xdr:to>
      <xdr:col>8</xdr:col>
      <xdr:colOff>581026</xdr:colOff>
      <xdr:row>23</xdr:row>
      <xdr:rowOff>104775</xdr:rowOff>
    </xdr:to>
    <xdr:cxnSp macro="">
      <xdr:nvCxnSpPr>
        <xdr:cNvPr id="13" name="Straight Connector 12"/>
        <xdr:cNvCxnSpPr>
          <a:stCxn id="10" idx="6"/>
          <a:endCxn id="11" idx="1"/>
        </xdr:cNvCxnSpPr>
      </xdr:nvCxnSpPr>
      <xdr:spPr>
        <a:xfrm>
          <a:off x="8582025" y="4991100"/>
          <a:ext cx="123826"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114300</xdr:colOff>
      <xdr:row>13</xdr:row>
      <xdr:rowOff>161924</xdr:rowOff>
    </xdr:from>
    <xdr:to>
      <xdr:col>7</xdr:col>
      <xdr:colOff>304800</xdr:colOff>
      <xdr:row>16</xdr:row>
      <xdr:rowOff>152399</xdr:rowOff>
    </xdr:to>
    <xdr:sp macro="" textlink="">
      <xdr:nvSpPr>
        <xdr:cNvPr id="18" name="Rectangle 17"/>
        <xdr:cNvSpPr/>
      </xdr:nvSpPr>
      <xdr:spPr>
        <a:xfrm>
          <a:off x="7629525" y="3143249"/>
          <a:ext cx="190500" cy="56197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S2</a:t>
          </a:r>
        </a:p>
      </xdr:txBody>
    </xdr:sp>
    <xdr:clientData/>
  </xdr:twoCellAnchor>
  <xdr:twoCellAnchor>
    <xdr:from>
      <xdr:col>7</xdr:col>
      <xdr:colOff>209550</xdr:colOff>
      <xdr:row>11</xdr:row>
      <xdr:rowOff>104775</xdr:rowOff>
    </xdr:from>
    <xdr:to>
      <xdr:col>7</xdr:col>
      <xdr:colOff>428625</xdr:colOff>
      <xdr:row>16</xdr:row>
      <xdr:rowOff>152399</xdr:rowOff>
    </xdr:to>
    <xdr:cxnSp macro="">
      <xdr:nvCxnSpPr>
        <xdr:cNvPr id="20" name="Straight Connector 19"/>
        <xdr:cNvCxnSpPr>
          <a:stCxn id="18" idx="2"/>
          <a:endCxn id="8" idx="2"/>
        </xdr:cNvCxnSpPr>
      </xdr:nvCxnSpPr>
      <xdr:spPr>
        <a:xfrm flipV="1">
          <a:off x="7724775" y="2705100"/>
          <a:ext cx="219075" cy="10001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542925</xdr:colOff>
      <xdr:row>11</xdr:row>
      <xdr:rowOff>104775</xdr:rowOff>
    </xdr:from>
    <xdr:to>
      <xdr:col>8</xdr:col>
      <xdr:colOff>95250</xdr:colOff>
      <xdr:row>17</xdr:row>
      <xdr:rowOff>85726</xdr:rowOff>
    </xdr:to>
    <xdr:cxnSp macro="">
      <xdr:nvCxnSpPr>
        <xdr:cNvPr id="21" name="Straight Connector 20"/>
        <xdr:cNvCxnSpPr>
          <a:endCxn id="8" idx="6"/>
        </xdr:cNvCxnSpPr>
      </xdr:nvCxnSpPr>
      <xdr:spPr>
        <a:xfrm flipH="1" flipV="1">
          <a:off x="8058150" y="2705100"/>
          <a:ext cx="161925" cy="11239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495300</xdr:colOff>
      <xdr:row>15</xdr:row>
      <xdr:rowOff>85725</xdr:rowOff>
    </xdr:from>
    <xdr:to>
      <xdr:col>8</xdr:col>
      <xdr:colOff>95250</xdr:colOff>
      <xdr:row>20</xdr:row>
      <xdr:rowOff>180975</xdr:rowOff>
    </xdr:to>
    <xdr:cxnSp macro="">
      <xdr:nvCxnSpPr>
        <xdr:cNvPr id="26" name="Straight Connector 25"/>
        <xdr:cNvCxnSpPr>
          <a:stCxn id="7" idx="2"/>
          <a:endCxn id="9" idx="2"/>
        </xdr:cNvCxnSpPr>
      </xdr:nvCxnSpPr>
      <xdr:spPr>
        <a:xfrm flipV="1">
          <a:off x="8010525" y="3448050"/>
          <a:ext cx="209550" cy="1047750"/>
        </a:xfrm>
        <a:prstGeom prst="line">
          <a:avLst/>
        </a:prstGeom>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209550</xdr:colOff>
      <xdr:row>15</xdr:row>
      <xdr:rowOff>85725</xdr:rowOff>
    </xdr:from>
    <xdr:to>
      <xdr:col>8</xdr:col>
      <xdr:colOff>342900</xdr:colOff>
      <xdr:row>23</xdr:row>
      <xdr:rowOff>104775</xdr:rowOff>
    </xdr:to>
    <xdr:cxnSp macro="">
      <xdr:nvCxnSpPr>
        <xdr:cNvPr id="27" name="Straight Connector 26"/>
        <xdr:cNvCxnSpPr>
          <a:stCxn id="10" idx="2"/>
          <a:endCxn id="9" idx="6"/>
        </xdr:cNvCxnSpPr>
      </xdr:nvCxnSpPr>
      <xdr:spPr>
        <a:xfrm flipH="1" flipV="1">
          <a:off x="8334375" y="3448050"/>
          <a:ext cx="133350" cy="1543050"/>
        </a:xfrm>
        <a:prstGeom prst="line">
          <a:avLst/>
        </a:prstGeom>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561975</xdr:colOff>
      <xdr:row>13</xdr:row>
      <xdr:rowOff>133350</xdr:rowOff>
    </xdr:from>
    <xdr:to>
      <xdr:col>6</xdr:col>
      <xdr:colOff>590550</xdr:colOff>
      <xdr:row>16</xdr:row>
      <xdr:rowOff>171450</xdr:rowOff>
    </xdr:to>
    <xdr:sp macro="" textlink="">
      <xdr:nvSpPr>
        <xdr:cNvPr id="32" name="Flowchart: Summing Junction 31"/>
        <xdr:cNvSpPr/>
      </xdr:nvSpPr>
      <xdr:spPr>
        <a:xfrm>
          <a:off x="6858000" y="2733675"/>
          <a:ext cx="638175" cy="609600"/>
        </a:xfrm>
        <a:prstGeom prst="flowChartSummingJunct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Game</a:t>
          </a:r>
        </a:p>
        <a:p>
          <a:pPr algn="ctr"/>
          <a:r>
            <a:rPr lang="en-US" sz="800"/>
            <a:t>Piece</a:t>
          </a:r>
        </a:p>
      </xdr:txBody>
    </xdr:sp>
    <xdr:clientData/>
  </xdr:twoCellAnchor>
  <xdr:twoCellAnchor>
    <xdr:from>
      <xdr:col>6</xdr:col>
      <xdr:colOff>590550</xdr:colOff>
      <xdr:row>15</xdr:row>
      <xdr:rowOff>57150</xdr:rowOff>
    </xdr:from>
    <xdr:to>
      <xdr:col>7</xdr:col>
      <xdr:colOff>114300</xdr:colOff>
      <xdr:row>15</xdr:row>
      <xdr:rowOff>61912</xdr:rowOff>
    </xdr:to>
    <xdr:cxnSp macro="">
      <xdr:nvCxnSpPr>
        <xdr:cNvPr id="33" name="Straight Connector 32"/>
        <xdr:cNvCxnSpPr>
          <a:stCxn id="32" idx="6"/>
          <a:endCxn id="18" idx="1"/>
        </xdr:cNvCxnSpPr>
      </xdr:nvCxnSpPr>
      <xdr:spPr>
        <a:xfrm>
          <a:off x="7496175" y="3038475"/>
          <a:ext cx="133350" cy="4762"/>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333375</xdr:colOff>
          <xdr:row>0</xdr:row>
          <xdr:rowOff>19050</xdr:rowOff>
        </xdr:from>
        <xdr:to>
          <xdr:col>5</xdr:col>
          <xdr:colOff>0</xdr:colOff>
          <xdr:row>0</xdr:row>
          <xdr:rowOff>209550</xdr:rowOff>
        </xdr:to>
        <xdr:sp macro="" textlink="">
          <xdr:nvSpPr>
            <xdr:cNvPr id="61441" name="Button 1" hidden="1">
              <a:extLst>
                <a:ext uri="{63B3BB69-23CF-44E3-9099-C40C66FF867C}">
                  <a14:compatExt spid="_x0000_s614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twoCellAnchor>
    <xdr:from>
      <xdr:col>0</xdr:col>
      <xdr:colOff>152400</xdr:colOff>
      <xdr:row>12</xdr:row>
      <xdr:rowOff>152401</xdr:rowOff>
    </xdr:from>
    <xdr:to>
      <xdr:col>11</xdr:col>
      <xdr:colOff>219076</xdr:colOff>
      <xdr:row>32</xdr:row>
      <xdr:rowOff>123825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4</xdr:col>
      <xdr:colOff>433387</xdr:colOff>
      <xdr:row>1</xdr:row>
      <xdr:rowOff>38100</xdr:rowOff>
    </xdr:from>
    <xdr:to>
      <xdr:col>12</xdr:col>
      <xdr:colOff>128587</xdr:colOff>
      <xdr:row>15</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1457325</xdr:colOff>
      <xdr:row>25</xdr:row>
      <xdr:rowOff>171451</xdr:rowOff>
    </xdr:from>
    <xdr:to>
      <xdr:col>5</xdr:col>
      <xdr:colOff>180975</xdr:colOff>
      <xdr:row>26</xdr:row>
      <xdr:rowOff>0</xdr:rowOff>
    </xdr:to>
    <xdr:cxnSp macro="">
      <xdr:nvCxnSpPr>
        <xdr:cNvPr id="8" name="Straight Connector 7"/>
        <xdr:cNvCxnSpPr/>
      </xdr:nvCxnSpPr>
      <xdr:spPr>
        <a:xfrm flipV="1">
          <a:off x="1457325" y="5010151"/>
          <a:ext cx="4010025" cy="19049"/>
        </a:xfrm>
        <a:prstGeom prst="line">
          <a:avLst/>
        </a:prstGeom>
        <a:ln w="38100">
          <a:headEnd type="oval" w="lg" len="lg"/>
          <a:tailEnd type="oval"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1247775</xdr:colOff>
      <xdr:row>25</xdr:row>
      <xdr:rowOff>9525</xdr:rowOff>
    </xdr:from>
    <xdr:to>
      <xdr:col>0</xdr:col>
      <xdr:colOff>1704975</xdr:colOff>
      <xdr:row>27</xdr:row>
      <xdr:rowOff>85725</xdr:rowOff>
    </xdr:to>
    <xdr:sp macro="" textlink="">
      <xdr:nvSpPr>
        <xdr:cNvPr id="14" name="Arc 13"/>
        <xdr:cNvSpPr/>
      </xdr:nvSpPr>
      <xdr:spPr>
        <a:xfrm>
          <a:off x="1247775" y="4848225"/>
          <a:ext cx="457200" cy="457200"/>
        </a:xfrm>
        <a:prstGeom prst="arc">
          <a:avLst>
            <a:gd name="adj1" fmla="val 21509554"/>
            <a:gd name="adj2" fmla="val 5507395"/>
          </a:avLst>
        </a:prstGeom>
        <a:ln>
          <a:headEnd type="triangle" w="sm" len="med"/>
          <a:tailEnd type="triangle" w="sm"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1457325</xdr:colOff>
      <xdr:row>24</xdr:row>
      <xdr:rowOff>95251</xdr:rowOff>
    </xdr:from>
    <xdr:to>
      <xdr:col>5</xdr:col>
      <xdr:colOff>219075</xdr:colOff>
      <xdr:row>24</xdr:row>
      <xdr:rowOff>114300</xdr:rowOff>
    </xdr:to>
    <xdr:cxnSp macro="">
      <xdr:nvCxnSpPr>
        <xdr:cNvPr id="16" name="Straight Arrow Connector 15"/>
        <xdr:cNvCxnSpPr/>
      </xdr:nvCxnSpPr>
      <xdr:spPr>
        <a:xfrm flipV="1">
          <a:off x="1457325" y="4743451"/>
          <a:ext cx="4048125" cy="19049"/>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257175</xdr:colOff>
      <xdr:row>23</xdr:row>
      <xdr:rowOff>19050</xdr:rowOff>
    </xdr:from>
    <xdr:ext cx="295145" cy="311496"/>
    <xdr:sp macro="" textlink="">
      <xdr:nvSpPr>
        <xdr:cNvPr id="17" name="TextBox 16"/>
        <xdr:cNvSpPr txBox="1"/>
      </xdr:nvSpPr>
      <xdr:spPr>
        <a:xfrm>
          <a:off x="2809875" y="4476750"/>
          <a:ext cx="29514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D</a:t>
          </a:r>
        </a:p>
      </xdr:txBody>
    </xdr:sp>
    <xdr:clientData/>
  </xdr:oneCellAnchor>
  <xdr:oneCellAnchor>
    <xdr:from>
      <xdr:col>3</xdr:col>
      <xdr:colOff>352425</xdr:colOff>
      <xdr:row>25</xdr:row>
      <xdr:rowOff>161925</xdr:rowOff>
    </xdr:from>
    <xdr:ext cx="442301" cy="436786"/>
    <xdr:sp macro="" textlink="">
      <xdr:nvSpPr>
        <xdr:cNvPr id="18" name="TextBox 17"/>
        <xdr:cNvSpPr txBox="1"/>
      </xdr:nvSpPr>
      <xdr:spPr>
        <a:xfrm>
          <a:off x="4095750" y="5000625"/>
          <a:ext cx="442301"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Arm</a:t>
          </a:r>
        </a:p>
        <a:p>
          <a:r>
            <a:rPr lang="en-US" sz="1100"/>
            <a:t>COG</a:t>
          </a:r>
        </a:p>
      </xdr:txBody>
    </xdr:sp>
    <xdr:clientData/>
  </xdr:oneCellAnchor>
  <xdr:oneCellAnchor>
    <xdr:from>
      <xdr:col>0</xdr:col>
      <xdr:colOff>1571625</xdr:colOff>
      <xdr:row>26</xdr:row>
      <xdr:rowOff>171450</xdr:rowOff>
    </xdr:from>
    <xdr:ext cx="993798" cy="264560"/>
    <xdr:sp macro="" textlink="">
      <xdr:nvSpPr>
        <xdr:cNvPr id="19" name="TextBox 18"/>
        <xdr:cNvSpPr txBox="1"/>
      </xdr:nvSpPr>
      <xdr:spPr>
        <a:xfrm>
          <a:off x="1571625" y="5200650"/>
          <a:ext cx="99379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rotation angle</a:t>
          </a:r>
        </a:p>
      </xdr:txBody>
    </xdr:sp>
    <xdr:clientData/>
  </xdr:oneCellAnchor>
  <xdr:twoCellAnchor>
    <xdr:from>
      <xdr:col>3</xdr:col>
      <xdr:colOff>152400</xdr:colOff>
      <xdr:row>25</xdr:row>
      <xdr:rowOff>57150</xdr:rowOff>
    </xdr:from>
    <xdr:to>
      <xdr:col>3</xdr:col>
      <xdr:colOff>400050</xdr:colOff>
      <xdr:row>26</xdr:row>
      <xdr:rowOff>95250</xdr:rowOff>
    </xdr:to>
    <xdr:sp macro="" textlink="">
      <xdr:nvSpPr>
        <xdr:cNvPr id="20" name="Flowchart: Or 19"/>
        <xdr:cNvSpPr/>
      </xdr:nvSpPr>
      <xdr:spPr>
        <a:xfrm>
          <a:off x="3895725" y="4895850"/>
          <a:ext cx="247650" cy="228600"/>
        </a:xfrm>
        <a:prstGeom prst="flowChar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1466850</xdr:colOff>
      <xdr:row>28</xdr:row>
      <xdr:rowOff>142875</xdr:rowOff>
    </xdr:from>
    <xdr:to>
      <xdr:col>3</xdr:col>
      <xdr:colOff>314325</xdr:colOff>
      <xdr:row>28</xdr:row>
      <xdr:rowOff>161925</xdr:rowOff>
    </xdr:to>
    <xdr:cxnSp macro="">
      <xdr:nvCxnSpPr>
        <xdr:cNvPr id="22" name="Straight Arrow Connector 21"/>
        <xdr:cNvCxnSpPr/>
      </xdr:nvCxnSpPr>
      <xdr:spPr>
        <a:xfrm flipV="1">
          <a:off x="1466850" y="5553075"/>
          <a:ext cx="2590800" cy="1905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133350</xdr:colOff>
      <xdr:row>27</xdr:row>
      <xdr:rowOff>85725</xdr:rowOff>
    </xdr:from>
    <xdr:ext cx="293478" cy="311496"/>
    <xdr:sp macro="" textlink="">
      <xdr:nvSpPr>
        <xdr:cNvPr id="23" name="TextBox 22"/>
        <xdr:cNvSpPr txBox="1"/>
      </xdr:nvSpPr>
      <xdr:spPr>
        <a:xfrm>
          <a:off x="2686050" y="5305425"/>
          <a:ext cx="29347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A</a:t>
          </a:r>
        </a:p>
      </xdr:txBody>
    </xdr:sp>
    <xdr:clientData/>
  </xdr:oneCellAnchor>
  <xdr:twoCellAnchor>
    <xdr:from>
      <xdr:col>4</xdr:col>
      <xdr:colOff>576261</xdr:colOff>
      <xdr:row>2</xdr:row>
      <xdr:rowOff>0</xdr:rowOff>
    </xdr:from>
    <xdr:to>
      <xdr:col>15</xdr:col>
      <xdr:colOff>9524</xdr:colOff>
      <xdr:row>23</xdr:row>
      <xdr:rowOff>104776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5</xdr:col>
      <xdr:colOff>304800</xdr:colOff>
      <xdr:row>24</xdr:row>
      <xdr:rowOff>9525</xdr:rowOff>
    </xdr:from>
    <xdr:ext cx="524118" cy="609013"/>
    <xdr:sp macro="" textlink="">
      <xdr:nvSpPr>
        <xdr:cNvPr id="13" name="TextBox 12"/>
        <xdr:cNvSpPr txBox="1"/>
      </xdr:nvSpPr>
      <xdr:spPr>
        <a:xfrm>
          <a:off x="15744825" y="428625"/>
          <a:ext cx="524118"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Game</a:t>
          </a:r>
        </a:p>
        <a:p>
          <a:r>
            <a:rPr lang="en-US" sz="1100"/>
            <a:t>Piece</a:t>
          </a:r>
        </a:p>
        <a:p>
          <a:r>
            <a:rPr lang="en-US" sz="1100"/>
            <a:t>COG</a:t>
          </a:r>
        </a:p>
      </xdr:txBody>
    </xdr:sp>
    <xdr:clientData/>
  </xdr:oneCellAnchor>
  <mc:AlternateContent xmlns:mc="http://schemas.openxmlformats.org/markup-compatibility/2006">
    <mc:Choice xmlns:a14="http://schemas.microsoft.com/office/drawing/2010/main" Requires="a14">
      <xdr:twoCellAnchor>
        <xdr:from>
          <xdr:col>4</xdr:col>
          <xdr:colOff>581025</xdr:colOff>
          <xdr:row>0</xdr:row>
          <xdr:rowOff>0</xdr:rowOff>
        </xdr:from>
        <xdr:to>
          <xdr:col>6</xdr:col>
          <xdr:colOff>142875</xdr:colOff>
          <xdr:row>0</xdr:row>
          <xdr:rowOff>219075</xdr:rowOff>
        </xdr:to>
        <xdr:sp macro="" textlink="">
          <xdr:nvSpPr>
            <xdr:cNvPr id="53251" name="Button 3" hidden="1">
              <a:extLst>
                <a:ext uri="{63B3BB69-23CF-44E3-9099-C40C66FF867C}">
                  <a14:compatExt spid="_x0000_s532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twoCellAnchor>
    <xdr:from>
      <xdr:col>0</xdr:col>
      <xdr:colOff>238125</xdr:colOff>
      <xdr:row>9</xdr:row>
      <xdr:rowOff>47625</xdr:rowOff>
    </xdr:from>
    <xdr:to>
      <xdr:col>4</xdr:col>
      <xdr:colOff>361950</xdr:colOff>
      <xdr:row>18</xdr:row>
      <xdr:rowOff>171450</xdr:rowOff>
    </xdr:to>
    <xdr:sp macro="" textlink="">
      <xdr:nvSpPr>
        <xdr:cNvPr id="15" name="TextBox 14"/>
        <xdr:cNvSpPr txBox="1"/>
      </xdr:nvSpPr>
      <xdr:spPr>
        <a:xfrm>
          <a:off x="238125" y="1838325"/>
          <a:ext cx="480060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Graph indicates</a:t>
          </a:r>
          <a:r>
            <a:rPr lang="en-US" sz="1100" baseline="0"/>
            <a:t> rotational load at the pivot point through various angles (0 = arm fully down.)     Four loads are shown:</a:t>
          </a:r>
        </a:p>
        <a:p>
          <a:r>
            <a:rPr lang="en-US" sz="1100" baseline="0"/>
            <a:t>- Unbalanced arm load without the spring or game piece</a:t>
          </a:r>
        </a:p>
        <a:p>
          <a:r>
            <a:rPr lang="en-US" sz="1100" baseline="0"/>
            <a:t>- "Balanced arm load" which includes a constant force spring to offset the weight of the arm structure</a:t>
          </a:r>
        </a:p>
        <a:p>
          <a:r>
            <a:rPr lang="en-US" sz="1100" baseline="0"/>
            <a:t>- Unbalanced arm plus weigh of game piece</a:t>
          </a:r>
        </a:p>
        <a:p>
          <a:r>
            <a:rPr lang="en-US" sz="1100" baseline="0"/>
            <a:t>- "Balanced" arm load plus weight of game piece</a:t>
          </a:r>
        </a:p>
        <a:p>
          <a:r>
            <a:rPr lang="en-US" sz="1100" baseline="0"/>
            <a:t>NOTE:  Adjust spring force and connection points to offset  arm load without the game piece so the motor  only has to lift the game piece.   Keep the spring connection distance (B) short as feasible.</a:t>
          </a:r>
        </a:p>
        <a:p>
          <a:endParaRPr lang="en-US" sz="1100"/>
        </a:p>
        <a:p>
          <a:endParaRPr lang="en-US" sz="1100"/>
        </a:p>
      </xdr:txBody>
    </xdr:sp>
    <xdr:clientData/>
  </xdr:twoCellAnchor>
  <xdr:twoCellAnchor>
    <xdr:from>
      <xdr:col>0</xdr:col>
      <xdr:colOff>1457325</xdr:colOff>
      <xdr:row>22</xdr:row>
      <xdr:rowOff>28575</xdr:rowOff>
    </xdr:from>
    <xdr:to>
      <xdr:col>0</xdr:col>
      <xdr:colOff>1457325</xdr:colOff>
      <xdr:row>37</xdr:row>
      <xdr:rowOff>161926</xdr:rowOff>
    </xdr:to>
    <xdr:cxnSp macro="">
      <xdr:nvCxnSpPr>
        <xdr:cNvPr id="21" name="Straight Connector 20"/>
        <xdr:cNvCxnSpPr/>
      </xdr:nvCxnSpPr>
      <xdr:spPr>
        <a:xfrm flipV="1">
          <a:off x="1457325" y="4295775"/>
          <a:ext cx="0" cy="2990851"/>
        </a:xfrm>
        <a:prstGeom prst="line">
          <a:avLst/>
        </a:prstGeom>
        <a:ln w="38100">
          <a:headEnd type="none" w="lg" len="lg"/>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25</xdr:row>
      <xdr:rowOff>47625</xdr:rowOff>
    </xdr:from>
    <xdr:to>
      <xdr:col>5</xdr:col>
      <xdr:colOff>304800</xdr:colOff>
      <xdr:row>26</xdr:row>
      <xdr:rowOff>85725</xdr:rowOff>
    </xdr:to>
    <xdr:sp macro="" textlink="">
      <xdr:nvSpPr>
        <xdr:cNvPr id="25" name="Flowchart: Or 24"/>
        <xdr:cNvSpPr/>
      </xdr:nvSpPr>
      <xdr:spPr>
        <a:xfrm>
          <a:off x="5343525" y="4886325"/>
          <a:ext cx="247650" cy="228600"/>
        </a:xfrm>
        <a:prstGeom prst="flowChar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581025</xdr:colOff>
      <xdr:row>26</xdr:row>
      <xdr:rowOff>0</xdr:rowOff>
    </xdr:from>
    <xdr:to>
      <xdr:col>0</xdr:col>
      <xdr:colOff>1466850</xdr:colOff>
      <xdr:row>26</xdr:row>
      <xdr:rowOff>1</xdr:rowOff>
    </xdr:to>
    <xdr:cxnSp macro="">
      <xdr:nvCxnSpPr>
        <xdr:cNvPr id="26" name="Straight Connector 25"/>
        <xdr:cNvCxnSpPr/>
      </xdr:nvCxnSpPr>
      <xdr:spPr>
        <a:xfrm flipV="1">
          <a:off x="581025" y="5029200"/>
          <a:ext cx="885825" cy="1"/>
        </a:xfrm>
        <a:prstGeom prst="line">
          <a:avLst/>
        </a:prstGeom>
        <a:ln w="38100">
          <a:headEnd type="oval" w="lg" len="lg"/>
          <a:tailEnd type="oval"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314325</xdr:colOff>
      <xdr:row>20</xdr:row>
      <xdr:rowOff>47625</xdr:rowOff>
    </xdr:from>
    <xdr:to>
      <xdr:col>2</xdr:col>
      <xdr:colOff>514350</xdr:colOff>
      <xdr:row>21</xdr:row>
      <xdr:rowOff>85725</xdr:rowOff>
    </xdr:to>
    <xdr:sp macro="" textlink="">
      <xdr:nvSpPr>
        <xdr:cNvPr id="11" name="Line Callout 1 (Accent Bar) 10"/>
        <xdr:cNvSpPr/>
      </xdr:nvSpPr>
      <xdr:spPr>
        <a:xfrm>
          <a:off x="2257425" y="3933825"/>
          <a:ext cx="809625" cy="228600"/>
        </a:xfrm>
        <a:prstGeom prst="accentCallout1">
          <a:avLst>
            <a:gd name="adj1" fmla="val 56250"/>
            <a:gd name="adj2" fmla="val 5785"/>
            <a:gd name="adj3" fmla="val 425000"/>
            <a:gd name="adj4" fmla="val -86568"/>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100"/>
            <a:t>Pivot point</a:t>
          </a:r>
        </a:p>
      </xdr:txBody>
    </xdr:sp>
    <xdr:clientData/>
  </xdr:twoCellAnchor>
  <xdr:twoCellAnchor>
    <xdr:from>
      <xdr:col>0</xdr:col>
      <xdr:colOff>571500</xdr:colOff>
      <xdr:row>24</xdr:row>
      <xdr:rowOff>104775</xdr:rowOff>
    </xdr:from>
    <xdr:to>
      <xdr:col>0</xdr:col>
      <xdr:colOff>1419225</xdr:colOff>
      <xdr:row>24</xdr:row>
      <xdr:rowOff>114300</xdr:rowOff>
    </xdr:to>
    <xdr:cxnSp macro="">
      <xdr:nvCxnSpPr>
        <xdr:cNvPr id="27" name="Straight Arrow Connector 26"/>
        <xdr:cNvCxnSpPr/>
      </xdr:nvCxnSpPr>
      <xdr:spPr>
        <a:xfrm>
          <a:off x="571500" y="4752975"/>
          <a:ext cx="847725" cy="9525"/>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876300</xdr:colOff>
      <xdr:row>23</xdr:row>
      <xdr:rowOff>38100</xdr:rowOff>
    </xdr:from>
    <xdr:ext cx="293478" cy="311496"/>
    <xdr:sp macro="" textlink="">
      <xdr:nvSpPr>
        <xdr:cNvPr id="28" name="TextBox 27"/>
        <xdr:cNvSpPr txBox="1"/>
      </xdr:nvSpPr>
      <xdr:spPr>
        <a:xfrm>
          <a:off x="876300" y="4495800"/>
          <a:ext cx="29347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B</a:t>
          </a:r>
        </a:p>
      </xdr:txBody>
    </xdr:sp>
    <xdr:clientData/>
  </xdr:oneCellAnchor>
  <xdr:oneCellAnchor>
    <xdr:from>
      <xdr:col>0</xdr:col>
      <xdr:colOff>750184</xdr:colOff>
      <xdr:row>26</xdr:row>
      <xdr:rowOff>126116</xdr:rowOff>
    </xdr:from>
    <xdr:ext cx="264560" cy="545727"/>
    <xdr:sp macro="" textlink="">
      <xdr:nvSpPr>
        <xdr:cNvPr id="34" name="TextBox 33"/>
        <xdr:cNvSpPr txBox="1"/>
      </xdr:nvSpPr>
      <xdr:spPr>
        <a:xfrm rot="3832285">
          <a:off x="609600" y="5295900"/>
          <a:ext cx="5457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Spring</a:t>
          </a:r>
        </a:p>
      </xdr:txBody>
    </xdr:sp>
    <xdr:clientData/>
  </xdr:oneCellAnchor>
  <xdr:twoCellAnchor>
    <xdr:from>
      <xdr:col>0</xdr:col>
      <xdr:colOff>600075</xdr:colOff>
      <xdr:row>26</xdr:row>
      <xdr:rowOff>19050</xdr:rowOff>
    </xdr:from>
    <xdr:to>
      <xdr:col>0</xdr:col>
      <xdr:colOff>1457325</xdr:colOff>
      <xdr:row>35</xdr:row>
      <xdr:rowOff>152400</xdr:rowOff>
    </xdr:to>
    <xdr:cxnSp macro="">
      <xdr:nvCxnSpPr>
        <xdr:cNvPr id="10" name="Straight Connector 9"/>
        <xdr:cNvCxnSpPr/>
      </xdr:nvCxnSpPr>
      <xdr:spPr>
        <a:xfrm>
          <a:off x="600075" y="5048250"/>
          <a:ext cx="857250" cy="1847850"/>
        </a:xfrm>
        <a:prstGeom prst="line">
          <a:avLst/>
        </a:prstGeom>
        <a:ln w="28575">
          <a:solidFill>
            <a:schemeClr val="tx1"/>
          </a:solidFill>
          <a:prstDash val="dash"/>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1257300</xdr:colOff>
      <xdr:row>26</xdr:row>
      <xdr:rowOff>28575</xdr:rowOff>
    </xdr:from>
    <xdr:to>
      <xdr:col>0</xdr:col>
      <xdr:colOff>1276350</xdr:colOff>
      <xdr:row>36</xdr:row>
      <xdr:rowOff>0</xdr:rowOff>
    </xdr:to>
    <xdr:cxnSp macro="">
      <xdr:nvCxnSpPr>
        <xdr:cNvPr id="36" name="Straight Arrow Connector 35"/>
        <xdr:cNvCxnSpPr/>
      </xdr:nvCxnSpPr>
      <xdr:spPr>
        <a:xfrm flipV="1">
          <a:off x="1257300" y="5057775"/>
          <a:ext cx="19050" cy="1876425"/>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1047750</xdr:colOff>
      <xdr:row>28</xdr:row>
      <xdr:rowOff>171450</xdr:rowOff>
    </xdr:from>
    <xdr:ext cx="279692" cy="311496"/>
    <xdr:sp macro="" textlink="">
      <xdr:nvSpPr>
        <xdr:cNvPr id="39" name="TextBox 38"/>
        <xdr:cNvSpPr txBox="1"/>
      </xdr:nvSpPr>
      <xdr:spPr>
        <a:xfrm>
          <a:off x="1047750" y="5581650"/>
          <a:ext cx="27969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C</a:t>
          </a:r>
        </a:p>
      </xdr:txBody>
    </xdr:sp>
    <xdr:clientData/>
  </xdr:oneCellAnchor>
</xdr:wsDr>
</file>

<file path=xl/drawings/drawing22.xml><?xml version="1.0" encoding="utf-8"?>
<xdr:wsDr xmlns:xdr="http://schemas.openxmlformats.org/drawingml/2006/spreadsheetDrawing" xmlns:a="http://schemas.openxmlformats.org/drawingml/2006/main">
  <xdr:twoCellAnchor>
    <xdr:from>
      <xdr:col>13</xdr:col>
      <xdr:colOff>381000</xdr:colOff>
      <xdr:row>21</xdr:row>
      <xdr:rowOff>38100</xdr:rowOff>
    </xdr:from>
    <xdr:to>
      <xdr:col>14</xdr:col>
      <xdr:colOff>47625</xdr:colOff>
      <xdr:row>22</xdr:row>
      <xdr:rowOff>85725</xdr:rowOff>
    </xdr:to>
    <xdr:sp macro="" textlink="">
      <xdr:nvSpPr>
        <xdr:cNvPr id="13" name="Rectangle 12"/>
        <xdr:cNvSpPr/>
      </xdr:nvSpPr>
      <xdr:spPr>
        <a:xfrm>
          <a:off x="8553450" y="4143375"/>
          <a:ext cx="276225" cy="23812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10</xdr:col>
      <xdr:colOff>104776</xdr:colOff>
      <xdr:row>0</xdr:row>
      <xdr:rowOff>285750</xdr:rowOff>
    </xdr:from>
    <xdr:to>
      <xdr:col>14</xdr:col>
      <xdr:colOff>523876</xdr:colOff>
      <xdr:row>11</xdr:row>
      <xdr:rowOff>104774</xdr:rowOff>
    </xdr:to>
    <xdr:pic>
      <xdr:nvPicPr>
        <xdr:cNvPr id="3" name="Picture 2" descr="http://htmlimg2.scribdassets.com/77dfzfy30gy3w7l/images/13-8e8848b8b9.jpg"/>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0413" t="-791" r="43135" b="79821"/>
        <a:stretch/>
      </xdr:blipFill>
      <xdr:spPr bwMode="auto">
        <a:xfrm>
          <a:off x="6448426" y="285750"/>
          <a:ext cx="2857500" cy="2019299"/>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533400</xdr:colOff>
      <xdr:row>1</xdr:row>
      <xdr:rowOff>104776</xdr:rowOff>
    </xdr:from>
    <xdr:to>
      <xdr:col>8</xdr:col>
      <xdr:colOff>123825</xdr:colOff>
      <xdr:row>9</xdr:row>
      <xdr:rowOff>161926</xdr:rowOff>
    </xdr:to>
    <xdr:pic>
      <xdr:nvPicPr>
        <xdr:cNvPr id="4" name="Picture 3" descr="http://htmlimg2.scribdassets.com/77dfzfy30gy3w7l/images/13-8e8848b8b9.jpg"/>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7753" r="39854" b="15827"/>
        <a:stretch/>
      </xdr:blipFill>
      <xdr:spPr bwMode="auto">
        <a:xfrm>
          <a:off x="533400" y="400051"/>
          <a:ext cx="4714875" cy="158115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561975</xdr:colOff>
          <xdr:row>0</xdr:row>
          <xdr:rowOff>9525</xdr:rowOff>
        </xdr:from>
        <xdr:to>
          <xdr:col>9</xdr:col>
          <xdr:colOff>9525</xdr:colOff>
          <xdr:row>0</xdr:row>
          <xdr:rowOff>219075</xdr:rowOff>
        </xdr:to>
        <xdr:sp macro="" textlink="">
          <xdr:nvSpPr>
            <xdr:cNvPr id="43012" name="Button 4" hidden="1">
              <a:extLst>
                <a:ext uri="{63B3BB69-23CF-44E3-9099-C40C66FF867C}">
                  <a14:compatExt spid="_x0000_s430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twoCellAnchor>
    <xdr:from>
      <xdr:col>0</xdr:col>
      <xdr:colOff>219075</xdr:colOff>
      <xdr:row>10</xdr:row>
      <xdr:rowOff>85725</xdr:rowOff>
    </xdr:from>
    <xdr:to>
      <xdr:col>9</xdr:col>
      <xdr:colOff>9525</xdr:colOff>
      <xdr:row>16</xdr:row>
      <xdr:rowOff>133350</xdr:rowOff>
    </xdr:to>
    <xdr:sp macro="" textlink="">
      <xdr:nvSpPr>
        <xdr:cNvPr id="5" name="TextBox 4"/>
        <xdr:cNvSpPr txBox="1"/>
      </xdr:nvSpPr>
      <xdr:spPr>
        <a:xfrm>
          <a:off x="219075" y="2095500"/>
          <a:ext cx="5276850" cy="1190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Fig.1Many mechanical linkages are based on the simple toggle that consists of two links which tend to line up in a straight line at one point in their motion. The mechanical advantage is the velocity ratio of the input point A with respect to the outpoint point B : or VA /VB. As the angle </a:t>
          </a:r>
          <a:r>
            <a:rPr lang="el-GR" sz="1100"/>
            <a:t>α</a:t>
          </a:r>
          <a:r>
            <a:rPr lang="en-US" sz="1100"/>
            <a:t> approaches 90º, the links come into toggle, and the mechanical advantage and velocity ratio bothapproach infinity. However, frictional effects reduce the forces to much less thaninfinity, although they are still quite high.</a:t>
          </a:r>
        </a:p>
        <a:p>
          <a:endParaRPr lang="en-US" sz="1100"/>
        </a:p>
      </xdr:txBody>
    </xdr:sp>
    <xdr:clientData/>
  </xdr:twoCellAnchor>
  <xdr:twoCellAnchor>
    <xdr:from>
      <xdr:col>9</xdr:col>
      <xdr:colOff>400049</xdr:colOff>
      <xdr:row>11</xdr:row>
      <xdr:rowOff>180975</xdr:rowOff>
    </xdr:from>
    <xdr:to>
      <xdr:col>15</xdr:col>
      <xdr:colOff>495300</xdr:colOff>
      <xdr:row>18</xdr:row>
      <xdr:rowOff>28575</xdr:rowOff>
    </xdr:to>
    <xdr:sp macro="" textlink="">
      <xdr:nvSpPr>
        <xdr:cNvPr id="6" name="TextBox 5"/>
        <xdr:cNvSpPr txBox="1"/>
      </xdr:nvSpPr>
      <xdr:spPr>
        <a:xfrm>
          <a:off x="6134099" y="2381250"/>
          <a:ext cx="37528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 punch presses, large forces areneeded at the lower end of the work stroke.However, little force is required during theremainder of the stroke. The crank and con-necting rod come into toggle at the lowerend of the punch stroke, giving a highmechanical advantage at exactly the time itis most needed.</a:t>
          </a:r>
        </a:p>
        <a:p>
          <a:endParaRPr lang="en-US" sz="1100"/>
        </a:p>
      </xdr:txBody>
    </xdr:sp>
    <xdr:clientData/>
  </xdr:twoCellAnchor>
  <xdr:twoCellAnchor>
    <xdr:from>
      <xdr:col>0</xdr:col>
      <xdr:colOff>252412</xdr:colOff>
      <xdr:row>32</xdr:row>
      <xdr:rowOff>85725</xdr:rowOff>
    </xdr:from>
    <xdr:to>
      <xdr:col>7</xdr:col>
      <xdr:colOff>309562</xdr:colOff>
      <xdr:row>46</xdr:row>
      <xdr:rowOff>161925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233363</xdr:colOff>
      <xdr:row>18</xdr:row>
      <xdr:rowOff>138113</xdr:rowOff>
    </xdr:from>
    <xdr:to>
      <xdr:col>11</xdr:col>
      <xdr:colOff>538163</xdr:colOff>
      <xdr:row>23</xdr:row>
      <xdr:rowOff>95250</xdr:rowOff>
    </xdr:to>
    <xdr:sp macro="" textlink="">
      <xdr:nvSpPr>
        <xdr:cNvPr id="8" name="Oval 7"/>
        <xdr:cNvSpPr/>
      </xdr:nvSpPr>
      <xdr:spPr>
        <a:xfrm>
          <a:off x="6577013" y="3671888"/>
          <a:ext cx="914400" cy="909637"/>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509588</xdr:colOff>
      <xdr:row>19</xdr:row>
      <xdr:rowOff>171450</xdr:rowOff>
    </xdr:from>
    <xdr:to>
      <xdr:col>11</xdr:col>
      <xdr:colOff>90488</xdr:colOff>
      <xdr:row>21</xdr:row>
      <xdr:rowOff>28575</xdr:rowOff>
    </xdr:to>
    <xdr:cxnSp macro="">
      <xdr:nvCxnSpPr>
        <xdr:cNvPr id="10" name="Straight Connector 9"/>
        <xdr:cNvCxnSpPr/>
      </xdr:nvCxnSpPr>
      <xdr:spPr>
        <a:xfrm flipH="1" flipV="1">
          <a:off x="6853238" y="3895725"/>
          <a:ext cx="190500" cy="23812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10</xdr:col>
      <xdr:colOff>509588</xdr:colOff>
      <xdr:row>19</xdr:row>
      <xdr:rowOff>180975</xdr:rowOff>
    </xdr:from>
    <xdr:to>
      <xdr:col>13</xdr:col>
      <xdr:colOff>533400</xdr:colOff>
      <xdr:row>21</xdr:row>
      <xdr:rowOff>142875</xdr:rowOff>
    </xdr:to>
    <xdr:cxnSp macro="">
      <xdr:nvCxnSpPr>
        <xdr:cNvPr id="12" name="Straight Connector 11"/>
        <xdr:cNvCxnSpPr/>
      </xdr:nvCxnSpPr>
      <xdr:spPr>
        <a:xfrm>
          <a:off x="6853238" y="3905250"/>
          <a:ext cx="1852612" cy="34290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485775</xdr:colOff>
      <xdr:row>21</xdr:row>
      <xdr:rowOff>28575</xdr:rowOff>
    </xdr:from>
    <xdr:to>
      <xdr:col>11</xdr:col>
      <xdr:colOff>66675</xdr:colOff>
      <xdr:row>21</xdr:row>
      <xdr:rowOff>38100</xdr:rowOff>
    </xdr:to>
    <xdr:cxnSp macro="">
      <xdr:nvCxnSpPr>
        <xdr:cNvPr id="15" name="Straight Connector 14"/>
        <xdr:cNvCxnSpPr/>
      </xdr:nvCxnSpPr>
      <xdr:spPr>
        <a:xfrm flipH="1" flipV="1">
          <a:off x="6219825" y="4133850"/>
          <a:ext cx="800100"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209552</xdr:colOff>
      <xdr:row>18</xdr:row>
      <xdr:rowOff>71438</xdr:rowOff>
    </xdr:from>
    <xdr:to>
      <xdr:col>10</xdr:col>
      <xdr:colOff>481013</xdr:colOff>
      <xdr:row>19</xdr:row>
      <xdr:rowOff>152400</xdr:rowOff>
    </xdr:to>
    <xdr:cxnSp macro="">
      <xdr:nvCxnSpPr>
        <xdr:cNvPr id="17" name="Straight Connector 16"/>
        <xdr:cNvCxnSpPr/>
      </xdr:nvCxnSpPr>
      <xdr:spPr>
        <a:xfrm flipH="1" flipV="1">
          <a:off x="6553202" y="3605213"/>
          <a:ext cx="271461" cy="27146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238125</xdr:colOff>
      <xdr:row>19</xdr:row>
      <xdr:rowOff>161925</xdr:rowOff>
    </xdr:from>
    <xdr:ext cx="253403" cy="264560"/>
    <xdr:sp macro="" textlink="">
      <xdr:nvSpPr>
        <xdr:cNvPr id="25" name="TextBox 24"/>
        <xdr:cNvSpPr txBox="1"/>
      </xdr:nvSpPr>
      <xdr:spPr>
        <a:xfrm>
          <a:off x="7800975" y="3886200"/>
          <a:ext cx="25340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Y</a:t>
          </a:r>
        </a:p>
      </xdr:txBody>
    </xdr:sp>
    <xdr:clientData/>
  </xdr:oneCellAnchor>
  <xdr:oneCellAnchor>
    <xdr:from>
      <xdr:col>10</xdr:col>
      <xdr:colOff>423863</xdr:colOff>
      <xdr:row>20</xdr:row>
      <xdr:rowOff>0</xdr:rowOff>
    </xdr:from>
    <xdr:ext cx="257891" cy="264560"/>
    <xdr:sp macro="" textlink="">
      <xdr:nvSpPr>
        <xdr:cNvPr id="26" name="TextBox 25"/>
        <xdr:cNvSpPr txBox="1"/>
      </xdr:nvSpPr>
      <xdr:spPr>
        <a:xfrm>
          <a:off x="6767513" y="3914775"/>
          <a:ext cx="25789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X</a:t>
          </a:r>
        </a:p>
      </xdr:txBody>
    </xdr:sp>
    <xdr:clientData/>
  </xdr:oneCellAnchor>
  <xdr:oneCellAnchor>
    <xdr:from>
      <xdr:col>9</xdr:col>
      <xdr:colOff>571501</xdr:colOff>
      <xdr:row>19</xdr:row>
      <xdr:rowOff>47625</xdr:rowOff>
    </xdr:from>
    <xdr:ext cx="259686" cy="264560"/>
    <xdr:sp macro="" textlink="">
      <xdr:nvSpPr>
        <xdr:cNvPr id="27" name="TextBox 26"/>
        <xdr:cNvSpPr txBox="1"/>
      </xdr:nvSpPr>
      <xdr:spPr>
        <a:xfrm>
          <a:off x="6305551" y="3771900"/>
          <a:ext cx="25968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1100"/>
            <a:t>θ</a:t>
          </a:r>
          <a:endParaRPr lang="en-US" sz="1100"/>
        </a:p>
      </xdr:txBody>
    </xdr:sp>
    <xdr:clientData/>
  </xdr:oneCellAnchor>
  <xdr:twoCellAnchor>
    <xdr:from>
      <xdr:col>14</xdr:col>
      <xdr:colOff>76200</xdr:colOff>
      <xdr:row>21</xdr:row>
      <xdr:rowOff>161925</xdr:rowOff>
    </xdr:from>
    <xdr:to>
      <xdr:col>14</xdr:col>
      <xdr:colOff>419100</xdr:colOff>
      <xdr:row>21</xdr:row>
      <xdr:rowOff>161925</xdr:rowOff>
    </xdr:to>
    <xdr:cxnSp macro="">
      <xdr:nvCxnSpPr>
        <xdr:cNvPr id="9" name="Straight Arrow Connector 8"/>
        <xdr:cNvCxnSpPr/>
      </xdr:nvCxnSpPr>
      <xdr:spPr>
        <a:xfrm>
          <a:off x="8858250" y="4267200"/>
          <a:ext cx="3429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447675</xdr:colOff>
      <xdr:row>21</xdr:row>
      <xdr:rowOff>19050</xdr:rowOff>
    </xdr:from>
    <xdr:ext cx="933717" cy="264560"/>
    <xdr:sp macro="" textlink="">
      <xdr:nvSpPr>
        <xdr:cNvPr id="11" name="TextBox 10"/>
        <xdr:cNvSpPr txBox="1"/>
      </xdr:nvSpPr>
      <xdr:spPr>
        <a:xfrm>
          <a:off x="9229725" y="4124325"/>
          <a:ext cx="93371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Force (slider)</a:t>
          </a:r>
        </a:p>
      </xdr:txBody>
    </xdr:sp>
    <xdr:clientData/>
  </xdr:oneCellAnchor>
  <xdr:twoCellAnchor>
    <xdr:from>
      <xdr:col>13</xdr:col>
      <xdr:colOff>304800</xdr:colOff>
      <xdr:row>20</xdr:row>
      <xdr:rowOff>161925</xdr:rowOff>
    </xdr:from>
    <xdr:to>
      <xdr:col>14</xdr:col>
      <xdr:colOff>204788</xdr:colOff>
      <xdr:row>20</xdr:row>
      <xdr:rowOff>161926</xdr:rowOff>
    </xdr:to>
    <xdr:cxnSp macro="">
      <xdr:nvCxnSpPr>
        <xdr:cNvPr id="16" name="Straight Connector 15"/>
        <xdr:cNvCxnSpPr/>
      </xdr:nvCxnSpPr>
      <xdr:spPr>
        <a:xfrm flipV="1">
          <a:off x="8477250" y="4076700"/>
          <a:ext cx="509588" cy="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314325</xdr:colOff>
      <xdr:row>22</xdr:row>
      <xdr:rowOff>171450</xdr:rowOff>
    </xdr:from>
    <xdr:to>
      <xdr:col>14</xdr:col>
      <xdr:colOff>228600</xdr:colOff>
      <xdr:row>22</xdr:row>
      <xdr:rowOff>171451</xdr:rowOff>
    </xdr:to>
    <xdr:cxnSp macro="">
      <xdr:nvCxnSpPr>
        <xdr:cNvPr id="22" name="Straight Connector 21"/>
        <xdr:cNvCxnSpPr/>
      </xdr:nvCxnSpPr>
      <xdr:spPr>
        <a:xfrm flipV="1">
          <a:off x="8486775" y="4467225"/>
          <a:ext cx="523875" cy="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276225</xdr:colOff>
      <xdr:row>22</xdr:row>
      <xdr:rowOff>133350</xdr:rowOff>
    </xdr:from>
    <xdr:to>
      <xdr:col>11</xdr:col>
      <xdr:colOff>352425</xdr:colOff>
      <xdr:row>49</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276225</xdr:colOff>
      <xdr:row>49</xdr:row>
      <xdr:rowOff>66675</xdr:rowOff>
    </xdr:from>
    <xdr:to>
      <xdr:col>11</xdr:col>
      <xdr:colOff>352425</xdr:colOff>
      <xdr:row>76</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352425</xdr:colOff>
      <xdr:row>49</xdr:row>
      <xdr:rowOff>66675</xdr:rowOff>
    </xdr:from>
    <xdr:to>
      <xdr:col>23</xdr:col>
      <xdr:colOff>133350</xdr:colOff>
      <xdr:row>76</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419100</xdr:colOff>
      <xdr:row>1</xdr:row>
      <xdr:rowOff>152400</xdr:rowOff>
    </xdr:from>
    <xdr:to>
      <xdr:col>22</xdr:col>
      <xdr:colOff>542925</xdr:colOff>
      <xdr:row>46</xdr:row>
      <xdr:rowOff>85725</xdr:rowOff>
    </xdr:to>
    <xdr:sp macro="" textlink="">
      <xdr:nvSpPr>
        <xdr:cNvPr id="5" name="Text Box 5"/>
        <xdr:cNvSpPr txBox="1">
          <a:spLocks noChangeArrowheads="1"/>
        </xdr:cNvSpPr>
      </xdr:nvSpPr>
      <xdr:spPr bwMode="auto">
        <a:xfrm>
          <a:off x="11296650" y="152400"/>
          <a:ext cx="3171825" cy="74961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Use:</a:t>
          </a:r>
        </a:p>
        <a:p>
          <a:pPr algn="l" rtl="0">
            <a:defRPr sz="1000"/>
          </a:pPr>
          <a:r>
            <a:rPr lang="en-US" sz="1000" b="0" i="0" u="none" strike="noStrike" baseline="0">
              <a:solidFill>
                <a:srgbClr val="000000"/>
              </a:solidFill>
              <a:latin typeface="Arial"/>
              <a:cs typeface="Arial"/>
            </a:rPr>
            <a:t>Enter data in the shaded cells to the left</a:t>
          </a:r>
        </a:p>
        <a:p>
          <a:pPr algn="l" rtl="0">
            <a:defRPr sz="1000"/>
          </a:pPr>
          <a:r>
            <a:rPr lang="en-US" sz="1000" b="0" i="0" u="none" strike="noStrike" baseline="0">
              <a:solidFill>
                <a:srgbClr val="000000"/>
              </a:solidFill>
              <a:latin typeface="Arial"/>
              <a:cs typeface="Arial"/>
            </a:rPr>
            <a:t>The constraints are a size and weight that the bot must comply with. (Examples include the prematch inspection size or - 2007&lt;R12&gt; bounding box )  Multiple inspection sizes can be accomplished with multiple copies of this sheet.</a:t>
          </a:r>
        </a:p>
        <a:p>
          <a:pPr algn="l" rtl="0">
            <a:defRPr sz="1000"/>
          </a:pPr>
          <a:r>
            <a:rPr lang="en-US" sz="1000" b="0" i="0" u="none" strike="noStrike" baseline="0">
              <a:solidFill>
                <a:srgbClr val="000000"/>
              </a:solidFill>
              <a:latin typeface="Arial"/>
              <a:cs typeface="Arial"/>
            </a:rPr>
            <a:t>The robot systems have several properties associated with them.</a:t>
          </a:r>
        </a:p>
        <a:p>
          <a:pPr algn="l" rtl="0">
            <a:defRPr sz="1000"/>
          </a:pPr>
          <a:r>
            <a:rPr lang="en-US" sz="1000" b="0" i="0" u="none" strike="noStrike" baseline="0">
              <a:solidFill>
                <a:srgbClr val="000000"/>
              </a:solidFill>
              <a:latin typeface="Arial"/>
              <a:cs typeface="Arial"/>
            </a:rPr>
            <a:t>Name - This is the common name of the subassembly.</a:t>
          </a:r>
        </a:p>
        <a:p>
          <a:pPr algn="l" rtl="0">
            <a:defRPr sz="1000"/>
          </a:pPr>
          <a:r>
            <a:rPr lang="en-US" sz="1000" b="0" i="0" u="none" strike="noStrike" baseline="0">
              <a:solidFill>
                <a:srgbClr val="000000"/>
              </a:solidFill>
              <a:latin typeface="Arial"/>
              <a:cs typeface="Arial"/>
            </a:rPr>
            <a:t>Origin (X,Y,Z) - This sets the position of one corner of the system.</a:t>
          </a:r>
        </a:p>
        <a:p>
          <a:pPr algn="l" rtl="0">
            <a:defRPr sz="1000"/>
          </a:pPr>
          <a:r>
            <a:rPr lang="en-US" sz="1000" b="0" i="0" u="none" strike="noStrike" baseline="0">
              <a:solidFill>
                <a:srgbClr val="000000"/>
              </a:solidFill>
              <a:latin typeface="Arial"/>
              <a:cs typeface="Arial"/>
            </a:rPr>
            <a:t>Size (dX,dY,dZ) - This sets the opposite corner of the system as an offset from the origin</a:t>
          </a:r>
        </a:p>
        <a:p>
          <a:pPr algn="l" rtl="0">
            <a:defRPr sz="1000"/>
          </a:pPr>
          <a:r>
            <a:rPr lang="en-US" sz="1000" b="0" i="0" u="none" strike="noStrike" baseline="0">
              <a:solidFill>
                <a:srgbClr val="000000"/>
              </a:solidFill>
              <a:latin typeface="Arial"/>
              <a:cs typeface="Arial"/>
            </a:rPr>
            <a:t>Weight - Weight of the system</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Notes:</a:t>
          </a:r>
        </a:p>
        <a:p>
          <a:pPr algn="l" rtl="0">
            <a:defRPr sz="1000"/>
          </a:pPr>
          <a:r>
            <a:rPr lang="en-US" sz="1000" b="0" i="0" u="none" strike="noStrike" baseline="0">
              <a:solidFill>
                <a:srgbClr val="000000"/>
              </a:solidFill>
              <a:latin typeface="Arial"/>
              <a:cs typeface="Arial"/>
            </a:rPr>
            <a:t>This worksheet is intended to aid teams in addressing weight and stability issues early in the design process before any individual components are designed.  As such certain assumptions are made to provide initial estimates.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Assumptions:  </a:t>
          </a:r>
        </a:p>
        <a:p>
          <a:pPr algn="l" rtl="0">
            <a:defRPr sz="1000"/>
          </a:pPr>
          <a:r>
            <a:rPr lang="en-US" sz="1000" b="0" i="0" u="none" strike="noStrike" baseline="0">
              <a:solidFill>
                <a:srgbClr val="000000"/>
              </a:solidFill>
              <a:latin typeface="Arial"/>
              <a:cs typeface="Arial"/>
            </a:rPr>
            <a:t>-Center of gravity estimates assume a uniform density thought the system volume defined.</a:t>
          </a:r>
        </a:p>
        <a:p>
          <a:pPr algn="l" rtl="0">
            <a:defRPr sz="1000"/>
          </a:pPr>
          <a:r>
            <a:rPr lang="en-US" sz="1000" b="0" i="0" u="none" strike="noStrike" baseline="0">
              <a:solidFill>
                <a:srgbClr val="000000"/>
              </a:solidFill>
              <a:latin typeface="Arial"/>
              <a:cs typeface="Arial"/>
            </a:rPr>
            <a:t>-Tipping angles assume that the bot tips along its bounding edge.  This inherently leads to optimistic estimates.</a:t>
          </a:r>
        </a:p>
        <a:p>
          <a:pPr algn="l" rtl="0">
            <a:defRPr sz="1000"/>
          </a:pPr>
          <a:r>
            <a:rPr lang="en-US" sz="1000" b="0" i="0" u="none" strike="noStrike" baseline="0">
              <a:solidFill>
                <a:srgbClr val="000000"/>
              </a:solidFill>
              <a:latin typeface="Arial"/>
              <a:cs typeface="Arial"/>
            </a:rPr>
            <a:t>-The inspection box pass/fail check is based upon a comparison between the size constraint and the bounding box dimensions.  This should allow the used to move the coordinate system origin to a location of their convenience.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While this worksheet is distributed protected, there is no password and the user is welcome to modify it to meet their needs.  (Tools -&gt; Protection -&gt; Unprotect Sheet)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No warranty is expressed or implied.  Use at your own risk.</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Regards,</a:t>
          </a:r>
        </a:p>
        <a:p>
          <a:pPr algn="l" rtl="0">
            <a:defRPr sz="1000"/>
          </a:pPr>
          <a:r>
            <a:rPr lang="en-US" sz="1000" b="0" i="0" u="none" strike="noStrike" baseline="0">
              <a:solidFill>
                <a:srgbClr val="000000"/>
              </a:solidFill>
              <a:latin typeface="Arial"/>
              <a:cs typeface="Arial"/>
            </a:rPr>
            <a:t>Mark</a:t>
          </a:r>
        </a:p>
        <a:p>
          <a:pPr algn="l" rtl="0">
            <a:defRPr sz="1000"/>
          </a:pPr>
          <a:r>
            <a:rPr lang="en-US" sz="1000" b="0" i="0" u="none" strike="noStrike" baseline="0">
              <a:solidFill>
                <a:srgbClr val="000000"/>
              </a:solidFill>
              <a:latin typeface="Arial"/>
              <a:cs typeface="Arial"/>
            </a:rPr>
            <a:t>Kramarczyk</a:t>
          </a:r>
        </a:p>
        <a:p>
          <a:pPr algn="l" rtl="0">
            <a:defRPr sz="1000"/>
          </a:pPr>
          <a:r>
            <a:rPr lang="en-US" sz="1000" b="0" i="0" u="none" strike="noStrike" baseline="0">
              <a:solidFill>
                <a:srgbClr val="000000"/>
              </a:solidFill>
              <a:latin typeface="Arial"/>
              <a:cs typeface="Arial"/>
            </a:rPr>
            <a:t>1189 Gearheads</a:t>
          </a:r>
          <a:endParaRPr lang="en-US"/>
        </a:p>
      </xdr:txBody>
    </xdr:sp>
    <xdr:clientData/>
  </xdr:twoCellAnchor>
  <xdr:twoCellAnchor editAs="oneCell">
    <xdr:from>
      <xdr:col>10</xdr:col>
      <xdr:colOff>495300</xdr:colOff>
      <xdr:row>8</xdr:row>
      <xdr:rowOff>47625</xdr:rowOff>
    </xdr:from>
    <xdr:to>
      <xdr:col>13</xdr:col>
      <xdr:colOff>85725</xdr:colOff>
      <xdr:row>16</xdr:row>
      <xdr:rowOff>180975</xdr:rowOff>
    </xdr:to>
    <xdr:pic>
      <xdr:nvPicPr>
        <xdr:cNvPr id="6" name="Picture 6" descr="GP Gearheads: Team 1189 Forum Index">
          <a:hlinkClick xmlns:r="http://schemas.openxmlformats.org/officeDocument/2006/relationships" r:id="rId4"/>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105650" y="1381125"/>
          <a:ext cx="1419225" cy="1419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19050</xdr:colOff>
          <xdr:row>0</xdr:row>
          <xdr:rowOff>0</xdr:rowOff>
        </xdr:from>
        <xdr:to>
          <xdr:col>8</xdr:col>
          <xdr:colOff>190500</xdr:colOff>
          <xdr:row>0</xdr:row>
          <xdr:rowOff>219075</xdr:rowOff>
        </xdr:to>
        <xdr:sp macro="" textlink="">
          <xdr:nvSpPr>
            <xdr:cNvPr id="68610" name="Button 2" hidden="1">
              <a:extLst>
                <a:ext uri="{63B3BB69-23CF-44E3-9099-C40C66FF867C}">
                  <a14:compatExt spid="_x0000_s686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161925</xdr:colOff>
          <xdr:row>0</xdr:row>
          <xdr:rowOff>47625</xdr:rowOff>
        </xdr:from>
        <xdr:to>
          <xdr:col>8</xdr:col>
          <xdr:colOff>200025</xdr:colOff>
          <xdr:row>1</xdr:row>
          <xdr:rowOff>38100</xdr:rowOff>
        </xdr:to>
        <xdr:sp macro="" textlink="">
          <xdr:nvSpPr>
            <xdr:cNvPr id="67585" name="Button 1" hidden="1">
              <a:extLst>
                <a:ext uri="{63B3BB69-23CF-44E3-9099-C40C66FF867C}">
                  <a14:compatExt spid="_x0000_s675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161925</xdr:colOff>
          <xdr:row>0</xdr:row>
          <xdr:rowOff>47625</xdr:rowOff>
        </xdr:from>
        <xdr:to>
          <xdr:col>8</xdr:col>
          <xdr:colOff>200025</xdr:colOff>
          <xdr:row>1</xdr:row>
          <xdr:rowOff>38100</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TOC</a:t>
              </a:r>
            </a:p>
          </xdr:txBody>
        </xdr:sp>
        <xdr:clientData fPrintsWithSheet="0"/>
      </xdr:twoCellAnchor>
    </mc:Choice>
    <mc:Fallback/>
  </mc:AlternateContent>
</xdr:wsDr>
</file>

<file path=xl/tables/table1.xml><?xml version="1.0" encoding="utf-8"?>
<table xmlns="http://schemas.openxmlformats.org/spreadsheetml/2006/main" id="4" name="Notes_Table" displayName="Notes_Table" ref="A6:C30" totalsRowShown="0" headerRowDxfId="33" dataDxfId="32">
  <tableColumns count="3">
    <tableColumn id="1" name="Tab" dataDxfId="31"/>
    <tableColumn id="2" name="Contents" dataDxfId="30"/>
    <tableColumn id="3" name="Notes" dataDxfId="29"/>
  </tableColumns>
  <tableStyleInfo name="TableStyleMedium9" showFirstColumn="0" showLastColumn="0" showRowStripes="1" showColumnStripes="0"/>
</table>
</file>

<file path=xl/tables/table2.xml><?xml version="1.0" encoding="utf-8"?>
<table xmlns="http://schemas.openxmlformats.org/spreadsheetml/2006/main" id="1" name="Motor_Table" displayName="Motor_Table" ref="A3:R22" totalsRowShown="0" headerRowDxfId="28" dataDxfId="27">
  <autoFilter ref="A3:R22"/>
  <tableColumns count="18">
    <tableColumn id="1" name="Make / Part" dataDxfId="26"/>
    <tableColumn id="2" name="Make" dataDxfId="25"/>
    <tableColumn id="3" name="Part Number" dataDxfId="24"/>
    <tableColumn id="4" name="Max Power (W)" dataDxfId="23"/>
    <tableColumn id="5" name="Stall Torque(oz-in)" dataDxfId="9"/>
    <tableColumn id="6" name="Torque (ft-lbs)" dataDxfId="22" dataCellStyle="Comma"/>
    <tableColumn id="7" name="Torque (N-m)" dataDxfId="21">
      <calculatedColumnFormula>1.3558*F4</calculatedColumnFormula>
    </tableColumn>
    <tableColumn id="8" name="Free Speed(rpm)" dataDxfId="20"/>
    <tableColumn id="9" name="Free Current (A)" dataDxfId="19"/>
    <tableColumn id="10" name="Stall Current (A)" dataDxfId="18"/>
    <tableColumn id="11" name="Spec Voltage" dataDxfId="17" dataCellStyle="Comma"/>
    <tableColumn id="12" name="Kt (Nm/amp)" dataDxfId="16"/>
    <tableColumn id="13" name="Ke (V/(rad/s)" dataDxfId="15" dataCellStyle="Comma"/>
    <tableColumn id="16" name="R" dataDxfId="14" dataCellStyle="Comma">
      <calculatedColumnFormula>Motor_Table[[#This Row],[Spec Voltage]]/Motor_Table[[#This Row],[Stall Current (A)]]</calculatedColumnFormula>
    </tableColumn>
    <tableColumn id="17" name="Free speed (rad/s)" dataDxfId="13" dataCellStyle="Comma">
      <calculatedColumnFormula>Motor_Table[[#This Row],[Free Speed(rpm)]]*2*PI()/60</calculatedColumnFormula>
    </tableColumn>
    <tableColumn id="18" name="Tloss" dataDxfId="12" dataCellStyle="Comma">
      <calculatedColumnFormula>Motor_Table[[#This Row],[Kt (Nm/amp)]]*Motor_Table[[#This Row],[Free Current (A)]]</calculatedColumnFormula>
    </tableColumn>
    <tableColumn id="14" name="Notes" dataDxfId="11"/>
    <tableColumn id="15" name="Output shaft" dataDxfId="1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ctrlProp" Target="../ctrlProps/ctrlProp2.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vmlDrawing" Target="../drawings/vmlDrawing2.vml"/><Relationship Id="rId16" Type="http://schemas.openxmlformats.org/officeDocument/2006/relationships/ctrlProp" Target="../ctrlProps/ctrlProp15.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8" Type="http://schemas.openxmlformats.org/officeDocument/2006/relationships/hyperlink" Target="http://www.chiefdelphi.com/media/papers/3188" TargetMode="External"/><Relationship Id="rId13" Type="http://schemas.openxmlformats.org/officeDocument/2006/relationships/drawing" Target="../drawings/drawing4.xml"/><Relationship Id="rId3" Type="http://schemas.openxmlformats.org/officeDocument/2006/relationships/hyperlink" Target="https://www.youtube.com/watch?v=ADcqUWYyHgk&amp;index=4&amp;list=PLG_KOHBuXHNdxeFJBcio6sOEVMR821tkV" TargetMode="External"/><Relationship Id="rId7" Type="http://schemas.openxmlformats.org/officeDocument/2006/relationships/hyperlink" Target="http://thinktank.wpi.edu/Portal" TargetMode="External"/><Relationship Id="rId12" Type="http://schemas.openxmlformats.org/officeDocument/2006/relationships/hyperlink" Target="http://www.bbman.com/catalog/belt-length-calculator.html" TargetMode="External"/><Relationship Id="rId2" Type="http://schemas.openxmlformats.org/officeDocument/2006/relationships/hyperlink" Target="http://www.simbotics.org/resources" TargetMode="External"/><Relationship Id="rId1" Type="http://schemas.openxmlformats.org/officeDocument/2006/relationships/hyperlink" Target="https://www.youtube.com/watch?v=WPX3z-qLSk0" TargetMode="External"/><Relationship Id="rId6" Type="http://schemas.openxmlformats.org/officeDocument/2006/relationships/hyperlink" Target="http://www.team358.org/files/pneumatic/" TargetMode="External"/><Relationship Id="rId11" Type="http://schemas.openxmlformats.org/officeDocument/2006/relationships/hyperlink" Target="http://www.indgassprings.com/how-gas-springs-work.html" TargetMode="External"/><Relationship Id="rId5" Type="http://schemas.openxmlformats.org/officeDocument/2006/relationships/hyperlink" Target="http://www.team358.org/files/mechanical/" TargetMode="External"/><Relationship Id="rId15" Type="http://schemas.openxmlformats.org/officeDocument/2006/relationships/ctrlProp" Target="../ctrlProps/ctrlProp20.xml"/><Relationship Id="rId10" Type="http://schemas.openxmlformats.org/officeDocument/2006/relationships/hyperlink" Target="http://motors.vex.com/" TargetMode="External"/><Relationship Id="rId4" Type="http://schemas.openxmlformats.org/officeDocument/2006/relationships/hyperlink" Target="http://www.team358.org/files/electrical/" TargetMode="External"/><Relationship Id="rId9" Type="http://schemas.openxmlformats.org/officeDocument/2006/relationships/hyperlink" Target="http://www.andymark.com/Education-s/194.htm" TargetMode="External"/><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3.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12.vml"/><Relationship Id="rId7" Type="http://schemas.openxmlformats.org/officeDocument/2006/relationships/image" Target="../media/image7.emf"/><Relationship Id="rId2" Type="http://schemas.openxmlformats.org/officeDocument/2006/relationships/drawing" Target="../drawings/drawing12.xml"/><Relationship Id="rId1" Type="http://schemas.openxmlformats.org/officeDocument/2006/relationships/printerSettings" Target="../printerSettings/printerSettings5.bin"/><Relationship Id="rId6" Type="http://schemas.openxmlformats.org/officeDocument/2006/relationships/control" Target="../activeX/activeX2.xml"/><Relationship Id="rId5" Type="http://schemas.openxmlformats.org/officeDocument/2006/relationships/image" Target="../media/image6.emf"/><Relationship Id="rId4" Type="http://schemas.openxmlformats.org/officeDocument/2006/relationships/control" Target="../activeX/activeX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hyperlink" Target="http://www.chiefdelphi.com/media/papers/1917" TargetMode="External"/><Relationship Id="rId7" Type="http://schemas.openxmlformats.org/officeDocument/2006/relationships/ctrlProp" Target="../ctrlProps/ctrlProp31.xml"/><Relationship Id="rId2" Type="http://schemas.openxmlformats.org/officeDocument/2006/relationships/hyperlink" Target="http://www.chiefdelphi.com/media/papers/2059" TargetMode="External"/><Relationship Id="rId1" Type="http://schemas.openxmlformats.org/officeDocument/2006/relationships/hyperlink" Target="http://www.chiefdelphi.com/media/papers/1443" TargetMode="External"/><Relationship Id="rId6" Type="http://schemas.openxmlformats.org/officeDocument/2006/relationships/vmlDrawing" Target="../drawings/vmlDrawing15.vml"/><Relationship Id="rId5" Type="http://schemas.openxmlformats.org/officeDocument/2006/relationships/drawing" Target="../drawings/drawing15.xml"/><Relationship Id="rId4" Type="http://schemas.openxmlformats.org/officeDocument/2006/relationships/hyperlink" Target="http://www.chiefdelphi.com/media/papers/2470"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 TargetMode="External"/><Relationship Id="rId1" Type="http://schemas.openxmlformats.org/officeDocument/2006/relationships/hyperlink" Target="\" TargetMode="External"/><Relationship Id="rId6" Type="http://schemas.openxmlformats.org/officeDocument/2006/relationships/ctrlProp" Target="../ctrlProps/ctrlProp32.xml"/><Relationship Id="rId5" Type="http://schemas.openxmlformats.org/officeDocument/2006/relationships/vmlDrawing" Target="../drawings/vmlDrawing16.vml"/><Relationship Id="rId4"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7.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8.vm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19.vml"/><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8.bin"/><Relationship Id="rId4" Type="http://schemas.openxmlformats.org/officeDocument/2006/relationships/ctrlProp" Target="../ctrlProps/ctrlProp36.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21.vml"/><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22.vml"/><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23.vml"/><Relationship Id="rId1" Type="http://schemas.openxmlformats.org/officeDocument/2006/relationships/drawing" Target="../drawings/drawing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00"/>
  </sheetPr>
  <dimension ref="A1:C30"/>
  <sheetViews>
    <sheetView showGridLines="0" tabSelected="1" workbookViewId="0">
      <pane ySplit="6" topLeftCell="A7" activePane="bottomLeft" state="frozen"/>
      <selection pane="bottomLeft" activeCell="A7" sqref="A7"/>
    </sheetView>
  </sheetViews>
  <sheetFormatPr defaultRowHeight="15" x14ac:dyDescent="0.25"/>
  <cols>
    <col min="1" max="1" width="22.140625" customWidth="1"/>
    <col min="2" max="2" width="31.140625" customWidth="1"/>
    <col min="3" max="3" width="40.85546875" customWidth="1"/>
  </cols>
  <sheetData>
    <row r="1" spans="1:3" ht="18" x14ac:dyDescent="0.25">
      <c r="A1" s="2" t="s">
        <v>805</v>
      </c>
    </row>
    <row r="3" spans="1:3" ht="33" customHeight="1" x14ac:dyDescent="0.25">
      <c r="A3" s="833" t="s">
        <v>854</v>
      </c>
      <c r="B3" s="833"/>
      <c r="C3" s="833"/>
    </row>
    <row r="6" spans="1:3" ht="18.75" x14ac:dyDescent="0.3">
      <c r="A6" s="106" t="s">
        <v>757</v>
      </c>
      <c r="B6" s="106" t="s">
        <v>758</v>
      </c>
      <c r="C6" s="106" t="s">
        <v>168</v>
      </c>
    </row>
    <row r="7" spans="1:3" x14ac:dyDescent="0.25">
      <c r="A7" s="616" t="s">
        <v>752</v>
      </c>
      <c r="B7" s="616" t="s">
        <v>753</v>
      </c>
      <c r="C7" s="616"/>
    </row>
    <row r="8" spans="1:3" ht="18.75" x14ac:dyDescent="0.25">
      <c r="A8" s="636" t="s">
        <v>831</v>
      </c>
      <c r="B8" s="634"/>
      <c r="C8" s="634"/>
    </row>
    <row r="9" spans="1:3" ht="30" x14ac:dyDescent="0.25">
      <c r="A9" s="616" t="s">
        <v>776</v>
      </c>
      <c r="B9" s="616" t="s">
        <v>777</v>
      </c>
      <c r="C9" s="616"/>
    </row>
    <row r="10" spans="1:3" ht="30" x14ac:dyDescent="0.25">
      <c r="A10" s="616" t="s">
        <v>754</v>
      </c>
      <c r="B10" s="616" t="s">
        <v>755</v>
      </c>
      <c r="C10" s="616" t="s">
        <v>806</v>
      </c>
    </row>
    <row r="11" spans="1:3" ht="30" x14ac:dyDescent="0.25">
      <c r="A11" s="616" t="s">
        <v>178</v>
      </c>
      <c r="B11" s="616" t="s">
        <v>756</v>
      </c>
      <c r="C11" s="616" t="s">
        <v>759</v>
      </c>
    </row>
    <row r="12" spans="1:3" ht="30" x14ac:dyDescent="0.25">
      <c r="A12" s="616" t="s">
        <v>188</v>
      </c>
      <c r="B12" s="616" t="s">
        <v>760</v>
      </c>
      <c r="C12" s="616" t="s">
        <v>761</v>
      </c>
    </row>
    <row r="13" spans="1:3" x14ac:dyDescent="0.25">
      <c r="A13" s="616" t="s">
        <v>762</v>
      </c>
      <c r="B13" s="616" t="s">
        <v>763</v>
      </c>
      <c r="C13" s="616" t="s">
        <v>764</v>
      </c>
    </row>
    <row r="14" spans="1:3" x14ac:dyDescent="0.25">
      <c r="A14" s="616" t="s">
        <v>119</v>
      </c>
      <c r="B14" s="616" t="s">
        <v>765</v>
      </c>
      <c r="C14" s="616"/>
    </row>
    <row r="15" spans="1:3" x14ac:dyDescent="0.25">
      <c r="A15" s="616" t="s">
        <v>766</v>
      </c>
      <c r="B15" s="616" t="s">
        <v>767</v>
      </c>
      <c r="C15" s="616"/>
    </row>
    <row r="16" spans="1:3" ht="18.75" x14ac:dyDescent="0.25">
      <c r="A16" s="633" t="s">
        <v>768</v>
      </c>
      <c r="B16" s="635"/>
      <c r="C16" s="635"/>
    </row>
    <row r="17" spans="1:3" ht="30" x14ac:dyDescent="0.25">
      <c r="A17" s="616" t="s">
        <v>769</v>
      </c>
      <c r="B17" s="616" t="s">
        <v>770</v>
      </c>
      <c r="C17" s="616" t="s">
        <v>771</v>
      </c>
    </row>
    <row r="18" spans="1:3" ht="45" x14ac:dyDescent="0.25">
      <c r="A18" s="616" t="s">
        <v>772</v>
      </c>
      <c r="B18" s="616" t="s">
        <v>773</v>
      </c>
      <c r="C18" s="616"/>
    </row>
    <row r="19" spans="1:3" ht="30" x14ac:dyDescent="0.25">
      <c r="A19" s="616" t="s">
        <v>110</v>
      </c>
      <c r="B19" s="616" t="s">
        <v>774</v>
      </c>
      <c r="C19" s="616" t="s">
        <v>775</v>
      </c>
    </row>
    <row r="20" spans="1:3" ht="30" x14ac:dyDescent="0.25">
      <c r="A20" s="616" t="s">
        <v>832</v>
      </c>
      <c r="B20" s="616" t="s">
        <v>855</v>
      </c>
      <c r="C20" s="616" t="s">
        <v>856</v>
      </c>
    </row>
    <row r="21" spans="1:3" ht="30" x14ac:dyDescent="0.25">
      <c r="A21" s="616" t="s">
        <v>833</v>
      </c>
      <c r="B21" s="616" t="s">
        <v>857</v>
      </c>
      <c r="C21" s="616" t="s">
        <v>856</v>
      </c>
    </row>
    <row r="22" spans="1:3" ht="45" x14ac:dyDescent="0.25">
      <c r="A22" s="616" t="s">
        <v>834</v>
      </c>
      <c r="B22" s="616" t="s">
        <v>858</v>
      </c>
      <c r="C22" s="616" t="s">
        <v>856</v>
      </c>
    </row>
    <row r="23" spans="1:3" ht="45" x14ac:dyDescent="0.25">
      <c r="A23" s="616" t="s">
        <v>404</v>
      </c>
      <c r="B23" s="616" t="s">
        <v>859</v>
      </c>
      <c r="C23" s="616" t="s">
        <v>860</v>
      </c>
    </row>
    <row r="24" spans="1:3" ht="30" x14ac:dyDescent="0.25">
      <c r="A24" s="616" t="s">
        <v>835</v>
      </c>
      <c r="B24" s="616" t="s">
        <v>836</v>
      </c>
      <c r="C24" s="616" t="s">
        <v>837</v>
      </c>
    </row>
    <row r="25" spans="1:3" ht="30" x14ac:dyDescent="0.25">
      <c r="A25" s="616" t="s">
        <v>293</v>
      </c>
      <c r="B25" s="616"/>
      <c r="C25" s="616"/>
    </row>
    <row r="26" spans="1:3" ht="30" x14ac:dyDescent="0.25">
      <c r="A26" s="616" t="s">
        <v>838</v>
      </c>
      <c r="B26" s="616" t="s">
        <v>839</v>
      </c>
      <c r="C26" s="616" t="s">
        <v>840</v>
      </c>
    </row>
    <row r="27" spans="1:3" x14ac:dyDescent="0.25">
      <c r="A27" s="616" t="s">
        <v>397</v>
      </c>
      <c r="B27" s="616"/>
      <c r="C27" s="616"/>
    </row>
    <row r="28" spans="1:3" ht="30" x14ac:dyDescent="0.25">
      <c r="A28" s="616" t="s">
        <v>861</v>
      </c>
      <c r="B28" s="616" t="s">
        <v>863</v>
      </c>
      <c r="C28" s="616" t="s">
        <v>856</v>
      </c>
    </row>
    <row r="29" spans="1:3" ht="30" x14ac:dyDescent="0.25">
      <c r="A29" s="616" t="s">
        <v>862</v>
      </c>
      <c r="B29" s="616" t="s">
        <v>864</v>
      </c>
      <c r="C29" s="616" t="s">
        <v>856</v>
      </c>
    </row>
    <row r="30" spans="1:3" x14ac:dyDescent="0.25">
      <c r="A30" s="624"/>
      <c r="B30" s="624"/>
      <c r="C30" s="624"/>
    </row>
  </sheetData>
  <mergeCells count="1">
    <mergeCell ref="A3:C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OC">
                <anchor moveWithCells="1" sizeWithCells="1">
                  <from>
                    <xdr:col>2</xdr:col>
                    <xdr:colOff>123825</xdr:colOff>
                    <xdr:row>0</xdr:row>
                    <xdr:rowOff>0</xdr:rowOff>
                  </from>
                  <to>
                    <xdr:col>2</xdr:col>
                    <xdr:colOff>904875</xdr:colOff>
                    <xdr:row>0</xdr:row>
                    <xdr:rowOff>219075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G34"/>
  <sheetViews>
    <sheetView showGridLines="0" workbookViewId="0">
      <pane ySplit="1" topLeftCell="A2" activePane="bottomLeft" state="frozen"/>
      <selection pane="bottomLeft" activeCell="A2" sqref="A2"/>
    </sheetView>
  </sheetViews>
  <sheetFormatPr defaultRowHeight="15" x14ac:dyDescent="0.25"/>
  <cols>
    <col min="1" max="1" width="4.140625" customWidth="1"/>
    <col min="2" max="2" width="7" customWidth="1"/>
    <col min="3" max="3" width="53.28515625" bestFit="1" customWidth="1"/>
    <col min="4" max="4" width="7.7109375" customWidth="1"/>
    <col min="6" max="6" width="56.7109375" customWidth="1"/>
  </cols>
  <sheetData>
    <row r="1" spans="1:6" ht="21" customHeight="1" x14ac:dyDescent="0.35">
      <c r="A1" s="9" t="s">
        <v>109</v>
      </c>
    </row>
    <row r="2" spans="1:6" ht="12" customHeight="1" x14ac:dyDescent="0.35">
      <c r="A2" s="9"/>
    </row>
    <row r="3" spans="1:6" ht="21" customHeight="1" x14ac:dyDescent="0.4">
      <c r="A3" s="9"/>
      <c r="B3" s="647" t="s">
        <v>395</v>
      </c>
      <c r="C3" s="647"/>
      <c r="E3" s="647" t="s">
        <v>396</v>
      </c>
      <c r="F3" s="647"/>
    </row>
    <row r="4" spans="1:6" ht="12" customHeight="1" x14ac:dyDescent="0.25">
      <c r="B4" s="246"/>
      <c r="C4" s="246"/>
      <c r="E4" s="376"/>
      <c r="F4" s="376"/>
    </row>
    <row r="5" spans="1:6" ht="18.75" customHeight="1" x14ac:dyDescent="0.25">
      <c r="B5" s="246"/>
      <c r="C5" s="247" t="s">
        <v>113</v>
      </c>
      <c r="E5" s="377"/>
      <c r="F5" s="378" t="s">
        <v>103</v>
      </c>
    </row>
    <row r="6" spans="1:6" ht="6.75" customHeight="1" x14ac:dyDescent="0.25">
      <c r="B6" s="246"/>
      <c r="C6" s="247"/>
      <c r="E6" s="377"/>
      <c r="F6" s="377"/>
    </row>
    <row r="7" spans="1:6" ht="21" customHeight="1" x14ac:dyDescent="0.25">
      <c r="B7" s="248"/>
      <c r="C7" s="247" t="s">
        <v>810</v>
      </c>
      <c r="E7" s="377"/>
      <c r="F7" s="378" t="s">
        <v>256</v>
      </c>
    </row>
    <row r="8" spans="1:6" ht="8.25" customHeight="1" x14ac:dyDescent="0.25">
      <c r="B8" s="246"/>
      <c r="C8" s="246"/>
      <c r="E8" s="376"/>
      <c r="F8" s="376"/>
    </row>
    <row r="9" spans="1:6" s="50" customFormat="1" ht="21" customHeight="1" x14ac:dyDescent="0.25">
      <c r="A9"/>
      <c r="B9" s="248"/>
      <c r="C9" s="247" t="s">
        <v>178</v>
      </c>
      <c r="E9" s="377"/>
      <c r="F9" s="378" t="s">
        <v>110</v>
      </c>
    </row>
    <row r="10" spans="1:6" s="50" customFormat="1" ht="12" customHeight="1" x14ac:dyDescent="0.25">
      <c r="A10"/>
      <c r="B10" s="246"/>
      <c r="C10" s="246"/>
      <c r="E10" s="377"/>
      <c r="F10" s="377"/>
    </row>
    <row r="11" spans="1:6" s="50" customFormat="1" ht="21" customHeight="1" x14ac:dyDescent="0.25">
      <c r="B11" s="248"/>
      <c r="C11" s="247" t="s">
        <v>296</v>
      </c>
      <c r="E11" s="377"/>
      <c r="F11" s="378" t="s">
        <v>477</v>
      </c>
    </row>
    <row r="12" spans="1:6" s="50" customFormat="1" ht="11.25" customHeight="1" x14ac:dyDescent="0.25">
      <c r="B12" s="248"/>
      <c r="C12" s="247"/>
      <c r="E12" s="377"/>
      <c r="F12" s="377"/>
    </row>
    <row r="13" spans="1:6" s="50" customFormat="1" ht="21" customHeight="1" x14ac:dyDescent="0.25">
      <c r="B13" s="248"/>
      <c r="C13" s="247" t="s">
        <v>830</v>
      </c>
      <c r="E13" s="377"/>
      <c r="F13" s="378" t="s">
        <v>478</v>
      </c>
    </row>
    <row r="14" spans="1:6" s="50" customFormat="1" ht="11.25" customHeight="1" x14ac:dyDescent="0.25">
      <c r="B14" s="248"/>
      <c r="C14" s="248"/>
      <c r="E14" s="377"/>
      <c r="F14" s="377"/>
    </row>
    <row r="15" spans="1:6" s="50" customFormat="1" ht="25.5" customHeight="1" x14ac:dyDescent="0.25">
      <c r="B15" s="248"/>
      <c r="C15" s="247" t="s">
        <v>148</v>
      </c>
      <c r="E15" s="377"/>
      <c r="F15" s="378" t="s">
        <v>526</v>
      </c>
    </row>
    <row r="16" spans="1:6" s="50" customFormat="1" ht="12" customHeight="1" x14ac:dyDescent="0.25">
      <c r="B16" s="248"/>
      <c r="C16" s="247"/>
      <c r="E16" s="377"/>
      <c r="F16" s="377"/>
    </row>
    <row r="17" spans="2:7" s="50" customFormat="1" ht="21" customHeight="1" x14ac:dyDescent="0.25">
      <c r="B17" s="248"/>
      <c r="C17" s="247" t="s">
        <v>462</v>
      </c>
      <c r="E17" s="377"/>
      <c r="F17" s="378" t="s">
        <v>404</v>
      </c>
    </row>
    <row r="18" spans="2:7" s="50" customFormat="1" ht="12" customHeight="1" x14ac:dyDescent="0.25">
      <c r="B18" s="248"/>
      <c r="C18" s="247"/>
      <c r="E18" s="377"/>
      <c r="F18" s="377"/>
    </row>
    <row r="19" spans="2:7" s="50" customFormat="1" ht="21" customHeight="1" x14ac:dyDescent="0.25">
      <c r="E19" s="377"/>
      <c r="F19" s="378" t="s">
        <v>293</v>
      </c>
    </row>
    <row r="20" spans="2:7" s="50" customFormat="1" ht="12" customHeight="1" x14ac:dyDescent="0.25">
      <c r="E20" s="377"/>
      <c r="F20" s="377"/>
    </row>
    <row r="21" spans="2:7" s="50" customFormat="1" ht="21" customHeight="1" x14ac:dyDescent="0.25">
      <c r="E21" s="377"/>
      <c r="F21" s="378" t="s">
        <v>398</v>
      </c>
    </row>
    <row r="22" spans="2:7" s="50" customFormat="1" ht="8.25" customHeight="1" x14ac:dyDescent="0.25">
      <c r="E22" s="377"/>
      <c r="F22" s="377"/>
    </row>
    <row r="23" spans="2:7" s="50" customFormat="1" ht="21" customHeight="1" x14ac:dyDescent="0.25">
      <c r="E23" s="377"/>
      <c r="F23" s="378" t="s">
        <v>397</v>
      </c>
    </row>
    <row r="24" spans="2:7" s="50" customFormat="1" ht="21" customHeight="1" x14ac:dyDescent="0.25"/>
    <row r="25" spans="2:7" s="50" customFormat="1" ht="21" customHeight="1" x14ac:dyDescent="0.25"/>
    <row r="26" spans="2:7" s="50" customFormat="1" ht="21" customHeight="1" x14ac:dyDescent="0.25"/>
    <row r="27" spans="2:7" s="50" customFormat="1" ht="21" customHeight="1" x14ac:dyDescent="0.25"/>
    <row r="28" spans="2:7" s="50" customFormat="1" ht="21" customHeight="1" x14ac:dyDescent="0.25"/>
    <row r="29" spans="2:7" x14ac:dyDescent="0.25">
      <c r="B29" s="50"/>
      <c r="C29" s="50"/>
      <c r="D29" s="50"/>
      <c r="E29" s="50"/>
      <c r="F29" s="50"/>
      <c r="G29" s="50"/>
    </row>
    <row r="30" spans="2:7" x14ac:dyDescent="0.25">
      <c r="B30" s="50"/>
      <c r="C30" s="50"/>
      <c r="D30" s="50"/>
      <c r="E30" s="50"/>
      <c r="F30" s="50"/>
      <c r="G30" s="50"/>
    </row>
    <row r="31" spans="2:7" x14ac:dyDescent="0.25">
      <c r="E31" s="50"/>
      <c r="F31" s="50"/>
      <c r="G31" s="50"/>
    </row>
    <row r="32" spans="2:7" x14ac:dyDescent="0.25">
      <c r="E32" s="50"/>
      <c r="F32" s="50"/>
      <c r="G32" s="50"/>
    </row>
    <row r="33" spans="5:6" x14ac:dyDescent="0.25">
      <c r="E33" s="50"/>
      <c r="F33" s="50"/>
    </row>
    <row r="34" spans="5:6" x14ac:dyDescent="0.25">
      <c r="E34" s="50"/>
      <c r="F34" s="50"/>
    </row>
  </sheetData>
  <mergeCells count="2">
    <mergeCell ref="B3:C3"/>
    <mergeCell ref="E3:F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DriveTrainForces">
                <anchor moveWithCells="1" sizeWithCells="1">
                  <from>
                    <xdr:col>4</xdr:col>
                    <xdr:colOff>104775</xdr:colOff>
                    <xdr:row>8</xdr:row>
                    <xdr:rowOff>47625</xdr:rowOff>
                  </from>
                  <to>
                    <xdr:col>4</xdr:col>
                    <xdr:colOff>419100</xdr:colOff>
                    <xdr:row>9</xdr:row>
                    <xdr:rowOff>0</xdr:rowOff>
                  </to>
                </anchor>
              </controlPr>
            </control>
          </mc:Choice>
        </mc:AlternateContent>
        <mc:AlternateContent xmlns:mc="http://schemas.openxmlformats.org/markup-compatibility/2006">
          <mc:Choice Requires="x14">
            <control shapeId="12290" r:id="rId4" name="Button 2">
              <controlPr defaultSize="0" print="0" autoFill="0" autoPict="0" macro="[0]!SprocketDistance">
                <anchor moveWithCells="1" sizeWithCells="1">
                  <from>
                    <xdr:col>4</xdr:col>
                    <xdr:colOff>114300</xdr:colOff>
                    <xdr:row>4</xdr:row>
                    <xdr:rowOff>19050</xdr:rowOff>
                  </from>
                  <to>
                    <xdr:col>4</xdr:col>
                    <xdr:colOff>428625</xdr:colOff>
                    <xdr:row>5</xdr:row>
                    <xdr:rowOff>0</xdr:rowOff>
                  </to>
                </anchor>
              </controlPr>
            </control>
          </mc:Choice>
        </mc:AlternateContent>
        <mc:AlternateContent xmlns:mc="http://schemas.openxmlformats.org/markup-compatibility/2006">
          <mc:Choice Requires="x14">
            <control shapeId="12291" r:id="rId5" name="Button 3">
              <controlPr defaultSize="0" print="0" autoFill="0" autoPict="0" macro="[0]!Units">
                <anchor moveWithCells="1" sizeWithCells="1">
                  <from>
                    <xdr:col>1</xdr:col>
                    <xdr:colOff>114300</xdr:colOff>
                    <xdr:row>4</xdr:row>
                    <xdr:rowOff>0</xdr:rowOff>
                  </from>
                  <to>
                    <xdr:col>1</xdr:col>
                    <xdr:colOff>428625</xdr:colOff>
                    <xdr:row>5</xdr:row>
                    <xdr:rowOff>0</xdr:rowOff>
                  </to>
                </anchor>
              </controlPr>
            </control>
          </mc:Choice>
        </mc:AlternateContent>
        <mc:AlternateContent xmlns:mc="http://schemas.openxmlformats.org/markup-compatibility/2006">
          <mc:Choice Requires="x14">
            <control shapeId="12292" r:id="rId6" name="Button 4">
              <controlPr defaultSize="0" print="0" autoFill="0" autoPict="0" macro="[0]!bimba">
                <anchor moveWithCells="1" sizeWithCells="1">
                  <from>
                    <xdr:col>1</xdr:col>
                    <xdr:colOff>114300</xdr:colOff>
                    <xdr:row>14</xdr:row>
                    <xdr:rowOff>19050</xdr:rowOff>
                  </from>
                  <to>
                    <xdr:col>1</xdr:col>
                    <xdr:colOff>428625</xdr:colOff>
                    <xdr:row>14</xdr:row>
                    <xdr:rowOff>247650</xdr:rowOff>
                  </to>
                </anchor>
              </controlPr>
            </control>
          </mc:Choice>
        </mc:AlternateContent>
        <mc:AlternateContent xmlns:mc="http://schemas.openxmlformats.org/markup-compatibility/2006">
          <mc:Choice Requires="x14">
            <control shapeId="12294" r:id="rId7" name="Button 6">
              <controlPr defaultSize="0" print="0" autoFill="0" autoPict="0" macro="[0]!frc_motors">
                <anchor moveWithCells="1" sizeWithCells="1">
                  <from>
                    <xdr:col>1</xdr:col>
                    <xdr:colOff>114300</xdr:colOff>
                    <xdr:row>8</xdr:row>
                    <xdr:rowOff>19050</xdr:rowOff>
                  </from>
                  <to>
                    <xdr:col>1</xdr:col>
                    <xdr:colOff>428625</xdr:colOff>
                    <xdr:row>8</xdr:row>
                    <xdr:rowOff>247650</xdr:rowOff>
                  </to>
                </anchor>
              </controlPr>
            </control>
          </mc:Choice>
        </mc:AlternateContent>
        <mc:AlternateContent xmlns:mc="http://schemas.openxmlformats.org/markup-compatibility/2006">
          <mc:Choice Requires="x14">
            <control shapeId="12295" r:id="rId8" name="Button 7">
              <controlPr defaultSize="0" print="0" autoFill="0" autoPict="0" macro="[0]!perf_curve">
                <anchor moveWithCells="1" sizeWithCells="1">
                  <from>
                    <xdr:col>1</xdr:col>
                    <xdr:colOff>114300</xdr:colOff>
                    <xdr:row>10</xdr:row>
                    <xdr:rowOff>19050</xdr:rowOff>
                  </from>
                  <to>
                    <xdr:col>1</xdr:col>
                    <xdr:colOff>428625</xdr:colOff>
                    <xdr:row>10</xdr:row>
                    <xdr:rowOff>247650</xdr:rowOff>
                  </to>
                </anchor>
              </controlPr>
            </control>
          </mc:Choice>
        </mc:AlternateContent>
        <mc:AlternateContent xmlns:mc="http://schemas.openxmlformats.org/markup-compatibility/2006">
          <mc:Choice Requires="x14">
            <control shapeId="12296" r:id="rId9" name="Button 8">
              <controlPr defaultSize="0" print="0" autoFill="0" autoPict="0" macro="[0]!gear_calc">
                <anchor moveWithCells="1" sizeWithCells="1">
                  <from>
                    <xdr:col>4</xdr:col>
                    <xdr:colOff>114300</xdr:colOff>
                    <xdr:row>6</xdr:row>
                    <xdr:rowOff>19050</xdr:rowOff>
                  </from>
                  <to>
                    <xdr:col>4</xdr:col>
                    <xdr:colOff>428625</xdr:colOff>
                    <xdr:row>6</xdr:row>
                    <xdr:rowOff>247650</xdr:rowOff>
                  </to>
                </anchor>
              </controlPr>
            </control>
          </mc:Choice>
        </mc:AlternateContent>
        <mc:AlternateContent xmlns:mc="http://schemas.openxmlformats.org/markup-compatibility/2006">
          <mc:Choice Requires="x14">
            <control shapeId="12297" r:id="rId10" name="Button 9">
              <controlPr defaultSize="0" print="0" autoFill="0" autoPict="0" macro="[0]!rotate_device_motor">
                <anchor moveWithCells="1" sizeWithCells="1">
                  <from>
                    <xdr:col>4</xdr:col>
                    <xdr:colOff>114300</xdr:colOff>
                    <xdr:row>18</xdr:row>
                    <xdr:rowOff>19050</xdr:rowOff>
                  </from>
                  <to>
                    <xdr:col>4</xdr:col>
                    <xdr:colOff>428625</xdr:colOff>
                    <xdr:row>18</xdr:row>
                    <xdr:rowOff>247650</xdr:rowOff>
                  </to>
                </anchor>
              </controlPr>
            </control>
          </mc:Choice>
        </mc:AlternateContent>
        <mc:AlternateContent xmlns:mc="http://schemas.openxmlformats.org/markup-compatibility/2006">
          <mc:Choice Requires="x14">
            <control shapeId="12298" r:id="rId11" name="Button 10">
              <controlPr defaultSize="0" print="0" autoFill="0" autoPict="0" macro="[0]!toggle">
                <anchor moveWithCells="1" sizeWithCells="1">
                  <from>
                    <xdr:col>4</xdr:col>
                    <xdr:colOff>114300</xdr:colOff>
                    <xdr:row>22</xdr:row>
                    <xdr:rowOff>19050</xdr:rowOff>
                  </from>
                  <to>
                    <xdr:col>4</xdr:col>
                    <xdr:colOff>428625</xdr:colOff>
                    <xdr:row>22</xdr:row>
                    <xdr:rowOff>247650</xdr:rowOff>
                  </to>
                </anchor>
              </controlPr>
            </control>
          </mc:Choice>
        </mc:AlternateContent>
        <mc:AlternateContent xmlns:mc="http://schemas.openxmlformats.org/markup-compatibility/2006">
          <mc:Choice Requires="x14">
            <control shapeId="12299" r:id="rId12" name="Button 11">
              <controlPr defaultSize="0" print="0" autoFill="0" autoPict="0" macro="[0]!rotating_arm">
                <anchor moveWithCells="1" sizeWithCells="1">
                  <from>
                    <xdr:col>4</xdr:col>
                    <xdr:colOff>114300</xdr:colOff>
                    <xdr:row>20</xdr:row>
                    <xdr:rowOff>19050</xdr:rowOff>
                  </from>
                  <to>
                    <xdr:col>4</xdr:col>
                    <xdr:colOff>428625</xdr:colOff>
                    <xdr:row>20</xdr:row>
                    <xdr:rowOff>247650</xdr:rowOff>
                  </to>
                </anchor>
              </controlPr>
            </control>
          </mc:Choice>
        </mc:AlternateContent>
        <mc:AlternateContent xmlns:mc="http://schemas.openxmlformats.org/markup-compatibility/2006">
          <mc:Choice Requires="x14">
            <control shapeId="12300" r:id="rId13" name="Button 12">
              <controlPr defaultSize="0" print="0" autoFill="0" autoPict="0" macro="[0]!sprocket_dim">
                <anchor moveWithCells="1" sizeWithCells="1">
                  <from>
                    <xdr:col>1</xdr:col>
                    <xdr:colOff>114300</xdr:colOff>
                    <xdr:row>16</xdr:row>
                    <xdr:rowOff>19050</xdr:rowOff>
                  </from>
                  <to>
                    <xdr:col>1</xdr:col>
                    <xdr:colOff>428625</xdr:colOff>
                    <xdr:row>16</xdr:row>
                    <xdr:rowOff>247650</xdr:rowOff>
                  </to>
                </anchor>
              </controlPr>
            </control>
          </mc:Choice>
        </mc:AlternateContent>
        <mc:AlternateContent xmlns:mc="http://schemas.openxmlformats.org/markup-compatibility/2006">
          <mc:Choice Requires="x14">
            <control shapeId="12304" r:id="rId14" name="Button 16">
              <controlPr defaultSize="0" print="0" autoFill="0" autoPict="0" macro="[0]!linear_device">
                <anchor moveWithCells="1" sizeWithCells="1">
                  <from>
                    <xdr:col>4</xdr:col>
                    <xdr:colOff>114300</xdr:colOff>
                    <xdr:row>16</xdr:row>
                    <xdr:rowOff>19050</xdr:rowOff>
                  </from>
                  <to>
                    <xdr:col>4</xdr:col>
                    <xdr:colOff>428625</xdr:colOff>
                    <xdr:row>16</xdr:row>
                    <xdr:rowOff>247650</xdr:rowOff>
                  </to>
                </anchor>
              </controlPr>
            </control>
          </mc:Choice>
        </mc:AlternateContent>
        <mc:AlternateContent xmlns:mc="http://schemas.openxmlformats.org/markup-compatibility/2006">
          <mc:Choice Requires="x14">
            <control shapeId="12305" r:id="rId15" name="Button 17">
              <controlPr defaultSize="0" print="0" autoFill="0" autoPict="0" macro="[0]!JVN_2">
                <anchor moveWithCells="1" sizeWithCells="1">
                  <from>
                    <xdr:col>4</xdr:col>
                    <xdr:colOff>114300</xdr:colOff>
                    <xdr:row>12</xdr:row>
                    <xdr:rowOff>19050</xdr:rowOff>
                  </from>
                  <to>
                    <xdr:col>4</xdr:col>
                    <xdr:colOff>428625</xdr:colOff>
                    <xdr:row>12</xdr:row>
                    <xdr:rowOff>247650</xdr:rowOff>
                  </to>
                </anchor>
              </controlPr>
            </control>
          </mc:Choice>
        </mc:AlternateContent>
        <mc:AlternateContent xmlns:mc="http://schemas.openxmlformats.org/markup-compatibility/2006">
          <mc:Choice Requires="x14">
            <control shapeId="12306" r:id="rId16" name="Button 18">
              <controlPr defaultSize="0" print="0" autoFill="0" autoPict="0" macro="[0]!JVN_1">
                <anchor moveWithCells="1" sizeWithCells="1">
                  <from>
                    <xdr:col>4</xdr:col>
                    <xdr:colOff>114300</xdr:colOff>
                    <xdr:row>10</xdr:row>
                    <xdr:rowOff>19050</xdr:rowOff>
                  </from>
                  <to>
                    <xdr:col>4</xdr:col>
                    <xdr:colOff>428625</xdr:colOff>
                    <xdr:row>10</xdr:row>
                    <xdr:rowOff>247650</xdr:rowOff>
                  </to>
                </anchor>
              </controlPr>
            </control>
          </mc:Choice>
        </mc:AlternateContent>
        <mc:AlternateContent xmlns:mc="http://schemas.openxmlformats.org/markup-compatibility/2006">
          <mc:Choice Requires="x14">
            <control shapeId="12307" r:id="rId17" name="Button 19">
              <controlPr defaultSize="0" print="0" autoFill="0" autoPict="0" macro="[0]!JesseK_DT">
                <anchor moveWithCells="1" sizeWithCells="1">
                  <from>
                    <xdr:col>4</xdr:col>
                    <xdr:colOff>114300</xdr:colOff>
                    <xdr:row>14</xdr:row>
                    <xdr:rowOff>19050</xdr:rowOff>
                  </from>
                  <to>
                    <xdr:col>4</xdr:col>
                    <xdr:colOff>428625</xdr:colOff>
                    <xdr:row>14</xdr:row>
                    <xdr:rowOff>247650</xdr:rowOff>
                  </to>
                </anchor>
              </controlPr>
            </control>
          </mc:Choice>
        </mc:AlternateContent>
        <mc:AlternateContent xmlns:mc="http://schemas.openxmlformats.org/markup-compatibility/2006">
          <mc:Choice Requires="x14">
            <control shapeId="12308" r:id="rId18" name="Button 20">
              <controlPr defaultSize="0" print="0" autoFill="0" autoPict="0" macro="[0]!Resource">
                <anchor moveWithCells="1" sizeWithCells="1">
                  <from>
                    <xdr:col>1</xdr:col>
                    <xdr:colOff>114300</xdr:colOff>
                    <xdr:row>6</xdr:row>
                    <xdr:rowOff>19050</xdr:rowOff>
                  </from>
                  <to>
                    <xdr:col>1</xdr:col>
                    <xdr:colOff>428625</xdr:colOff>
                    <xdr:row>6</xdr:row>
                    <xdr:rowOff>247650</xdr:rowOff>
                  </to>
                </anchor>
              </controlPr>
            </control>
          </mc:Choice>
        </mc:AlternateContent>
        <mc:AlternateContent xmlns:mc="http://schemas.openxmlformats.org/markup-compatibility/2006">
          <mc:Choice Requires="x14">
            <control shapeId="12309" r:id="rId19" name="Button 21">
              <controlPr defaultSize="0" print="0" autoFill="0" autoPict="0" macro="[0]!motor_eq">
                <anchor moveWithCells="1" sizeWithCells="1">
                  <from>
                    <xdr:col>1</xdr:col>
                    <xdr:colOff>114300</xdr:colOff>
                    <xdr:row>12</xdr:row>
                    <xdr:rowOff>19050</xdr:rowOff>
                  </from>
                  <to>
                    <xdr:col>1</xdr:col>
                    <xdr:colOff>428625</xdr:colOff>
                    <xdr:row>12</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F0"/>
  </sheetPr>
  <dimension ref="A1:M63"/>
  <sheetViews>
    <sheetView showGridLines="0" workbookViewId="0">
      <pane ySplit="3" topLeftCell="A4" activePane="bottomLeft" state="frozen"/>
      <selection pane="bottomLeft" activeCell="K14" sqref="K14"/>
    </sheetView>
  </sheetViews>
  <sheetFormatPr defaultRowHeight="15" x14ac:dyDescent="0.25"/>
  <cols>
    <col min="1" max="1" width="15.42578125" customWidth="1"/>
    <col min="2" max="2" width="13.28515625" customWidth="1"/>
    <col min="3" max="3" width="7.42578125" customWidth="1"/>
    <col min="4" max="4" width="13.7109375" customWidth="1"/>
    <col min="5" max="5" width="14.5703125" customWidth="1"/>
    <col min="6" max="6" width="9.140625" hidden="1" customWidth="1"/>
    <col min="7" max="7" width="2.5703125" hidden="1" customWidth="1"/>
    <col min="8" max="8" width="18.28515625" hidden="1" customWidth="1"/>
    <col min="9" max="9" width="12.85546875" hidden="1" customWidth="1"/>
    <col min="10" max="10" width="8.5703125" customWidth="1"/>
    <col min="12" max="12" width="11.28515625" customWidth="1"/>
    <col min="13" max="13" width="11.42578125" customWidth="1"/>
    <col min="14" max="14" width="13.28515625" customWidth="1"/>
    <col min="265" max="265" width="12.85546875" bestFit="1" customWidth="1"/>
    <col min="266" max="266" width="4.7109375" customWidth="1"/>
    <col min="268" max="268" width="11.28515625" customWidth="1"/>
    <col min="270" max="270" width="13.28515625" customWidth="1"/>
    <col min="521" max="521" width="12.85546875" bestFit="1" customWidth="1"/>
    <col min="522" max="522" width="4.7109375" customWidth="1"/>
    <col min="524" max="524" width="11.28515625" customWidth="1"/>
    <col min="526" max="526" width="13.28515625" customWidth="1"/>
    <col min="777" max="777" width="12.85546875" bestFit="1" customWidth="1"/>
    <col min="778" max="778" width="4.7109375" customWidth="1"/>
    <col min="780" max="780" width="11.28515625" customWidth="1"/>
    <col min="782" max="782" width="13.28515625" customWidth="1"/>
    <col min="1033" max="1033" width="12.85546875" bestFit="1" customWidth="1"/>
    <col min="1034" max="1034" width="4.7109375" customWidth="1"/>
    <col min="1036" max="1036" width="11.28515625" customWidth="1"/>
    <col min="1038" max="1038" width="13.28515625" customWidth="1"/>
    <col min="1289" max="1289" width="12.85546875" bestFit="1" customWidth="1"/>
    <col min="1290" max="1290" width="4.7109375" customWidth="1"/>
    <col min="1292" max="1292" width="11.28515625" customWidth="1"/>
    <col min="1294" max="1294" width="13.28515625" customWidth="1"/>
    <col min="1545" max="1545" width="12.85546875" bestFit="1" customWidth="1"/>
    <col min="1546" max="1546" width="4.7109375" customWidth="1"/>
    <col min="1548" max="1548" width="11.28515625" customWidth="1"/>
    <col min="1550" max="1550" width="13.28515625" customWidth="1"/>
    <col min="1801" max="1801" width="12.85546875" bestFit="1" customWidth="1"/>
    <col min="1802" max="1802" width="4.7109375" customWidth="1"/>
    <col min="1804" max="1804" width="11.28515625" customWidth="1"/>
    <col min="1806" max="1806" width="13.28515625" customWidth="1"/>
    <col min="2057" max="2057" width="12.85546875" bestFit="1" customWidth="1"/>
    <col min="2058" max="2058" width="4.7109375" customWidth="1"/>
    <col min="2060" max="2060" width="11.28515625" customWidth="1"/>
    <col min="2062" max="2062" width="13.28515625" customWidth="1"/>
    <col min="2313" max="2313" width="12.85546875" bestFit="1" customWidth="1"/>
    <col min="2314" max="2314" width="4.7109375" customWidth="1"/>
    <col min="2316" max="2316" width="11.28515625" customWidth="1"/>
    <col min="2318" max="2318" width="13.28515625" customWidth="1"/>
    <col min="2569" max="2569" width="12.85546875" bestFit="1" customWidth="1"/>
    <col min="2570" max="2570" width="4.7109375" customWidth="1"/>
    <col min="2572" max="2572" width="11.28515625" customWidth="1"/>
    <col min="2574" max="2574" width="13.28515625" customWidth="1"/>
    <col min="2825" max="2825" width="12.85546875" bestFit="1" customWidth="1"/>
    <col min="2826" max="2826" width="4.7109375" customWidth="1"/>
    <col min="2828" max="2828" width="11.28515625" customWidth="1"/>
    <col min="2830" max="2830" width="13.28515625" customWidth="1"/>
    <col min="3081" max="3081" width="12.85546875" bestFit="1" customWidth="1"/>
    <col min="3082" max="3082" width="4.7109375" customWidth="1"/>
    <col min="3084" max="3084" width="11.28515625" customWidth="1"/>
    <col min="3086" max="3086" width="13.28515625" customWidth="1"/>
    <col min="3337" max="3337" width="12.85546875" bestFit="1" customWidth="1"/>
    <col min="3338" max="3338" width="4.7109375" customWidth="1"/>
    <col min="3340" max="3340" width="11.28515625" customWidth="1"/>
    <col min="3342" max="3342" width="13.28515625" customWidth="1"/>
    <col min="3593" max="3593" width="12.85546875" bestFit="1" customWidth="1"/>
    <col min="3594" max="3594" width="4.7109375" customWidth="1"/>
    <col min="3596" max="3596" width="11.28515625" customWidth="1"/>
    <col min="3598" max="3598" width="13.28515625" customWidth="1"/>
    <col min="3849" max="3849" width="12.85546875" bestFit="1" customWidth="1"/>
    <col min="3850" max="3850" width="4.7109375" customWidth="1"/>
    <col min="3852" max="3852" width="11.28515625" customWidth="1"/>
    <col min="3854" max="3854" width="13.28515625" customWidth="1"/>
    <col min="4105" max="4105" width="12.85546875" bestFit="1" customWidth="1"/>
    <col min="4106" max="4106" width="4.7109375" customWidth="1"/>
    <col min="4108" max="4108" width="11.28515625" customWidth="1"/>
    <col min="4110" max="4110" width="13.28515625" customWidth="1"/>
    <col min="4361" max="4361" width="12.85546875" bestFit="1" customWidth="1"/>
    <col min="4362" max="4362" width="4.7109375" customWidth="1"/>
    <col min="4364" max="4364" width="11.28515625" customWidth="1"/>
    <col min="4366" max="4366" width="13.28515625" customWidth="1"/>
    <col min="4617" max="4617" width="12.85546875" bestFit="1" customWidth="1"/>
    <col min="4618" max="4618" width="4.7109375" customWidth="1"/>
    <col min="4620" max="4620" width="11.28515625" customWidth="1"/>
    <col min="4622" max="4622" width="13.28515625" customWidth="1"/>
    <col min="4873" max="4873" width="12.85546875" bestFit="1" customWidth="1"/>
    <col min="4874" max="4874" width="4.7109375" customWidth="1"/>
    <col min="4876" max="4876" width="11.28515625" customWidth="1"/>
    <col min="4878" max="4878" width="13.28515625" customWidth="1"/>
    <col min="5129" max="5129" width="12.85546875" bestFit="1" customWidth="1"/>
    <col min="5130" max="5130" width="4.7109375" customWidth="1"/>
    <col min="5132" max="5132" width="11.28515625" customWidth="1"/>
    <col min="5134" max="5134" width="13.28515625" customWidth="1"/>
    <col min="5385" max="5385" width="12.85546875" bestFit="1" customWidth="1"/>
    <col min="5386" max="5386" width="4.7109375" customWidth="1"/>
    <col min="5388" max="5388" width="11.28515625" customWidth="1"/>
    <col min="5390" max="5390" width="13.28515625" customWidth="1"/>
    <col min="5641" max="5641" width="12.85546875" bestFit="1" customWidth="1"/>
    <col min="5642" max="5642" width="4.7109375" customWidth="1"/>
    <col min="5644" max="5644" width="11.28515625" customWidth="1"/>
    <col min="5646" max="5646" width="13.28515625" customWidth="1"/>
    <col min="5897" max="5897" width="12.85546875" bestFit="1" customWidth="1"/>
    <col min="5898" max="5898" width="4.7109375" customWidth="1"/>
    <col min="5900" max="5900" width="11.28515625" customWidth="1"/>
    <col min="5902" max="5902" width="13.28515625" customWidth="1"/>
    <col min="6153" max="6153" width="12.85546875" bestFit="1" customWidth="1"/>
    <col min="6154" max="6154" width="4.7109375" customWidth="1"/>
    <col min="6156" max="6156" width="11.28515625" customWidth="1"/>
    <col min="6158" max="6158" width="13.28515625" customWidth="1"/>
    <col min="6409" max="6409" width="12.85546875" bestFit="1" customWidth="1"/>
    <col min="6410" max="6410" width="4.7109375" customWidth="1"/>
    <col min="6412" max="6412" width="11.28515625" customWidth="1"/>
    <col min="6414" max="6414" width="13.28515625" customWidth="1"/>
    <col min="6665" max="6665" width="12.85546875" bestFit="1" customWidth="1"/>
    <col min="6666" max="6666" width="4.7109375" customWidth="1"/>
    <col min="6668" max="6668" width="11.28515625" customWidth="1"/>
    <col min="6670" max="6670" width="13.28515625" customWidth="1"/>
    <col min="6921" max="6921" width="12.85546875" bestFit="1" customWidth="1"/>
    <col min="6922" max="6922" width="4.7109375" customWidth="1"/>
    <col min="6924" max="6924" width="11.28515625" customWidth="1"/>
    <col min="6926" max="6926" width="13.28515625" customWidth="1"/>
    <col min="7177" max="7177" width="12.85546875" bestFit="1" customWidth="1"/>
    <col min="7178" max="7178" width="4.7109375" customWidth="1"/>
    <col min="7180" max="7180" width="11.28515625" customWidth="1"/>
    <col min="7182" max="7182" width="13.28515625" customWidth="1"/>
    <col min="7433" max="7433" width="12.85546875" bestFit="1" customWidth="1"/>
    <col min="7434" max="7434" width="4.7109375" customWidth="1"/>
    <col min="7436" max="7436" width="11.28515625" customWidth="1"/>
    <col min="7438" max="7438" width="13.28515625" customWidth="1"/>
    <col min="7689" max="7689" width="12.85546875" bestFit="1" customWidth="1"/>
    <col min="7690" max="7690" width="4.7109375" customWidth="1"/>
    <col min="7692" max="7692" width="11.28515625" customWidth="1"/>
    <col min="7694" max="7694" width="13.28515625" customWidth="1"/>
    <col min="7945" max="7945" width="12.85546875" bestFit="1" customWidth="1"/>
    <col min="7946" max="7946" width="4.7109375" customWidth="1"/>
    <col min="7948" max="7948" width="11.28515625" customWidth="1"/>
    <col min="7950" max="7950" width="13.28515625" customWidth="1"/>
    <col min="8201" max="8201" width="12.85546875" bestFit="1" customWidth="1"/>
    <col min="8202" max="8202" width="4.7109375" customWidth="1"/>
    <col min="8204" max="8204" width="11.28515625" customWidth="1"/>
    <col min="8206" max="8206" width="13.28515625" customWidth="1"/>
    <col min="8457" max="8457" width="12.85546875" bestFit="1" customWidth="1"/>
    <col min="8458" max="8458" width="4.7109375" customWidth="1"/>
    <col min="8460" max="8460" width="11.28515625" customWidth="1"/>
    <col min="8462" max="8462" width="13.28515625" customWidth="1"/>
    <col min="8713" max="8713" width="12.85546875" bestFit="1" customWidth="1"/>
    <col min="8714" max="8714" width="4.7109375" customWidth="1"/>
    <col min="8716" max="8716" width="11.28515625" customWidth="1"/>
    <col min="8718" max="8718" width="13.28515625" customWidth="1"/>
    <col min="8969" max="8969" width="12.85546875" bestFit="1" customWidth="1"/>
    <col min="8970" max="8970" width="4.7109375" customWidth="1"/>
    <col min="8972" max="8972" width="11.28515625" customWidth="1"/>
    <col min="8974" max="8974" width="13.28515625" customWidth="1"/>
    <col min="9225" max="9225" width="12.85546875" bestFit="1" customWidth="1"/>
    <col min="9226" max="9226" width="4.7109375" customWidth="1"/>
    <col min="9228" max="9228" width="11.28515625" customWidth="1"/>
    <col min="9230" max="9230" width="13.28515625" customWidth="1"/>
    <col min="9481" max="9481" width="12.85546875" bestFit="1" customWidth="1"/>
    <col min="9482" max="9482" width="4.7109375" customWidth="1"/>
    <col min="9484" max="9484" width="11.28515625" customWidth="1"/>
    <col min="9486" max="9486" width="13.28515625" customWidth="1"/>
    <col min="9737" max="9737" width="12.85546875" bestFit="1" customWidth="1"/>
    <col min="9738" max="9738" width="4.7109375" customWidth="1"/>
    <col min="9740" max="9740" width="11.28515625" customWidth="1"/>
    <col min="9742" max="9742" width="13.28515625" customWidth="1"/>
    <col min="9993" max="9993" width="12.85546875" bestFit="1" customWidth="1"/>
    <col min="9994" max="9994" width="4.7109375" customWidth="1"/>
    <col min="9996" max="9996" width="11.28515625" customWidth="1"/>
    <col min="9998" max="9998" width="13.28515625" customWidth="1"/>
    <col min="10249" max="10249" width="12.85546875" bestFit="1" customWidth="1"/>
    <col min="10250" max="10250" width="4.7109375" customWidth="1"/>
    <col min="10252" max="10252" width="11.28515625" customWidth="1"/>
    <col min="10254" max="10254" width="13.28515625" customWidth="1"/>
    <col min="10505" max="10505" width="12.85546875" bestFit="1" customWidth="1"/>
    <col min="10506" max="10506" width="4.7109375" customWidth="1"/>
    <col min="10508" max="10508" width="11.28515625" customWidth="1"/>
    <col min="10510" max="10510" width="13.28515625" customWidth="1"/>
    <col min="10761" max="10761" width="12.85546875" bestFit="1" customWidth="1"/>
    <col min="10762" max="10762" width="4.7109375" customWidth="1"/>
    <col min="10764" max="10764" width="11.28515625" customWidth="1"/>
    <col min="10766" max="10766" width="13.28515625" customWidth="1"/>
    <col min="11017" max="11017" width="12.85546875" bestFit="1" customWidth="1"/>
    <col min="11018" max="11018" width="4.7109375" customWidth="1"/>
    <col min="11020" max="11020" width="11.28515625" customWidth="1"/>
    <col min="11022" max="11022" width="13.28515625" customWidth="1"/>
    <col min="11273" max="11273" width="12.85546875" bestFit="1" customWidth="1"/>
    <col min="11274" max="11274" width="4.7109375" customWidth="1"/>
    <col min="11276" max="11276" width="11.28515625" customWidth="1"/>
    <col min="11278" max="11278" width="13.28515625" customWidth="1"/>
    <col min="11529" max="11529" width="12.85546875" bestFit="1" customWidth="1"/>
    <col min="11530" max="11530" width="4.7109375" customWidth="1"/>
    <col min="11532" max="11532" width="11.28515625" customWidth="1"/>
    <col min="11534" max="11534" width="13.28515625" customWidth="1"/>
    <col min="11785" max="11785" width="12.85546875" bestFit="1" customWidth="1"/>
    <col min="11786" max="11786" width="4.7109375" customWidth="1"/>
    <col min="11788" max="11788" width="11.28515625" customWidth="1"/>
    <col min="11790" max="11790" width="13.28515625" customWidth="1"/>
    <col min="12041" max="12041" width="12.85546875" bestFit="1" customWidth="1"/>
    <col min="12042" max="12042" width="4.7109375" customWidth="1"/>
    <col min="12044" max="12044" width="11.28515625" customWidth="1"/>
    <col min="12046" max="12046" width="13.28515625" customWidth="1"/>
    <col min="12297" max="12297" width="12.85546875" bestFit="1" customWidth="1"/>
    <col min="12298" max="12298" width="4.7109375" customWidth="1"/>
    <col min="12300" max="12300" width="11.28515625" customWidth="1"/>
    <col min="12302" max="12302" width="13.28515625" customWidth="1"/>
    <col min="12553" max="12553" width="12.85546875" bestFit="1" customWidth="1"/>
    <col min="12554" max="12554" width="4.7109375" customWidth="1"/>
    <col min="12556" max="12556" width="11.28515625" customWidth="1"/>
    <col min="12558" max="12558" width="13.28515625" customWidth="1"/>
    <col min="12809" max="12809" width="12.85546875" bestFit="1" customWidth="1"/>
    <col min="12810" max="12810" width="4.7109375" customWidth="1"/>
    <col min="12812" max="12812" width="11.28515625" customWidth="1"/>
    <col min="12814" max="12814" width="13.28515625" customWidth="1"/>
    <col min="13065" max="13065" width="12.85546875" bestFit="1" customWidth="1"/>
    <col min="13066" max="13066" width="4.7109375" customWidth="1"/>
    <col min="13068" max="13068" width="11.28515625" customWidth="1"/>
    <col min="13070" max="13070" width="13.28515625" customWidth="1"/>
    <col min="13321" max="13321" width="12.85546875" bestFit="1" customWidth="1"/>
    <col min="13322" max="13322" width="4.7109375" customWidth="1"/>
    <col min="13324" max="13324" width="11.28515625" customWidth="1"/>
    <col min="13326" max="13326" width="13.28515625" customWidth="1"/>
    <col min="13577" max="13577" width="12.85546875" bestFit="1" customWidth="1"/>
    <col min="13578" max="13578" width="4.7109375" customWidth="1"/>
    <col min="13580" max="13580" width="11.28515625" customWidth="1"/>
    <col min="13582" max="13582" width="13.28515625" customWidth="1"/>
    <col min="13833" max="13833" width="12.85546875" bestFit="1" customWidth="1"/>
    <col min="13834" max="13834" width="4.7109375" customWidth="1"/>
    <col min="13836" max="13836" width="11.28515625" customWidth="1"/>
    <col min="13838" max="13838" width="13.28515625" customWidth="1"/>
    <col min="14089" max="14089" width="12.85546875" bestFit="1" customWidth="1"/>
    <col min="14090" max="14090" width="4.7109375" customWidth="1"/>
    <col min="14092" max="14092" width="11.28515625" customWidth="1"/>
    <col min="14094" max="14094" width="13.28515625" customWidth="1"/>
    <col min="14345" max="14345" width="12.85546875" bestFit="1" customWidth="1"/>
    <col min="14346" max="14346" width="4.7109375" customWidth="1"/>
    <col min="14348" max="14348" width="11.28515625" customWidth="1"/>
    <col min="14350" max="14350" width="13.28515625" customWidth="1"/>
    <col min="14601" max="14601" width="12.85546875" bestFit="1" customWidth="1"/>
    <col min="14602" max="14602" width="4.7109375" customWidth="1"/>
    <col min="14604" max="14604" width="11.28515625" customWidth="1"/>
    <col min="14606" max="14606" width="13.28515625" customWidth="1"/>
    <col min="14857" max="14857" width="12.85546875" bestFit="1" customWidth="1"/>
    <col min="14858" max="14858" width="4.7109375" customWidth="1"/>
    <col min="14860" max="14860" width="11.28515625" customWidth="1"/>
    <col min="14862" max="14862" width="13.28515625" customWidth="1"/>
    <col min="15113" max="15113" width="12.85546875" bestFit="1" customWidth="1"/>
    <col min="15114" max="15114" width="4.7109375" customWidth="1"/>
    <col min="15116" max="15116" width="11.28515625" customWidth="1"/>
    <col min="15118" max="15118" width="13.28515625" customWidth="1"/>
    <col min="15369" max="15369" width="12.85546875" bestFit="1" customWidth="1"/>
    <col min="15370" max="15370" width="4.7109375" customWidth="1"/>
    <col min="15372" max="15372" width="11.28515625" customWidth="1"/>
    <col min="15374" max="15374" width="13.28515625" customWidth="1"/>
    <col min="15625" max="15625" width="12.85546875" bestFit="1" customWidth="1"/>
    <col min="15626" max="15626" width="4.7109375" customWidth="1"/>
    <col min="15628" max="15628" width="11.28515625" customWidth="1"/>
    <col min="15630" max="15630" width="13.28515625" customWidth="1"/>
    <col min="15881" max="15881" width="12.85546875" bestFit="1" customWidth="1"/>
    <col min="15882" max="15882" width="4.7109375" customWidth="1"/>
    <col min="15884" max="15884" width="11.28515625" customWidth="1"/>
    <col min="15886" max="15886" width="13.28515625" customWidth="1"/>
    <col min="16137" max="16137" width="12.85546875" bestFit="1" customWidth="1"/>
    <col min="16138" max="16138" width="4.7109375" customWidth="1"/>
    <col min="16140" max="16140" width="11.28515625" customWidth="1"/>
    <col min="16142" max="16142" width="13.28515625" customWidth="1"/>
  </cols>
  <sheetData>
    <row r="1" spans="1:11" ht="18" x14ac:dyDescent="0.25">
      <c r="A1" s="2" t="s">
        <v>6</v>
      </c>
    </row>
    <row r="2" spans="1:11" ht="18" x14ac:dyDescent="0.25">
      <c r="A2" s="2"/>
    </row>
    <row r="3" spans="1:11" ht="18" customHeight="1" thickBot="1" x14ac:dyDescent="0.35">
      <c r="A3" s="648" t="s">
        <v>46</v>
      </c>
      <c r="B3" s="648"/>
      <c r="C3" s="106"/>
      <c r="D3" s="648" t="s">
        <v>152</v>
      </c>
      <c r="E3" s="648"/>
      <c r="K3" s="106" t="s">
        <v>809</v>
      </c>
    </row>
    <row r="4" spans="1:11" ht="18" customHeight="1" x14ac:dyDescent="0.25">
      <c r="A4" s="649" t="s">
        <v>7</v>
      </c>
      <c r="B4" s="650"/>
      <c r="C4" s="650"/>
      <c r="D4" s="650"/>
      <c r="E4" s="651"/>
      <c r="K4" s="620" t="s">
        <v>807</v>
      </c>
    </row>
    <row r="5" spans="1:11" ht="18" customHeight="1" x14ac:dyDescent="0.25">
      <c r="A5" s="617">
        <v>1</v>
      </c>
      <c r="B5" s="618" t="s">
        <v>9</v>
      </c>
      <c r="C5" s="245" t="s">
        <v>192</v>
      </c>
      <c r="D5" s="619">
        <f>VLOOKUP(F5,H5:I15,2,FALSE)*A5</f>
        <v>4.4480000000000004</v>
      </c>
      <c r="E5" s="618" t="s">
        <v>11</v>
      </c>
      <c r="F5" t="str">
        <f>B5&amp;E5</f>
        <v>lb fN</v>
      </c>
      <c r="H5" t="s">
        <v>193</v>
      </c>
      <c r="I5">
        <v>1</v>
      </c>
      <c r="K5" s="620" t="s">
        <v>808</v>
      </c>
    </row>
    <row r="6" spans="1:11" ht="18" customHeight="1" thickBot="1" x14ac:dyDescent="0.3">
      <c r="H6" t="s">
        <v>194</v>
      </c>
      <c r="I6">
        <v>1</v>
      </c>
    </row>
    <row r="7" spans="1:11" ht="18" customHeight="1" x14ac:dyDescent="0.25">
      <c r="A7" s="649" t="s">
        <v>12</v>
      </c>
      <c r="B7" s="650"/>
      <c r="C7" s="650"/>
      <c r="D7" s="650"/>
      <c r="E7" s="651"/>
      <c r="H7" t="s">
        <v>195</v>
      </c>
      <c r="I7">
        <v>1</v>
      </c>
    </row>
    <row r="8" spans="1:11" ht="18" customHeight="1" x14ac:dyDescent="0.25">
      <c r="A8" s="617">
        <v>1</v>
      </c>
      <c r="B8" s="618" t="s">
        <v>13</v>
      </c>
      <c r="C8" s="245" t="s">
        <v>192</v>
      </c>
      <c r="D8" s="619">
        <f>VLOOKUP(F8,H18:I31,2,FALSE)*A8</f>
        <v>0.73755999999999999</v>
      </c>
      <c r="E8" s="618" t="s">
        <v>14</v>
      </c>
      <c r="F8" t="str">
        <f>B8&amp;E8</f>
        <v>Nmlbf ft</v>
      </c>
      <c r="H8" t="s">
        <v>196</v>
      </c>
      <c r="I8">
        <v>1</v>
      </c>
    </row>
    <row r="9" spans="1:11" ht="18" customHeight="1" thickBot="1" x14ac:dyDescent="0.3">
      <c r="H9" t="s">
        <v>197</v>
      </c>
      <c r="I9">
        <v>1</v>
      </c>
    </row>
    <row r="10" spans="1:11" ht="18" customHeight="1" x14ac:dyDescent="0.25">
      <c r="A10" s="649" t="s">
        <v>18</v>
      </c>
      <c r="B10" s="650"/>
      <c r="C10" s="650"/>
      <c r="D10" s="650"/>
      <c r="E10" s="651"/>
      <c r="H10" t="s">
        <v>198</v>
      </c>
      <c r="I10">
        <v>1</v>
      </c>
    </row>
    <row r="11" spans="1:11" ht="18" customHeight="1" x14ac:dyDescent="0.25">
      <c r="A11" s="617">
        <v>1</v>
      </c>
      <c r="B11" s="618" t="s">
        <v>23</v>
      </c>
      <c r="C11" s="245" t="s">
        <v>192</v>
      </c>
      <c r="D11" s="619">
        <f>VLOOKUP(F11,H33:I46,2,FALSE)*A11</f>
        <v>746</v>
      </c>
      <c r="E11" s="618" t="s">
        <v>19</v>
      </c>
      <c r="F11" t="str">
        <f>B11&amp;E11</f>
        <v>hpw</v>
      </c>
      <c r="H11" t="s">
        <v>199</v>
      </c>
      <c r="I11">
        <v>0.22481000000000001</v>
      </c>
    </row>
    <row r="12" spans="1:11" ht="18" customHeight="1" x14ac:dyDescent="0.25">
      <c r="A12" s="5" t="s">
        <v>26</v>
      </c>
      <c r="H12" t="s">
        <v>200</v>
      </c>
      <c r="I12">
        <v>4.4480000000000004</v>
      </c>
    </row>
    <row r="13" spans="1:11" ht="18" customHeight="1" thickBot="1" x14ac:dyDescent="0.3">
      <c r="H13" t="s">
        <v>201</v>
      </c>
      <c r="I13">
        <v>0.4536</v>
      </c>
    </row>
    <row r="14" spans="1:11" ht="15.75" x14ac:dyDescent="0.25">
      <c r="A14" s="649" t="s">
        <v>27</v>
      </c>
      <c r="B14" s="650"/>
      <c r="C14" s="650"/>
      <c r="D14" s="650"/>
      <c r="E14" s="651"/>
      <c r="H14" t="s">
        <v>202</v>
      </c>
      <c r="I14">
        <v>2.2046000000000001</v>
      </c>
    </row>
    <row r="15" spans="1:11" ht="15.75" x14ac:dyDescent="0.25">
      <c r="A15" s="617">
        <v>1</v>
      </c>
      <c r="B15" s="618" t="s">
        <v>30</v>
      </c>
      <c r="C15" s="245" t="s">
        <v>192</v>
      </c>
      <c r="D15" s="619">
        <f>VLOOKUP(F15,H48:I56,2,FALSE)*A15</f>
        <v>0.73755999999999999</v>
      </c>
      <c r="E15" s="618" t="s">
        <v>29</v>
      </c>
      <c r="F15" t="str">
        <f>B15&amp;E15</f>
        <v>N*mft*lbs</v>
      </c>
      <c r="H15" t="s">
        <v>203</v>
      </c>
      <c r="I15">
        <v>0.101971621</v>
      </c>
    </row>
    <row r="16" spans="1:11" x14ac:dyDescent="0.25">
      <c r="A16" t="s">
        <v>33</v>
      </c>
      <c r="B16" t="s">
        <v>34</v>
      </c>
      <c r="D16" t="s">
        <v>35</v>
      </c>
    </row>
    <row r="17" spans="1:13" ht="15.75" thickBot="1" x14ac:dyDescent="0.3"/>
    <row r="18" spans="1:13" ht="15.75" x14ac:dyDescent="0.25">
      <c r="A18" s="649" t="s">
        <v>36</v>
      </c>
      <c r="B18" s="650"/>
      <c r="C18" s="650"/>
      <c r="D18" s="650"/>
      <c r="E18" s="651"/>
      <c r="H18" t="s">
        <v>213</v>
      </c>
      <c r="I18">
        <v>1</v>
      </c>
    </row>
    <row r="19" spans="1:13" ht="15.75" x14ac:dyDescent="0.25">
      <c r="A19" s="617">
        <v>3</v>
      </c>
      <c r="B19" s="618" t="s">
        <v>37</v>
      </c>
      <c r="C19" s="245" t="s">
        <v>192</v>
      </c>
      <c r="D19" s="619">
        <f>VLOOKUP(F19,H58:I63,2,FALSE)*A19</f>
        <v>7.62</v>
      </c>
      <c r="E19" s="618" t="s">
        <v>38</v>
      </c>
      <c r="F19" t="str">
        <f>B19&amp;E19</f>
        <v>incm</v>
      </c>
      <c r="H19" t="s">
        <v>214</v>
      </c>
      <c r="I19">
        <v>1</v>
      </c>
      <c r="M19" s="251"/>
    </row>
    <row r="20" spans="1:13" x14ac:dyDescent="0.25">
      <c r="H20" t="s">
        <v>216</v>
      </c>
      <c r="I20">
        <v>1</v>
      </c>
    </row>
    <row r="21" spans="1:13" x14ac:dyDescent="0.25">
      <c r="H21" t="s">
        <v>217</v>
      </c>
      <c r="I21">
        <v>1</v>
      </c>
    </row>
    <row r="22" spans="1:13" x14ac:dyDescent="0.25">
      <c r="H22" t="s">
        <v>204</v>
      </c>
      <c r="I22">
        <v>0.73755999999999999</v>
      </c>
    </row>
    <row r="23" spans="1:13" x14ac:dyDescent="0.25">
      <c r="H23" t="s">
        <v>205</v>
      </c>
      <c r="I23">
        <v>8.8506999999999998</v>
      </c>
    </row>
    <row r="24" spans="1:13" x14ac:dyDescent="0.25">
      <c r="H24" t="s">
        <v>206</v>
      </c>
      <c r="I24">
        <v>10.196999999999999</v>
      </c>
    </row>
    <row r="25" spans="1:13" x14ac:dyDescent="0.25">
      <c r="H25" t="s">
        <v>207</v>
      </c>
      <c r="I25">
        <v>1.3557999999999999</v>
      </c>
    </row>
    <row r="26" spans="1:13" x14ac:dyDescent="0.25">
      <c r="H26" t="s">
        <v>208</v>
      </c>
      <c r="I26">
        <v>12</v>
      </c>
    </row>
    <row r="27" spans="1:13" x14ac:dyDescent="0.25">
      <c r="H27" t="s">
        <v>215</v>
      </c>
      <c r="I27">
        <v>192</v>
      </c>
    </row>
    <row r="28" spans="1:13" x14ac:dyDescent="0.25">
      <c r="H28" t="s">
        <v>209</v>
      </c>
      <c r="I28">
        <v>5.208333333333333E-3</v>
      </c>
    </row>
    <row r="29" spans="1:13" x14ac:dyDescent="0.25">
      <c r="H29" t="s">
        <v>210</v>
      </c>
      <c r="I29">
        <v>7.0615484563455073E-3</v>
      </c>
    </row>
    <row r="30" spans="1:13" x14ac:dyDescent="0.25">
      <c r="H30" t="s">
        <v>211</v>
      </c>
      <c r="I30">
        <v>7.1999999999999995E-2</v>
      </c>
    </row>
    <row r="31" spans="1:13" x14ac:dyDescent="0.25">
      <c r="H31" t="s">
        <v>212</v>
      </c>
      <c r="I31">
        <v>13.887386599999999</v>
      </c>
    </row>
    <row r="33" spans="8:9" x14ac:dyDescent="0.25">
      <c r="H33" t="s">
        <v>225</v>
      </c>
      <c r="I33">
        <v>1</v>
      </c>
    </row>
    <row r="34" spans="8:9" x14ac:dyDescent="0.25">
      <c r="H34" t="s">
        <v>226</v>
      </c>
      <c r="I34">
        <v>1</v>
      </c>
    </row>
    <row r="35" spans="8:9" x14ac:dyDescent="0.25">
      <c r="H35" t="s">
        <v>227</v>
      </c>
      <c r="I35">
        <v>1</v>
      </c>
    </row>
    <row r="36" spans="8:9" x14ac:dyDescent="0.25">
      <c r="H36" t="s">
        <v>228</v>
      </c>
      <c r="I36">
        <v>1</v>
      </c>
    </row>
    <row r="37" spans="8:9" x14ac:dyDescent="0.25">
      <c r="H37" t="s">
        <v>229</v>
      </c>
      <c r="I37">
        <v>1</v>
      </c>
    </row>
    <row r="38" spans="8:9" x14ac:dyDescent="0.25">
      <c r="H38" t="s">
        <v>230</v>
      </c>
      <c r="I38">
        <v>1</v>
      </c>
    </row>
    <row r="39" spans="8:9" x14ac:dyDescent="0.25">
      <c r="H39" t="s">
        <v>231</v>
      </c>
      <c r="I39">
        <v>1</v>
      </c>
    </row>
    <row r="40" spans="8:9" x14ac:dyDescent="0.25">
      <c r="H40" t="s">
        <v>218</v>
      </c>
      <c r="I40">
        <v>1</v>
      </c>
    </row>
    <row r="41" spans="8:9" x14ac:dyDescent="0.25">
      <c r="H41" t="s">
        <v>219</v>
      </c>
      <c r="I41">
        <v>1</v>
      </c>
    </row>
    <row r="42" spans="8:9" x14ac:dyDescent="0.25">
      <c r="H42" t="s">
        <v>220</v>
      </c>
      <c r="I42">
        <v>1</v>
      </c>
    </row>
    <row r="43" spans="8:9" x14ac:dyDescent="0.25">
      <c r="H43" t="s">
        <v>221</v>
      </c>
      <c r="I43">
        <v>1.34E-3</v>
      </c>
    </row>
    <row r="44" spans="8:9" x14ac:dyDescent="0.25">
      <c r="H44" t="s">
        <v>222</v>
      </c>
      <c r="I44">
        <v>3.4119999999999999</v>
      </c>
    </row>
    <row r="45" spans="8:9" x14ac:dyDescent="0.25">
      <c r="H45" t="s">
        <v>223</v>
      </c>
      <c r="I45">
        <v>550</v>
      </c>
    </row>
    <row r="46" spans="8:9" x14ac:dyDescent="0.25">
      <c r="H46" t="s">
        <v>224</v>
      </c>
      <c r="I46">
        <v>746</v>
      </c>
    </row>
    <row r="48" spans="8:9" x14ac:dyDescent="0.25">
      <c r="H48" t="s">
        <v>236</v>
      </c>
      <c r="I48">
        <v>1</v>
      </c>
    </row>
    <row r="49" spans="8:9" x14ac:dyDescent="0.25">
      <c r="H49" t="s">
        <v>237</v>
      </c>
      <c r="I49">
        <v>1</v>
      </c>
    </row>
    <row r="50" spans="8:9" x14ac:dyDescent="0.25">
      <c r="H50" t="s">
        <v>238</v>
      </c>
      <c r="I50">
        <v>1</v>
      </c>
    </row>
    <row r="51" spans="8:9" x14ac:dyDescent="0.25">
      <c r="H51" t="s">
        <v>239</v>
      </c>
      <c r="I51">
        <v>1</v>
      </c>
    </row>
    <row r="52" spans="8:9" x14ac:dyDescent="0.25">
      <c r="H52" t="s">
        <v>240</v>
      </c>
      <c r="I52">
        <v>1</v>
      </c>
    </row>
    <row r="53" spans="8:9" x14ac:dyDescent="0.25">
      <c r="H53" t="s">
        <v>232</v>
      </c>
      <c r="I53">
        <v>7.2329999999999997</v>
      </c>
    </row>
    <row r="54" spans="8:9" x14ac:dyDescent="0.25">
      <c r="H54" t="s">
        <v>233</v>
      </c>
      <c r="I54">
        <v>0.73755999999999999</v>
      </c>
    </row>
    <row r="55" spans="8:9" x14ac:dyDescent="0.25">
      <c r="H55" t="s">
        <v>234</v>
      </c>
      <c r="I55">
        <v>8.85</v>
      </c>
    </row>
    <row r="56" spans="8:9" x14ac:dyDescent="0.25">
      <c r="H56" t="s">
        <v>235</v>
      </c>
      <c r="I56">
        <v>1</v>
      </c>
    </row>
    <row r="58" spans="8:9" x14ac:dyDescent="0.25">
      <c r="H58" t="s">
        <v>244</v>
      </c>
      <c r="I58">
        <v>1</v>
      </c>
    </row>
    <row r="59" spans="8:9" x14ac:dyDescent="0.25">
      <c r="H59" t="s">
        <v>245</v>
      </c>
      <c r="I59">
        <v>1</v>
      </c>
    </row>
    <row r="60" spans="8:9" x14ac:dyDescent="0.25">
      <c r="H60" t="s">
        <v>246</v>
      </c>
      <c r="I60">
        <v>1</v>
      </c>
    </row>
    <row r="61" spans="8:9" x14ac:dyDescent="0.25">
      <c r="H61" t="s">
        <v>241</v>
      </c>
      <c r="I61">
        <v>2.54</v>
      </c>
    </row>
    <row r="62" spans="8:9" x14ac:dyDescent="0.25">
      <c r="H62" t="s">
        <v>242</v>
      </c>
      <c r="I62">
        <v>0.30480000000000002</v>
      </c>
    </row>
    <row r="63" spans="8:9" x14ac:dyDescent="0.25">
      <c r="H63" t="s">
        <v>243</v>
      </c>
      <c r="I63">
        <v>0.39370078740157477</v>
      </c>
    </row>
  </sheetData>
  <mergeCells count="7">
    <mergeCell ref="A3:B3"/>
    <mergeCell ref="D3:E3"/>
    <mergeCell ref="A18:E18"/>
    <mergeCell ref="A4:E4"/>
    <mergeCell ref="A7:E7"/>
    <mergeCell ref="A10:E10"/>
    <mergeCell ref="A14:E14"/>
  </mergeCells>
  <dataValidations count="5">
    <dataValidation type="list" allowBlank="1" showInputMessage="1" showErrorMessage="1" sqref="B5 E5">
      <formula1>force_list</formula1>
    </dataValidation>
    <dataValidation type="list" allowBlank="1" showInputMessage="1" showErrorMessage="1" sqref="B8 E8">
      <formula1>torque_list</formula1>
    </dataValidation>
    <dataValidation type="list" allowBlank="1" showInputMessage="1" showErrorMessage="1" sqref="B11 E11">
      <formula1>power_list</formula1>
    </dataValidation>
    <dataValidation type="list" allowBlank="1" showInputMessage="1" showErrorMessage="1" sqref="B15 E15">
      <formula1>energy_list</formula1>
    </dataValidation>
    <dataValidation type="list" allowBlank="1" showInputMessage="1" showErrorMessage="1" sqref="B19 E19">
      <formula1>distance_list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TOC">
                <anchor moveWithCells="1" sizeWithCells="1">
                  <from>
                    <xdr:col>4</xdr:col>
                    <xdr:colOff>123825</xdr:colOff>
                    <xdr:row>0</xdr:row>
                    <xdr:rowOff>0</xdr:rowOff>
                  </from>
                  <to>
                    <xdr:col>4</xdr:col>
                    <xdr:colOff>904875</xdr:colOff>
                    <xdr:row>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I20"/>
  <sheetViews>
    <sheetView showGridLines="0" workbookViewId="0">
      <pane ySplit="1" topLeftCell="A2" activePane="bottomLeft" state="frozen"/>
      <selection pane="bottomLeft" activeCell="B10" sqref="B10"/>
    </sheetView>
  </sheetViews>
  <sheetFormatPr defaultRowHeight="15" x14ac:dyDescent="0.25"/>
  <cols>
    <col min="1" max="1" width="8" customWidth="1"/>
    <col min="2" max="2" width="53.85546875" bestFit="1" customWidth="1"/>
    <col min="3" max="3" width="101.140625" bestFit="1" customWidth="1"/>
    <col min="8" max="8" width="34" customWidth="1"/>
    <col min="9" max="9" width="21.7109375" customWidth="1"/>
  </cols>
  <sheetData>
    <row r="1" spans="1:9" ht="18" x14ac:dyDescent="0.25">
      <c r="A1" s="621" t="s">
        <v>811</v>
      </c>
    </row>
    <row r="3" spans="1:9" ht="18.75" x14ac:dyDescent="0.3">
      <c r="A3" s="106" t="s">
        <v>778</v>
      </c>
    </row>
    <row r="4" spans="1:9" ht="15.75" x14ac:dyDescent="0.25">
      <c r="B4" s="623" t="s">
        <v>787</v>
      </c>
      <c r="C4" s="622" t="s">
        <v>785</v>
      </c>
    </row>
    <row r="5" spans="1:9" ht="15.75" x14ac:dyDescent="0.25">
      <c r="B5" s="623" t="s">
        <v>788</v>
      </c>
      <c r="C5" s="622" t="s">
        <v>786</v>
      </c>
    </row>
    <row r="6" spans="1:9" ht="15.75" x14ac:dyDescent="0.25">
      <c r="B6" s="623" t="s">
        <v>791</v>
      </c>
      <c r="C6" s="622" t="s">
        <v>779</v>
      </c>
    </row>
    <row r="7" spans="1:9" ht="15.75" x14ac:dyDescent="0.25">
      <c r="B7" s="623" t="s">
        <v>789</v>
      </c>
      <c r="C7" s="622" t="s">
        <v>780</v>
      </c>
    </row>
    <row r="8" spans="1:9" ht="15.75" x14ac:dyDescent="0.25">
      <c r="B8" s="623" t="s">
        <v>790</v>
      </c>
      <c r="C8" s="622" t="s">
        <v>781</v>
      </c>
    </row>
    <row r="9" spans="1:9" ht="31.5" x14ac:dyDescent="0.25">
      <c r="B9" s="832" t="s">
        <v>797</v>
      </c>
      <c r="C9" s="622" t="s">
        <v>782</v>
      </c>
    </row>
    <row r="10" spans="1:9" ht="15.75" x14ac:dyDescent="0.25">
      <c r="B10" s="623" t="s">
        <v>784</v>
      </c>
      <c r="C10" s="622" t="s">
        <v>783</v>
      </c>
    </row>
    <row r="11" spans="1:9" ht="15.75" x14ac:dyDescent="0.25">
      <c r="B11" s="623" t="s">
        <v>793</v>
      </c>
      <c r="C11" s="622" t="s">
        <v>792</v>
      </c>
      <c r="H11" s="613"/>
      <c r="I11" s="615"/>
    </row>
    <row r="13" spans="1:9" ht="18.75" x14ac:dyDescent="0.3">
      <c r="A13" s="106" t="s">
        <v>796</v>
      </c>
    </row>
    <row r="14" spans="1:9" ht="15.75" x14ac:dyDescent="0.25">
      <c r="B14" s="623" t="s">
        <v>799</v>
      </c>
      <c r="C14" s="622" t="s">
        <v>798</v>
      </c>
    </row>
    <row r="15" spans="1:9" ht="15.75" x14ac:dyDescent="0.25">
      <c r="B15" s="623" t="s">
        <v>801</v>
      </c>
      <c r="C15" s="622" t="s">
        <v>800</v>
      </c>
    </row>
    <row r="17" spans="1:8" ht="18.75" x14ac:dyDescent="0.3">
      <c r="A17" s="106" t="s">
        <v>804</v>
      </c>
    </row>
    <row r="18" spans="1:8" ht="15.75" x14ac:dyDescent="0.25">
      <c r="B18" s="623" t="s">
        <v>795</v>
      </c>
      <c r="C18" s="622" t="s">
        <v>794</v>
      </c>
    </row>
    <row r="19" spans="1:8" ht="15.75" x14ac:dyDescent="0.25">
      <c r="B19" s="623" t="s">
        <v>803</v>
      </c>
      <c r="C19" s="622" t="s">
        <v>802</v>
      </c>
    </row>
    <row r="20" spans="1:8" x14ac:dyDescent="0.25">
      <c r="H20" s="614"/>
    </row>
  </sheetData>
  <hyperlinks>
    <hyperlink ref="C9" r:id="rId1"/>
    <hyperlink ref="C4" r:id="rId2"/>
    <hyperlink ref="C5" r:id="rId3"/>
    <hyperlink ref="C6" r:id="rId4"/>
    <hyperlink ref="C7" r:id="rId5"/>
    <hyperlink ref="C8" r:id="rId6"/>
    <hyperlink ref="C10" r:id="rId7"/>
    <hyperlink ref="C11" r:id="rId8"/>
    <hyperlink ref="C14" r:id="rId9"/>
    <hyperlink ref="C15" r:id="rId10"/>
    <hyperlink ref="C18" r:id="rId11"/>
    <hyperlink ref="C19" r:id="rId12"/>
  </hyperlinks>
  <pageMargins left="0.7" right="0.7" top="0.75" bottom="0.75" header="0.3" footer="0.3"/>
  <drawing r:id="rId13"/>
  <legacyDrawing r:id="rId14"/>
  <mc:AlternateContent xmlns:mc="http://schemas.openxmlformats.org/markup-compatibility/2006">
    <mc:Choice Requires="x14">
      <controls>
        <mc:AlternateContent xmlns:mc="http://schemas.openxmlformats.org/markup-compatibility/2006">
          <mc:Choice Requires="x14">
            <control shapeId="227330" r:id="rId15" name="Button 2">
              <controlPr defaultSize="0" print="0" autoFill="0" autoPict="0" macro="[0]!TOC">
                <anchor moveWithCells="1" sizeWithCells="1">
                  <from>
                    <xdr:col>2</xdr:col>
                    <xdr:colOff>104775</xdr:colOff>
                    <xdr:row>0</xdr:row>
                    <xdr:rowOff>19050</xdr:rowOff>
                  </from>
                  <to>
                    <xdr:col>2</xdr:col>
                    <xdr:colOff>742950</xdr:colOff>
                    <xdr:row>0</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R22"/>
  <sheetViews>
    <sheetView showGridLines="0" workbookViewId="0">
      <pane xSplit="4" ySplit="3" topLeftCell="E4" activePane="bottomRight" state="frozen"/>
      <selection pane="topRight" activeCell="E1" sqref="E1"/>
      <selection pane="bottomLeft" activeCell="A4" sqref="A4"/>
      <selection pane="bottomRight" activeCell="H14" sqref="H14"/>
    </sheetView>
  </sheetViews>
  <sheetFormatPr defaultRowHeight="15" x14ac:dyDescent="0.25"/>
  <cols>
    <col min="1" max="1" width="37.28515625" bestFit="1" customWidth="1"/>
    <col min="2" max="2" width="15.5703125" customWidth="1"/>
    <col min="3" max="3" width="30.7109375" customWidth="1"/>
    <col min="4" max="4" width="18.28515625" customWidth="1"/>
    <col min="5" max="5" width="21.140625" customWidth="1"/>
    <col min="6" max="6" width="17.140625" customWidth="1"/>
    <col min="7" max="7" width="19" customWidth="1"/>
    <col min="8" max="8" width="19.28515625" customWidth="1"/>
    <col min="9" max="9" width="18.7109375" customWidth="1"/>
    <col min="10" max="10" width="18.85546875" customWidth="1"/>
    <col min="11" max="11" width="15.7109375" customWidth="1"/>
    <col min="12" max="12" width="16.85546875" customWidth="1"/>
    <col min="13" max="13" width="16.85546875" style="603" customWidth="1"/>
    <col min="14" max="16" width="16.85546875" style="7" customWidth="1"/>
    <col min="17" max="17" width="33.85546875" bestFit="1" customWidth="1"/>
    <col min="18" max="18" width="15.7109375" customWidth="1"/>
  </cols>
  <sheetData>
    <row r="1" spans="1:18" ht="18" x14ac:dyDescent="0.25">
      <c r="A1" s="2" t="s">
        <v>178</v>
      </c>
      <c r="G1" s="8"/>
    </row>
    <row r="3" spans="1:18" s="372" customFormat="1" ht="15.75" x14ac:dyDescent="0.25">
      <c r="A3" s="372" t="s">
        <v>452</v>
      </c>
      <c r="B3" s="372" t="s">
        <v>51</v>
      </c>
      <c r="C3" s="372" t="s">
        <v>52</v>
      </c>
      <c r="D3" s="372" t="s">
        <v>53</v>
      </c>
      <c r="E3" s="372" t="s">
        <v>54</v>
      </c>
      <c r="F3" s="372" t="s">
        <v>90</v>
      </c>
      <c r="G3" s="372" t="s">
        <v>179</v>
      </c>
      <c r="H3" s="372" t="s">
        <v>55</v>
      </c>
      <c r="I3" s="372" t="s">
        <v>56</v>
      </c>
      <c r="J3" s="372" t="s">
        <v>57</v>
      </c>
      <c r="K3" s="372" t="s">
        <v>328</v>
      </c>
      <c r="L3" s="372" t="s">
        <v>720</v>
      </c>
      <c r="M3" s="605" t="s">
        <v>724</v>
      </c>
      <c r="N3" s="604" t="s">
        <v>722</v>
      </c>
      <c r="O3" s="604" t="s">
        <v>725</v>
      </c>
      <c r="P3" s="604" t="s">
        <v>726</v>
      </c>
      <c r="Q3" s="372" t="s">
        <v>168</v>
      </c>
      <c r="R3" s="372" t="s">
        <v>457</v>
      </c>
    </row>
    <row r="4" spans="1:18" x14ac:dyDescent="0.25">
      <c r="A4" s="625" t="str">
        <f t="shared" ref="A4:A22" si="0">B4&amp;" / "&amp;C4</f>
        <v>AndyMark / AM 9015 (am-0912)</v>
      </c>
      <c r="B4" s="626" t="s">
        <v>169</v>
      </c>
      <c r="C4" s="626" t="s">
        <v>820</v>
      </c>
      <c r="D4" s="590">
        <v>179</v>
      </c>
      <c r="E4" s="590">
        <v>60.7</v>
      </c>
      <c r="F4" s="627">
        <f>E4/(12*16)</f>
        <v>0.31614583333333335</v>
      </c>
      <c r="G4" s="628">
        <f t="shared" ref="G4:G21" si="1">1.3558*F4</f>
        <v>0.42863052083333331</v>
      </c>
      <c r="H4" s="590">
        <v>16000</v>
      </c>
      <c r="I4" s="590">
        <v>1.2</v>
      </c>
      <c r="J4" s="590">
        <v>63.8</v>
      </c>
      <c r="K4" s="629">
        <v>12</v>
      </c>
      <c r="L4" s="630">
        <f>Motor_Table[[#This Row],[Torque (N-m)]]/(Motor_Table[[#This Row],[Stall Current (A)]]-Motor_Table[[#This Row],[Free Current (A)]])</f>
        <v>6.8471329206602769E-3</v>
      </c>
      <c r="M4" s="630">
        <f>(Motor_Table[[#This Row],[Spec Voltage]]-Motor_Table[[#This Row],[R]]*Motor_Table[[#This Row],[Free Current (A)]])/Motor_Table[[#This Row],[Free speed (rad/s)]]</f>
        <v>7.0272644935716177E-3</v>
      </c>
      <c r="N4" s="627">
        <f>Motor_Table[[#This Row],[Spec Voltage]]/Motor_Table[[#This Row],[Stall Current (A)]]</f>
        <v>0.18808777429467086</v>
      </c>
      <c r="O4" s="627">
        <f>Motor_Table[[#This Row],[Free Speed(rpm)]]*2*PI()/60</f>
        <v>1675.5160819145563</v>
      </c>
      <c r="P4" s="627">
        <f>Motor_Table[[#This Row],[Kt (Nm/amp)]]*Motor_Table[[#This Row],[Free Current (A)]]</f>
        <v>8.2165595047923312E-3</v>
      </c>
      <c r="Q4" s="626"/>
      <c r="R4" s="626" t="s">
        <v>679</v>
      </c>
    </row>
    <row r="5" spans="1:18" ht="30" x14ac:dyDescent="0.25">
      <c r="A5" s="625" t="str">
        <f t="shared" si="0"/>
        <v>AndyMark / am-0912 (w/ Vex performance data)</v>
      </c>
      <c r="B5" s="626" t="s">
        <v>169</v>
      </c>
      <c r="C5" s="626" t="s">
        <v>741</v>
      </c>
      <c r="D5" s="590">
        <v>134</v>
      </c>
      <c r="E5" s="590"/>
      <c r="F5" s="627">
        <f>0.73756*Motor_Table[[#This Row],[Torque (N-m)]]</f>
        <v>0.26552159999999997</v>
      </c>
      <c r="G5" s="628">
        <v>0.36</v>
      </c>
      <c r="H5" s="590">
        <v>14720</v>
      </c>
      <c r="I5" s="590">
        <v>3.7</v>
      </c>
      <c r="J5" s="590">
        <v>71</v>
      </c>
      <c r="K5" s="629">
        <v>12</v>
      </c>
      <c r="L5" s="630">
        <f>Motor_Table[[#This Row],[Torque (N-m)]]/(Motor_Table[[#This Row],[Stall Current (A)]]-Motor_Table[[#This Row],[Free Current (A)]])</f>
        <v>5.349182763744428E-3</v>
      </c>
      <c r="M5" s="630">
        <f>(Motor_Table[[#This Row],[Spec Voltage]]-Motor_Table[[#This Row],[R]]*Motor_Table[[#This Row],[Free Current (A)]])/Motor_Table[[#This Row],[Free speed (rad/s)]]</f>
        <v>7.3790683581415346E-3</v>
      </c>
      <c r="N5" s="627">
        <f>Motor_Table[[#This Row],[Spec Voltage]]/Motor_Table[[#This Row],[Stall Current (A)]]</f>
        <v>0.16901408450704225</v>
      </c>
      <c r="O5" s="627">
        <f>Motor_Table[[#This Row],[Free Speed(rpm)]]*2*PI()/60</f>
        <v>1541.4747953613919</v>
      </c>
      <c r="P5" s="627">
        <f>Motor_Table[[#This Row],[Kt (Nm/amp)]]*Motor_Table[[#This Row],[Free Current (A)]]</f>
        <v>1.9791976225854383E-2</v>
      </c>
      <c r="Q5" s="626" t="s">
        <v>742</v>
      </c>
      <c r="R5" s="626" t="s">
        <v>679</v>
      </c>
    </row>
    <row r="6" spans="1:18" x14ac:dyDescent="0.25">
      <c r="A6" s="625" t="str">
        <f t="shared" si="0"/>
        <v>AndyMark / am-2194 (RS775-125 motor)</v>
      </c>
      <c r="B6" s="626" t="s">
        <v>169</v>
      </c>
      <c r="C6" s="626" t="s">
        <v>455</v>
      </c>
      <c r="D6" s="627">
        <f>Motor_Table[[#This Row],[Torque (N-m)]]*Motor_Table[[#This Row],[Free Speed(rpm)]]*2*PI()/60/4</f>
        <v>36.881275099285567</v>
      </c>
      <c r="E6" s="590">
        <v>35</v>
      </c>
      <c r="F6" s="627">
        <f>E6/(16*12)</f>
        <v>0.18229166666666666</v>
      </c>
      <c r="G6" s="628">
        <f t="shared" si="1"/>
        <v>0.24715104166666663</v>
      </c>
      <c r="H6" s="590">
        <v>5700</v>
      </c>
      <c r="I6" s="590">
        <v>0.6</v>
      </c>
      <c r="J6" s="590">
        <v>22</v>
      </c>
      <c r="K6" s="629">
        <v>12</v>
      </c>
      <c r="L6" s="630">
        <f>Motor_Table[[#This Row],[Torque (N-m)]]/(Motor_Table[[#This Row],[Stall Current (A)]]-Motor_Table[[#This Row],[Free Current (A)]])</f>
        <v>1.1549114096573207E-2</v>
      </c>
      <c r="M6" s="630">
        <f>(Motor_Table[[#This Row],[Spec Voltage]]-Motor_Table[[#This Row],[R]]*Motor_Table[[#This Row],[Free Current (A)]])/Motor_Table[[#This Row],[Free speed (rad/s)]]</f>
        <v>1.955549731387499E-2</v>
      </c>
      <c r="N6" s="627">
        <f>Motor_Table[[#This Row],[Spec Voltage]]/Motor_Table[[#This Row],[Stall Current (A)]]</f>
        <v>0.54545454545454541</v>
      </c>
      <c r="O6" s="627">
        <f>Motor_Table[[#This Row],[Free Speed(rpm)]]*2*PI()/60</f>
        <v>596.9026041820606</v>
      </c>
      <c r="P6" s="627">
        <f>Motor_Table[[#This Row],[Kt (Nm/amp)]]*Motor_Table[[#This Row],[Free Current (A)]]</f>
        <v>6.9294684579439244E-3</v>
      </c>
      <c r="Q6" s="626" t="s">
        <v>456</v>
      </c>
      <c r="R6" s="626"/>
    </row>
    <row r="7" spans="1:18" ht="75" x14ac:dyDescent="0.25">
      <c r="A7" s="625" t="str">
        <f t="shared" si="0"/>
        <v>AndyMark / PG188 Gearmotor (am-2193a)</v>
      </c>
      <c r="B7" s="626" t="s">
        <v>169</v>
      </c>
      <c r="C7" s="626" t="s">
        <v>812</v>
      </c>
      <c r="D7" s="590">
        <v>33</v>
      </c>
      <c r="E7" s="631">
        <f>F7*16*12</f>
        <v>6336</v>
      </c>
      <c r="F7" s="627">
        <v>33</v>
      </c>
      <c r="G7" s="628">
        <f t="shared" si="1"/>
        <v>44.741399999999999</v>
      </c>
      <c r="H7" s="590">
        <v>28</v>
      </c>
      <c r="I7" s="590">
        <v>0.6</v>
      </c>
      <c r="J7" s="590">
        <v>22</v>
      </c>
      <c r="K7" s="629">
        <v>12</v>
      </c>
      <c r="L7" s="630">
        <f>Motor_Table[[#This Row],[Torque (N-m)]]/(Motor_Table[[#This Row],[Stall Current (A)]]-Motor_Table[[#This Row],[Free Current (A)]])</f>
        <v>2.0907196261682244</v>
      </c>
      <c r="M7" s="630">
        <f>(Motor_Table[[#This Row],[Spec Voltage]]-Motor_Table[[#This Row],[R]]*Motor_Table[[#This Row],[Free Current (A)]])/Motor_Table[[#This Row],[Free speed (rad/s)]]</f>
        <v>3.9809405246102649</v>
      </c>
      <c r="N7" s="627">
        <f>Motor_Table[[#This Row],[Spec Voltage]]/Motor_Table[[#This Row],[Stall Current (A)]]</f>
        <v>0.54545454545454541</v>
      </c>
      <c r="O7" s="627">
        <f>Motor_Table[[#This Row],[Free Speed(rpm)]]*2*PI()/60</f>
        <v>2.9321531433504737</v>
      </c>
      <c r="P7" s="627">
        <f>Motor_Table[[#This Row],[Kt (Nm/amp)]]*Motor_Table[[#This Row],[Free Current (A)]]</f>
        <v>1.2544317757009347</v>
      </c>
      <c r="Q7" s="626" t="s">
        <v>813</v>
      </c>
      <c r="R7" s="626" t="s">
        <v>680</v>
      </c>
    </row>
    <row r="8" spans="1:18" ht="30" x14ac:dyDescent="0.25">
      <c r="A8" s="625" t="str">
        <f t="shared" si="0"/>
        <v>AndyMark / PG27 Gearmotor (am-0915a)</v>
      </c>
      <c r="B8" s="626" t="s">
        <v>169</v>
      </c>
      <c r="C8" s="626" t="s">
        <v>816</v>
      </c>
      <c r="D8" s="590">
        <v>44</v>
      </c>
      <c r="E8" s="631">
        <f>F8*16*12</f>
        <v>1209.5999999999999</v>
      </c>
      <c r="F8" s="627">
        <v>6.3</v>
      </c>
      <c r="G8" s="628">
        <f t="shared" si="1"/>
        <v>8.5415399999999995</v>
      </c>
      <c r="H8" s="590">
        <v>198</v>
      </c>
      <c r="I8" s="590">
        <v>0.6</v>
      </c>
      <c r="J8" s="590">
        <v>22</v>
      </c>
      <c r="K8" s="629">
        <v>12</v>
      </c>
      <c r="L8" s="630">
        <f>Motor_Table[[#This Row],[Torque (N-m)]]/(Motor_Table[[#This Row],[Stall Current (A)]]-Motor_Table[[#This Row],[Free Current (A)]])</f>
        <v>0.39913738317757008</v>
      </c>
      <c r="M8" s="630">
        <f>(Motor_Table[[#This Row],[Spec Voltage]]-Motor_Table[[#This Row],[R]]*Motor_Table[[#This Row],[Free Current (A)]])/Motor_Table[[#This Row],[Free speed (rad/s)]]</f>
        <v>0.56296128630852238</v>
      </c>
      <c r="N8" s="627">
        <f>Motor_Table[[#This Row],[Spec Voltage]]/Motor_Table[[#This Row],[Stall Current (A)]]</f>
        <v>0.54545454545454541</v>
      </c>
      <c r="O8" s="627">
        <f>Motor_Table[[#This Row],[Free Speed(rpm)]]*2*PI()/60</f>
        <v>20.734511513692635</v>
      </c>
      <c r="P8" s="627">
        <f>Motor_Table[[#This Row],[Kt (Nm/amp)]]*Motor_Table[[#This Row],[Free Current (A)]]</f>
        <v>0.23948242990654203</v>
      </c>
      <c r="Q8" s="626" t="s">
        <v>817</v>
      </c>
      <c r="R8" s="626" t="s">
        <v>680</v>
      </c>
    </row>
    <row r="9" spans="1:18" ht="90" x14ac:dyDescent="0.25">
      <c r="A9" s="625" t="str">
        <f t="shared" si="0"/>
        <v>AndyMark / PG71 Gearmotor w/ RS755 (am-2971)</v>
      </c>
      <c r="B9" s="626" t="s">
        <v>169</v>
      </c>
      <c r="C9" s="626" t="s">
        <v>818</v>
      </c>
      <c r="D9" s="590">
        <v>44</v>
      </c>
      <c r="E9" s="631">
        <f>F9*12*16</f>
        <v>3187.2000000000003</v>
      </c>
      <c r="F9" s="627">
        <v>16.600000000000001</v>
      </c>
      <c r="G9" s="628">
        <f t="shared" si="1"/>
        <v>22.50628</v>
      </c>
      <c r="H9" s="590">
        <v>75</v>
      </c>
      <c r="I9" s="590">
        <v>0.6</v>
      </c>
      <c r="J9" s="590">
        <v>22</v>
      </c>
      <c r="K9" s="629">
        <v>12</v>
      </c>
      <c r="L9" s="630">
        <f>Motor_Table[[#This Row],[Torque (N-m)]]/(Motor_Table[[#This Row],[Stall Current (A)]]-Motor_Table[[#This Row],[Free Current (A)]])</f>
        <v>1.0516953271028038</v>
      </c>
      <c r="M9" s="630">
        <f>(Motor_Table[[#This Row],[Spec Voltage]]-Motor_Table[[#This Row],[R]]*Motor_Table[[#This Row],[Free Current (A)]])/Motor_Table[[#This Row],[Free speed (rad/s)]]</f>
        <v>1.4862177958544989</v>
      </c>
      <c r="N9" s="627">
        <f>Motor_Table[[#This Row],[Spec Voltage]]/Motor_Table[[#This Row],[Stall Current (A)]]</f>
        <v>0.54545454545454541</v>
      </c>
      <c r="O9" s="627">
        <f>Motor_Table[[#This Row],[Free Speed(rpm)]]*2*PI()/60</f>
        <v>7.8539816339744828</v>
      </c>
      <c r="P9" s="627">
        <f>Motor_Table[[#This Row],[Kt (Nm/amp)]]*Motor_Table[[#This Row],[Free Current (A)]]</f>
        <v>0.63101719626168229</v>
      </c>
      <c r="Q9" s="626" t="s">
        <v>814</v>
      </c>
      <c r="R9" s="626" t="s">
        <v>680</v>
      </c>
    </row>
    <row r="10" spans="1:18" ht="30" x14ac:dyDescent="0.25">
      <c r="A10" s="625" t="str">
        <f t="shared" si="0"/>
        <v>AndyMark / PG71 Gearmotor w/ am 9015 (am-2084)</v>
      </c>
      <c r="B10" s="626" t="s">
        <v>169</v>
      </c>
      <c r="C10" s="626" t="s">
        <v>819</v>
      </c>
      <c r="D10" s="590">
        <v>179</v>
      </c>
      <c r="E10" s="631"/>
      <c r="F10" s="627">
        <v>22.4</v>
      </c>
      <c r="G10" s="628">
        <f>1.3558*F10</f>
        <v>30.369919999999997</v>
      </c>
      <c r="H10" s="590">
        <v>216</v>
      </c>
      <c r="I10" s="590">
        <v>1.8</v>
      </c>
      <c r="J10" s="590">
        <v>63.8</v>
      </c>
      <c r="K10" s="629">
        <v>12</v>
      </c>
      <c r="L10" s="630">
        <f>Motor_Table[[#This Row],[Torque (N-m)]]/(Motor_Table[[#This Row],[Stall Current (A)]]-Motor_Table[[#This Row],[Free Current (A)]])</f>
        <v>0.48983741935483865</v>
      </c>
      <c r="M10" s="630">
        <f>(Motor_Table[[#This Row],[Spec Voltage]]-Motor_Table[[#This Row],[R]]*Motor_Table[[#This Row],[Free Current (A)]])/Motor_Table[[#This Row],[Free speed (rad/s)]]</f>
        <v>0.51554892746590963</v>
      </c>
      <c r="N10" s="627">
        <f>Motor_Table[[#This Row],[Spec Voltage]]/Motor_Table[[#This Row],[Stall Current (A)]]</f>
        <v>0.18808777429467086</v>
      </c>
      <c r="O10" s="632">
        <f>Motor_Table[[#This Row],[Free Speed(rpm)]]*2*PI()/60</f>
        <v>22.61946710584651</v>
      </c>
      <c r="P10" s="632">
        <f>Motor_Table[[#This Row],[Kt (Nm/amp)]]*Motor_Table[[#This Row],[Free Current (A)]]</f>
        <v>0.88170735483870954</v>
      </c>
      <c r="Q10" s="626"/>
      <c r="R10" s="626" t="s">
        <v>680</v>
      </c>
    </row>
    <row r="11" spans="1:18" x14ac:dyDescent="0.25">
      <c r="A11" s="625" t="str">
        <f t="shared" si="0"/>
        <v>AndyMark / Snowblower (am-2235)</v>
      </c>
      <c r="B11" s="626" t="s">
        <v>169</v>
      </c>
      <c r="C11" s="626" t="s">
        <v>815</v>
      </c>
      <c r="D11" s="590">
        <v>20</v>
      </c>
      <c r="E11" s="631"/>
      <c r="F11" s="627">
        <f>70/12</f>
        <v>5.833333333333333</v>
      </c>
      <c r="G11" s="628">
        <f>1.3558*F11</f>
        <v>7.908833333333332</v>
      </c>
      <c r="H11" s="590">
        <v>100</v>
      </c>
      <c r="I11" s="590">
        <v>5</v>
      </c>
      <c r="J11" s="590">
        <v>24</v>
      </c>
      <c r="K11" s="629">
        <v>12</v>
      </c>
      <c r="L11" s="630">
        <f>Motor_Table[[#This Row],[Torque (N-m)]]/(Motor_Table[[#This Row],[Stall Current (A)]]-Motor_Table[[#This Row],[Free Current (A)]])</f>
        <v>0.41625438596491221</v>
      </c>
      <c r="M11" s="630">
        <f>(Motor_Table[[#This Row],[Spec Voltage]]-Motor_Table[[#This Row],[R]]*Motor_Table[[#This Row],[Free Current (A)]])/Motor_Table[[#This Row],[Free speed (rad/s)]]</f>
        <v>0.90718317562380335</v>
      </c>
      <c r="N11" s="627">
        <f>Motor_Table[[#This Row],[Spec Voltage]]/Motor_Table[[#This Row],[Stall Current (A)]]</f>
        <v>0.5</v>
      </c>
      <c r="O11" s="627">
        <f>Motor_Table[[#This Row],[Free Speed(rpm)]]*2*PI()/60</f>
        <v>10.471975511965978</v>
      </c>
      <c r="P11" s="627">
        <f>Motor_Table[[#This Row],[Kt (Nm/amp)]]*Motor_Table[[#This Row],[Free Current (A)]]</f>
        <v>2.081271929824561</v>
      </c>
      <c r="Q11" s="626"/>
      <c r="R11" s="626"/>
    </row>
    <row r="12" spans="1:18" ht="60" x14ac:dyDescent="0.25">
      <c r="A12" s="625" t="s">
        <v>842</v>
      </c>
      <c r="B12" s="626" t="s">
        <v>841</v>
      </c>
      <c r="C12" s="626" t="s">
        <v>843</v>
      </c>
      <c r="D12" s="590">
        <v>253.52</v>
      </c>
      <c r="E12" s="631">
        <v>70.55</v>
      </c>
      <c r="F12" s="627">
        <v>0.36744791666666665</v>
      </c>
      <c r="G12" s="628">
        <v>0.49818588541666659</v>
      </c>
      <c r="H12" s="590">
        <v>19300</v>
      </c>
      <c r="I12" s="590">
        <v>1.4</v>
      </c>
      <c r="J12" s="590">
        <v>85</v>
      </c>
      <c r="K12" s="629">
        <v>12</v>
      </c>
      <c r="L12" s="630">
        <v>5.9591613088118018E-3</v>
      </c>
      <c r="M12" s="630">
        <v>5.8395942301660252E-3</v>
      </c>
      <c r="N12" s="627">
        <v>0.14117647058823529</v>
      </c>
      <c r="O12" s="632">
        <v>2021.0912738094337</v>
      </c>
      <c r="P12" s="632">
        <v>8.3428258323365225E-3</v>
      </c>
      <c r="Q12" s="626" t="s">
        <v>844</v>
      </c>
      <c r="R12" s="626"/>
    </row>
    <row r="13" spans="1:18" ht="75" x14ac:dyDescent="0.25">
      <c r="A13" s="625" t="s">
        <v>845</v>
      </c>
      <c r="B13" s="626" t="s">
        <v>841</v>
      </c>
      <c r="C13" s="626" t="s">
        <v>846</v>
      </c>
      <c r="D13" s="590">
        <v>273.02999999999997</v>
      </c>
      <c r="E13" s="631">
        <v>112.8</v>
      </c>
      <c r="F13" s="627">
        <v>0.58750000000000002</v>
      </c>
      <c r="G13" s="628">
        <v>0.79653249999999998</v>
      </c>
      <c r="H13" s="590">
        <v>13000</v>
      </c>
      <c r="I13" s="590">
        <v>1.8</v>
      </c>
      <c r="J13" s="590">
        <v>86.7</v>
      </c>
      <c r="K13" s="629">
        <v>12</v>
      </c>
      <c r="L13" s="630">
        <v>9.382008244994109E-3</v>
      </c>
      <c r="M13" s="630">
        <v>8.6317304243823771E-3</v>
      </c>
      <c r="N13" s="627">
        <v>0.13840830449826988</v>
      </c>
      <c r="O13" s="632">
        <v>1361.3568165555771</v>
      </c>
      <c r="P13" s="632">
        <v>1.6887614840989398E-2</v>
      </c>
      <c r="Q13" s="626" t="s">
        <v>847</v>
      </c>
      <c r="R13" s="626"/>
    </row>
    <row r="14" spans="1:18" x14ac:dyDescent="0.25">
      <c r="A14" s="625" t="str">
        <f t="shared" si="0"/>
        <v>CIM / FR801-001</v>
      </c>
      <c r="B14" s="626" t="s">
        <v>58</v>
      </c>
      <c r="C14" s="626" t="s">
        <v>59</v>
      </c>
      <c r="D14" s="590">
        <v>340.11</v>
      </c>
      <c r="E14" s="590">
        <v>344</v>
      </c>
      <c r="F14" s="627">
        <f>E14/(12*16)</f>
        <v>1.7916666666666667</v>
      </c>
      <c r="G14" s="628">
        <f t="shared" si="1"/>
        <v>2.4291416666666668</v>
      </c>
      <c r="H14" s="590">
        <v>5310</v>
      </c>
      <c r="I14" s="590">
        <v>2.7</v>
      </c>
      <c r="J14" s="590">
        <v>133</v>
      </c>
      <c r="K14" s="629">
        <v>12</v>
      </c>
      <c r="L14" s="630">
        <f>Motor_Table[[#This Row],[Torque (N-m)]]/(Motor_Table[[#This Row],[Stall Current (A)]]-Motor_Table[[#This Row],[Free Current (A)]])</f>
        <v>1.8642683550780251E-2</v>
      </c>
      <c r="M14" s="630">
        <f>(Motor_Table[[#This Row],[Spec Voltage]]-Motor_Table[[#This Row],[R]]*Motor_Table[[#This Row],[Free Current (A)]])/Motor_Table[[#This Row],[Free speed (rad/s)]]</f>
        <v>2.1142234316170724E-2</v>
      </c>
      <c r="N14" s="627">
        <f>Motor_Table[[#This Row],[Spec Voltage]]/Motor_Table[[#This Row],[Stall Current (A)]]</f>
        <v>9.0225563909774431E-2</v>
      </c>
      <c r="O14" s="627">
        <f>Motor_Table[[#This Row],[Free Speed(rpm)]]*2*PI()/60</f>
        <v>556.06189968539343</v>
      </c>
      <c r="P14" s="627">
        <f>Motor_Table[[#This Row],[Kt (Nm/amp)]]*Motor_Table[[#This Row],[Free Current (A)]]</f>
        <v>5.0335245587106683E-2</v>
      </c>
      <c r="Q14" s="626"/>
      <c r="R14" s="626"/>
    </row>
    <row r="15" spans="1:18" x14ac:dyDescent="0.25">
      <c r="A15" s="626" t="str">
        <f t="shared" si="0"/>
        <v>Denso / 262100-3030 (Right)</v>
      </c>
      <c r="B15" s="626" t="s">
        <v>93</v>
      </c>
      <c r="C15" s="626" t="s">
        <v>170</v>
      </c>
      <c r="D15" s="590">
        <v>23.48</v>
      </c>
      <c r="E15" s="590">
        <v>1501.1</v>
      </c>
      <c r="F15" s="627">
        <f>E15/(12*16)</f>
        <v>7.8182291666666659</v>
      </c>
      <c r="G15" s="628">
        <f t="shared" si="1"/>
        <v>10.599955104166664</v>
      </c>
      <c r="H15" s="590">
        <v>84</v>
      </c>
      <c r="I15" s="590">
        <v>1.8</v>
      </c>
      <c r="J15" s="590">
        <v>18.600000000000001</v>
      </c>
      <c r="K15" s="629">
        <v>12</v>
      </c>
      <c r="L15" s="630">
        <f>Motor_Table[[#This Row],[Torque (N-m)]]/(Motor_Table[[#This Row],[Stall Current (A)]]-Motor_Table[[#This Row],[Free Current (A)]])</f>
        <v>0.63094970858134902</v>
      </c>
      <c r="M15" s="630">
        <f>(Motor_Table[[#This Row],[Spec Voltage]]-Motor_Table[[#This Row],[R]]*Motor_Table[[#This Row],[Free Current (A)]])/Motor_Table[[#This Row],[Free speed (rad/s)]]</f>
        <v>1.232167301356609</v>
      </c>
      <c r="N15" s="627">
        <f>Motor_Table[[#This Row],[Spec Voltage]]/Motor_Table[[#This Row],[Stall Current (A)]]</f>
        <v>0.64516129032258063</v>
      </c>
      <c r="O15" s="627">
        <f>Motor_Table[[#This Row],[Free Speed(rpm)]]*2*PI()/60</f>
        <v>8.7964594300514207</v>
      </c>
      <c r="P15" s="627">
        <f>Motor_Table[[#This Row],[Kt (Nm/amp)]]*Motor_Table[[#This Row],[Free Current (A)]]</f>
        <v>1.1357094754464283</v>
      </c>
      <c r="Q15" s="626"/>
      <c r="R15" s="626"/>
    </row>
    <row r="16" spans="1:18" x14ac:dyDescent="0.25">
      <c r="A16" s="626" t="str">
        <f t="shared" si="0"/>
        <v>Denso / 262100-3040 (Left)</v>
      </c>
      <c r="B16" s="626" t="s">
        <v>93</v>
      </c>
      <c r="C16" s="626" t="s">
        <v>171</v>
      </c>
      <c r="D16" s="590">
        <v>23.48</v>
      </c>
      <c r="E16" s="590">
        <v>1501.1</v>
      </c>
      <c r="F16" s="627">
        <f>E16/(12*16)</f>
        <v>7.8182291666666659</v>
      </c>
      <c r="G16" s="628">
        <f t="shared" si="1"/>
        <v>10.599955104166664</v>
      </c>
      <c r="H16" s="590">
        <v>84</v>
      </c>
      <c r="I16" s="590">
        <v>1.8</v>
      </c>
      <c r="J16" s="590">
        <v>21</v>
      </c>
      <c r="K16" s="629">
        <v>12</v>
      </c>
      <c r="L16" s="630">
        <f>Motor_Table[[#This Row],[Torque (N-m)]]/(Motor_Table[[#This Row],[Stall Current (A)]]-Motor_Table[[#This Row],[Free Current (A)]])</f>
        <v>0.55208099500868046</v>
      </c>
      <c r="M16" s="630">
        <f>(Motor_Table[[#This Row],[Spec Voltage]]-Motor_Table[[#This Row],[R]]*Motor_Table[[#This Row],[Free Current (A)]])/Motor_Table[[#This Row],[Free speed (rad/s)]]</f>
        <v>1.2472550642303635</v>
      </c>
      <c r="N16" s="627">
        <f>Motor_Table[[#This Row],[Spec Voltage]]/Motor_Table[[#This Row],[Stall Current (A)]]</f>
        <v>0.5714285714285714</v>
      </c>
      <c r="O16" s="627">
        <f>Motor_Table[[#This Row],[Free Speed(rpm)]]*2*PI()/60</f>
        <v>8.7964594300514207</v>
      </c>
      <c r="P16" s="627">
        <f>Motor_Table[[#This Row],[Kt (Nm/amp)]]*Motor_Table[[#This Row],[Free Current (A)]]</f>
        <v>0.99374579101562488</v>
      </c>
      <c r="Q16" s="626"/>
      <c r="R16" s="626"/>
    </row>
    <row r="17" spans="1:18" x14ac:dyDescent="0.25">
      <c r="A17" s="626" t="str">
        <f t="shared" si="0"/>
        <v>Denso / AE235100‐0160</v>
      </c>
      <c r="B17" s="626" t="s">
        <v>93</v>
      </c>
      <c r="C17" s="626" t="s">
        <v>174</v>
      </c>
      <c r="D17" s="590">
        <v>18.16</v>
      </c>
      <c r="E17" s="590">
        <v>18.399999999999999</v>
      </c>
      <c r="F17" s="627">
        <f>E17/(12*16)</f>
        <v>9.5833333333333326E-2</v>
      </c>
      <c r="G17" s="628">
        <f t="shared" si="1"/>
        <v>0.1299308333333333</v>
      </c>
      <c r="H17" s="590">
        <v>5300</v>
      </c>
      <c r="I17" s="590">
        <v>1</v>
      </c>
      <c r="J17" s="590">
        <v>7</v>
      </c>
      <c r="K17" s="629">
        <v>12</v>
      </c>
      <c r="L17" s="630">
        <f>Motor_Table[[#This Row],[Torque (N-m)]]/(Motor_Table[[#This Row],[Stall Current (A)]]-Motor_Table[[#This Row],[Free Current (A)]])</f>
        <v>2.1655138888888883E-2</v>
      </c>
      <c r="M17" s="630">
        <f>(Motor_Table[[#This Row],[Spec Voltage]]-Motor_Table[[#This Row],[R]]*Motor_Table[[#This Row],[Free Current (A)]])/Motor_Table[[#This Row],[Free speed (rad/s)]]</f>
        <v>1.8532327605309647E-2</v>
      </c>
      <c r="N17" s="627">
        <f>Motor_Table[[#This Row],[Spec Voltage]]/Motor_Table[[#This Row],[Stall Current (A)]]</f>
        <v>1.7142857142857142</v>
      </c>
      <c r="O17" s="627">
        <f>Motor_Table[[#This Row],[Free Speed(rpm)]]*2*PI()/60</f>
        <v>555.0147021341968</v>
      </c>
      <c r="P17" s="627">
        <f>Motor_Table[[#This Row],[Kt (Nm/amp)]]*Motor_Table[[#This Row],[Free Current (A)]]</f>
        <v>2.1655138888888883E-2</v>
      </c>
      <c r="Q17" s="626" t="s">
        <v>175</v>
      </c>
      <c r="R17" s="626"/>
    </row>
    <row r="18" spans="1:18" x14ac:dyDescent="0.25">
      <c r="A18" s="626" t="str">
        <f t="shared" si="0"/>
        <v>Nippon-Denso / E6DF‐14A365‐BB</v>
      </c>
      <c r="B18" s="626" t="s">
        <v>172</v>
      </c>
      <c r="C18" s="626" t="s">
        <v>176</v>
      </c>
      <c r="D18" s="590">
        <v>22.3</v>
      </c>
      <c r="E18" s="590">
        <v>1302</v>
      </c>
      <c r="F18" s="627">
        <f>E18/(12*16)</f>
        <v>6.78125</v>
      </c>
      <c r="G18" s="628">
        <f t="shared" si="1"/>
        <v>9.1940187499999997</v>
      </c>
      <c r="H18" s="590">
        <v>92</v>
      </c>
      <c r="I18" s="590">
        <v>2.8</v>
      </c>
      <c r="J18" s="590">
        <v>24.8</v>
      </c>
      <c r="K18" s="629">
        <v>12</v>
      </c>
      <c r="L18" s="630">
        <f>Motor_Table[[#This Row],[Torque (N-m)]]/(Motor_Table[[#This Row],[Stall Current (A)]]-Motor_Table[[#This Row],[Free Current (A)]])</f>
        <v>0.41790994318181818</v>
      </c>
      <c r="M18" s="630">
        <f>(Motor_Table[[#This Row],[Spec Voltage]]-Motor_Table[[#This Row],[R]]*Motor_Table[[#This Row],[Free Current (A)]])/Motor_Table[[#This Row],[Free speed (rad/s)]]</f>
        <v>1.1049326343686985</v>
      </c>
      <c r="N18" s="627">
        <f>Motor_Table[[#This Row],[Spec Voltage]]/Motor_Table[[#This Row],[Stall Current (A)]]</f>
        <v>0.48387096774193544</v>
      </c>
      <c r="O18" s="627">
        <f>Motor_Table[[#This Row],[Free Speed(rpm)]]*2*PI()/60</f>
        <v>9.6342174710086983</v>
      </c>
      <c r="P18" s="627">
        <f>Motor_Table[[#This Row],[Kt (Nm/amp)]]*Motor_Table[[#This Row],[Free Current (A)]]</f>
        <v>1.1701478409090909</v>
      </c>
      <c r="Q18" s="626"/>
      <c r="R18" s="626"/>
    </row>
    <row r="19" spans="1:18" x14ac:dyDescent="0.25">
      <c r="A19" s="626" t="str">
        <f t="shared" si="0"/>
        <v>Nippon-Denso / E6DF‐14A366‐BB</v>
      </c>
      <c r="B19" s="626" t="s">
        <v>172</v>
      </c>
      <c r="C19" s="626" t="s">
        <v>177</v>
      </c>
      <c r="D19" s="590">
        <v>22.3</v>
      </c>
      <c r="E19" s="590">
        <v>1302</v>
      </c>
      <c r="F19" s="627">
        <f>E19/(12*16)</f>
        <v>6.78125</v>
      </c>
      <c r="G19" s="628">
        <f t="shared" si="1"/>
        <v>9.1940187499999997</v>
      </c>
      <c r="H19" s="590">
        <v>92</v>
      </c>
      <c r="I19" s="590">
        <v>2.8</v>
      </c>
      <c r="J19" s="590">
        <v>24.8</v>
      </c>
      <c r="K19" s="629">
        <v>12</v>
      </c>
      <c r="L19" s="630">
        <f>Motor_Table[[#This Row],[Torque (N-m)]]/(Motor_Table[[#This Row],[Stall Current (A)]]-Motor_Table[[#This Row],[Free Current (A)]])</f>
        <v>0.41790994318181818</v>
      </c>
      <c r="M19" s="630">
        <f>(Motor_Table[[#This Row],[Spec Voltage]]-Motor_Table[[#This Row],[R]]*Motor_Table[[#This Row],[Free Current (A)]])/Motor_Table[[#This Row],[Free speed (rad/s)]]</f>
        <v>1.1049326343686985</v>
      </c>
      <c r="N19" s="627">
        <f>Motor_Table[[#This Row],[Spec Voltage]]/Motor_Table[[#This Row],[Stall Current (A)]]</f>
        <v>0.48387096774193544</v>
      </c>
      <c r="O19" s="627">
        <f>Motor_Table[[#This Row],[Free Speed(rpm)]]*2*PI()/60</f>
        <v>9.6342174710086983</v>
      </c>
      <c r="P19" s="627">
        <f>Motor_Table[[#This Row],[Kt (Nm/amp)]]*Motor_Table[[#This Row],[Free Current (A)]]</f>
        <v>1.1701478409090909</v>
      </c>
      <c r="Q19" s="626"/>
      <c r="R19" s="626"/>
    </row>
    <row r="20" spans="1:18" x14ac:dyDescent="0.25">
      <c r="A20" s="626" t="str">
        <f t="shared" si="0"/>
        <v>VEX / 217-3351 (Bag)</v>
      </c>
      <c r="B20" s="626" t="s">
        <v>173</v>
      </c>
      <c r="C20" s="626" t="s">
        <v>453</v>
      </c>
      <c r="D20" s="590">
        <v>149</v>
      </c>
      <c r="E20" s="590">
        <v>57</v>
      </c>
      <c r="F20" s="627">
        <f>E20/(16*12)</f>
        <v>0.296875</v>
      </c>
      <c r="G20" s="628">
        <f t="shared" si="1"/>
        <v>0.40250312499999996</v>
      </c>
      <c r="H20" s="590">
        <v>14000</v>
      </c>
      <c r="I20" s="590">
        <v>1.8</v>
      </c>
      <c r="J20" s="590">
        <v>41</v>
      </c>
      <c r="K20" s="629">
        <v>12</v>
      </c>
      <c r="L20" s="630">
        <f>Motor_Table[[#This Row],[Torque (N-m)]]/(Motor_Table[[#This Row],[Stall Current (A)]]-Motor_Table[[#This Row],[Free Current (A)]])</f>
        <v>1.0267936862244897E-2</v>
      </c>
      <c r="M20" s="630">
        <f>(Motor_Table[[#This Row],[Spec Voltage]]-Motor_Table[[#This Row],[R]]*Motor_Table[[#This Row],[Free Current (A)]])/Motor_Table[[#This Row],[Free speed (rad/s)]]</f>
        <v>7.8257650066649032E-3</v>
      </c>
      <c r="N20" s="627">
        <f>Motor_Table[[#This Row],[Spec Voltage]]/Motor_Table[[#This Row],[Stall Current (A)]]</f>
        <v>0.29268292682926828</v>
      </c>
      <c r="O20" s="627">
        <f>Motor_Table[[#This Row],[Free Speed(rpm)]]*2*PI()/60</f>
        <v>1466.0765716752367</v>
      </c>
      <c r="P20" s="627">
        <f>Motor_Table[[#This Row],[Kt (Nm/amp)]]*Motor_Table[[#This Row],[Free Current (A)]]</f>
        <v>1.8482286352040814E-2</v>
      </c>
      <c r="Q20" s="626"/>
      <c r="R20" s="626"/>
    </row>
    <row r="21" spans="1:18" x14ac:dyDescent="0.25">
      <c r="A21" s="626" t="str">
        <f t="shared" si="0"/>
        <v>VEX / 217-3371 (mini CIM)</v>
      </c>
      <c r="B21" s="626" t="s">
        <v>173</v>
      </c>
      <c r="C21" s="626" t="s">
        <v>454</v>
      </c>
      <c r="D21" s="590">
        <v>229</v>
      </c>
      <c r="E21" s="590">
        <v>198</v>
      </c>
      <c r="F21" s="627">
        <f>E21/(16*12)</f>
        <v>1.03125</v>
      </c>
      <c r="G21" s="628">
        <f t="shared" si="1"/>
        <v>1.39816875</v>
      </c>
      <c r="H21" s="590">
        <v>6200</v>
      </c>
      <c r="I21" s="590">
        <v>1.8</v>
      </c>
      <c r="J21" s="590">
        <v>86</v>
      </c>
      <c r="K21" s="629">
        <v>12</v>
      </c>
      <c r="L21" s="630">
        <f>Motor_Table[[#This Row],[Torque (N-m)]]/(Motor_Table[[#This Row],[Stall Current (A)]]-Motor_Table[[#This Row],[Free Current (A)]])</f>
        <v>1.6605329572446554E-2</v>
      </c>
      <c r="M21" s="630">
        <f>(Motor_Table[[#This Row],[Spec Voltage]]-Motor_Table[[#This Row],[R]]*Motor_Table[[#This Row],[Free Current (A)]])/Motor_Table[[#This Row],[Free speed (rad/s)]]</f>
        <v>1.8095666297830198E-2</v>
      </c>
      <c r="N21" s="627">
        <f>Motor_Table[[#This Row],[Spec Voltage]]/Motor_Table[[#This Row],[Stall Current (A)]]</f>
        <v>0.13953488372093023</v>
      </c>
      <c r="O21" s="627">
        <f>Motor_Table[[#This Row],[Free Speed(rpm)]]*2*PI()/60</f>
        <v>649.26248174189061</v>
      </c>
      <c r="P21" s="627">
        <f>Motor_Table[[#This Row],[Kt (Nm/amp)]]*Motor_Table[[#This Row],[Free Current (A)]]</f>
        <v>2.9889593230403799E-2</v>
      </c>
      <c r="Q21" s="626"/>
      <c r="R21" s="626"/>
    </row>
    <row r="22" spans="1:18" x14ac:dyDescent="0.25">
      <c r="A22" s="626" t="str">
        <f t="shared" si="0"/>
        <v>VEX / 775pro</v>
      </c>
      <c r="B22" s="626" t="s">
        <v>173</v>
      </c>
      <c r="C22" s="626" t="s">
        <v>740</v>
      </c>
      <c r="D22" s="590">
        <v>347</v>
      </c>
      <c r="E22" s="590"/>
      <c r="F22" s="627">
        <f>0.73756*Motor_Table[[#This Row],[Torque (N-m)]]</f>
        <v>0.52366760000000001</v>
      </c>
      <c r="G22" s="628">
        <v>0.71</v>
      </c>
      <c r="H22" s="590">
        <v>18730</v>
      </c>
      <c r="I22" s="590">
        <v>0.7</v>
      </c>
      <c r="J22" s="590">
        <v>134</v>
      </c>
      <c r="K22" s="629">
        <v>12</v>
      </c>
      <c r="L22" s="630">
        <f>Motor_Table[[#This Row],[Torque (N-m)]]/(Motor_Table[[#This Row],[Stall Current (A)]]-Motor_Table[[#This Row],[Free Current (A)]])</f>
        <v>5.3263315828957231E-3</v>
      </c>
      <c r="M22" s="630">
        <f>(Motor_Table[[#This Row],[Spec Voltage]]-Motor_Table[[#This Row],[R]]*Motor_Table[[#This Row],[Free Current (A)]])/Motor_Table[[#This Row],[Free speed (rad/s)]]</f>
        <v>6.0861156649432016E-3</v>
      </c>
      <c r="N22" s="627">
        <f>Motor_Table[[#This Row],[Spec Voltage]]/Motor_Table[[#This Row],[Stall Current (A)]]</f>
        <v>8.9552238805970144E-2</v>
      </c>
      <c r="O22" s="632">
        <f>Motor_Table[[#This Row],[Free Speed(rpm)]]*2*PI()/60</f>
        <v>1961.4010133912275</v>
      </c>
      <c r="P22" s="632">
        <f>Motor_Table[[#This Row],[Kt (Nm/amp)]]*Motor_Table[[#This Row],[Free Current (A)]]</f>
        <v>3.728432108027006E-3</v>
      </c>
      <c r="Q22" s="626"/>
      <c r="R22" s="62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50" r:id="rId3" name="Button 2">
              <controlPr defaultSize="0" print="0" autoFill="0" autoPict="0" macro="[0]!TOC">
                <anchor moveWithCells="1" sizeWithCells="1">
                  <from>
                    <xdr:col>2</xdr:col>
                    <xdr:colOff>95250</xdr:colOff>
                    <xdr:row>0</xdr:row>
                    <xdr:rowOff>0</xdr:rowOff>
                  </from>
                  <to>
                    <xdr:col>2</xdr:col>
                    <xdr:colOff>1028700</xdr:colOff>
                    <xdr:row>0</xdr:row>
                    <xdr:rowOff>209550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U31"/>
  <sheetViews>
    <sheetView showGridLines="0" zoomScaleNormal="100" workbookViewId="0">
      <pane ySplit="1" topLeftCell="A2" activePane="bottomLeft" state="frozen"/>
      <selection activeCell="G24" sqref="G24"/>
      <selection pane="bottomLeft" activeCell="A2" sqref="A2"/>
    </sheetView>
  </sheetViews>
  <sheetFormatPr defaultRowHeight="15" x14ac:dyDescent="0.25"/>
  <cols>
    <col min="1" max="1" width="42.140625" customWidth="1"/>
    <col min="2" max="2" width="11.5703125" bestFit="1" customWidth="1"/>
    <col min="4" max="4" width="7" customWidth="1"/>
    <col min="5" max="5" width="8.42578125" customWidth="1"/>
    <col min="6" max="6" width="7" customWidth="1"/>
    <col min="7" max="7" width="3.85546875" customWidth="1"/>
    <col min="8" max="8" width="11.5703125" bestFit="1" customWidth="1"/>
    <col min="10" max="10" width="5.85546875" customWidth="1"/>
    <col min="11" max="11" width="6.7109375" customWidth="1"/>
    <col min="12" max="12" width="4.85546875" customWidth="1"/>
    <col min="13" max="13" width="3.140625" customWidth="1"/>
    <col min="14" max="14" width="4" bestFit="1" customWidth="1"/>
    <col min="15" max="15" width="9.5703125" bestFit="1" customWidth="1"/>
  </cols>
  <sheetData>
    <row r="1" spans="1:21" ht="18" x14ac:dyDescent="0.25">
      <c r="A1" s="621" t="s">
        <v>188</v>
      </c>
    </row>
    <row r="2" spans="1:21" ht="15.75" x14ac:dyDescent="0.25">
      <c r="A2" s="381" t="s">
        <v>476</v>
      </c>
      <c r="B2" s="81" t="s">
        <v>180</v>
      </c>
      <c r="C2" s="77">
        <f>VLOOKUP($A$2,'FRC Motors'!$A$4:$Q$22,4,FALSE)</f>
        <v>340.11</v>
      </c>
      <c r="D2" s="78" t="s">
        <v>181</v>
      </c>
      <c r="E2" s="79">
        <f>C2*0.00134</f>
        <v>0.45574740000000002</v>
      </c>
      <c r="F2" s="80" t="s">
        <v>189</v>
      </c>
      <c r="N2" s="100"/>
      <c r="O2" s="101" t="s">
        <v>12</v>
      </c>
      <c r="P2" s="101" t="s">
        <v>40</v>
      </c>
      <c r="Q2" s="101" t="s">
        <v>41</v>
      </c>
      <c r="R2" s="101" t="s">
        <v>18</v>
      </c>
      <c r="S2" s="101" t="s">
        <v>42</v>
      </c>
      <c r="T2" s="101" t="s">
        <v>18</v>
      </c>
      <c r="U2" s="102"/>
    </row>
    <row r="3" spans="1:21" ht="21" customHeight="1" x14ac:dyDescent="0.25">
      <c r="A3" s="652">
        <f>VLOOKUP(A2,Motor_Table[],17,FALSE)</f>
        <v>0</v>
      </c>
      <c r="B3" s="82" t="s">
        <v>182</v>
      </c>
      <c r="C3" s="83">
        <f>VLOOKUP($A$2,'FRC Motors'!$A$4:$Q$22,9,FALSE)</f>
        <v>2.7</v>
      </c>
      <c r="D3" s="84"/>
      <c r="E3" s="84"/>
      <c r="F3" s="85"/>
      <c r="H3" s="73" t="s">
        <v>184</v>
      </c>
      <c r="I3" s="74">
        <f>VLOOKUP($A$2,'FRC Motors'!$A$4:$Q$22,10,FALSE)</f>
        <v>133</v>
      </c>
      <c r="J3" s="75" t="s">
        <v>332</v>
      </c>
      <c r="K3" s="74">
        <f>VLOOKUP($A$2,'FRC Motors'!$A$4:$Q$22,11,FALSE)</f>
        <v>12</v>
      </c>
      <c r="L3" s="76" t="s">
        <v>330</v>
      </c>
      <c r="N3" s="103" t="s">
        <v>45</v>
      </c>
      <c r="O3" s="104" t="s">
        <v>190</v>
      </c>
      <c r="P3" s="104" t="s">
        <v>191</v>
      </c>
      <c r="Q3" s="104" t="s">
        <v>43</v>
      </c>
      <c r="R3" s="104" t="s">
        <v>44</v>
      </c>
      <c r="S3" s="104" t="s">
        <v>45</v>
      </c>
      <c r="T3" s="104" t="s">
        <v>46</v>
      </c>
      <c r="U3" s="105" t="s">
        <v>47</v>
      </c>
    </row>
    <row r="4" spans="1:21" ht="21" customHeight="1" x14ac:dyDescent="0.25">
      <c r="A4" s="652"/>
      <c r="B4" s="86" t="s">
        <v>183</v>
      </c>
      <c r="C4" s="87">
        <f>VLOOKUP($A$2,'FRC Motors'!$A$4:$Q$22,8,FALSE)</f>
        <v>5310</v>
      </c>
      <c r="D4" s="88" t="s">
        <v>91</v>
      </c>
      <c r="E4" s="87">
        <f>C4*2*PI()/60</f>
        <v>556.06189968539343</v>
      </c>
      <c r="F4" s="89" t="s">
        <v>187</v>
      </c>
      <c r="H4" s="86" t="s">
        <v>185</v>
      </c>
      <c r="I4" s="90">
        <f>VLOOKUP($A$2,'FRC Motors'!$A$4:$Q$22,6,FALSE)</f>
        <v>1.7916666666666667</v>
      </c>
      <c r="J4" s="88" t="s">
        <v>92</v>
      </c>
      <c r="K4" s="90">
        <f>VLOOKUP($A$2,'FRC Motors'!$A$4:$Q$22,7,FALSE)</f>
        <v>2.4291416666666668</v>
      </c>
      <c r="L4" s="91" t="s">
        <v>186</v>
      </c>
      <c r="N4" s="96">
        <v>0</v>
      </c>
      <c r="O4" s="97">
        <f>$I$6*N4/100</f>
        <v>0</v>
      </c>
      <c r="P4" s="97">
        <f>(100-N4)*$C$6/60/100</f>
        <v>88.5</v>
      </c>
      <c r="Q4" s="97">
        <f>(N4*($I$5-$F$5)/100)+$F$5</f>
        <v>2.7000000000000006</v>
      </c>
      <c r="R4" s="97">
        <f t="shared" ref="R4:R23" si="0">O4*1.3558*2*PI()*P4</f>
        <v>0</v>
      </c>
      <c r="S4" s="98">
        <f>100*R4/T4</f>
        <v>0</v>
      </c>
      <c r="T4" s="98">
        <f>Q4*$C$5</f>
        <v>32.400000000000006</v>
      </c>
      <c r="U4" s="99">
        <f>P4*60</f>
        <v>5310</v>
      </c>
    </row>
    <row r="5" spans="1:21" ht="21" customHeight="1" x14ac:dyDescent="0.25">
      <c r="A5" s="652"/>
      <c r="B5" s="229" t="s">
        <v>405</v>
      </c>
      <c r="C5" s="252">
        <v>12</v>
      </c>
      <c r="D5" s="230" t="s">
        <v>182</v>
      </c>
      <c r="E5" s="230"/>
      <c r="F5" s="263">
        <f>C5*C3/K3</f>
        <v>2.7000000000000006</v>
      </c>
      <c r="G5" s="8"/>
      <c r="H5" s="257" t="s">
        <v>184</v>
      </c>
      <c r="I5" s="258">
        <f>C5*VLOOKUP($A$2,'FRC Motors'!$A$4:$Q$22,10,FALSE)/K3</f>
        <v>133</v>
      </c>
      <c r="J5" s="259" t="s">
        <v>332</v>
      </c>
      <c r="K5" s="258">
        <f>C5</f>
        <v>12</v>
      </c>
      <c r="L5" s="260" t="s">
        <v>330</v>
      </c>
      <c r="N5" s="92">
        <v>5</v>
      </c>
      <c r="O5" s="97">
        <f t="shared" ref="O5:O24" si="1">$I$6*N5/100</f>
        <v>8.9583333333333334E-2</v>
      </c>
      <c r="P5" s="97">
        <f t="shared" ref="P5:P24" si="2">(100-N5)*$C$6/60/100</f>
        <v>84.075000000000003</v>
      </c>
      <c r="Q5" s="97">
        <f t="shared" ref="Q5:Q24" si="3">(N5*($I$5-$F$5)/100)+$F$5</f>
        <v>9.2149999999999999</v>
      </c>
      <c r="R5" s="93">
        <f t="shared" si="0"/>
        <v>64.160773664151435</v>
      </c>
      <c r="S5" s="94">
        <f t="shared" ref="S5:S24" si="4">100*R5/T5</f>
        <v>58.022041656856068</v>
      </c>
      <c r="T5" s="98">
        <f t="shared" ref="T5:T24" si="5">Q5*$C$5</f>
        <v>110.58</v>
      </c>
      <c r="U5" s="95">
        <f t="shared" ref="U5:U24" si="6">P5*60</f>
        <v>5044.5</v>
      </c>
    </row>
    <row r="6" spans="1:21" ht="21" customHeight="1" x14ac:dyDescent="0.25">
      <c r="A6" s="652"/>
      <c r="B6" s="253" t="s">
        <v>183</v>
      </c>
      <c r="C6" s="254">
        <f>C5*VLOOKUP($A$2,'FRC Motors'!$A$4:$Q$22,8,FALSE)/K3</f>
        <v>5310</v>
      </c>
      <c r="D6" s="255" t="s">
        <v>91</v>
      </c>
      <c r="E6" s="254">
        <f>C6*2*PI()/60</f>
        <v>556.06189968539343</v>
      </c>
      <c r="F6" s="256" t="s">
        <v>187</v>
      </c>
      <c r="H6" s="253" t="s">
        <v>185</v>
      </c>
      <c r="I6" s="261">
        <f>C5*VLOOKUP($A$2,'FRC Motors'!$A$4:$Q$22,6,FALSE)/K3</f>
        <v>1.7916666666666667</v>
      </c>
      <c r="J6" s="255" t="s">
        <v>92</v>
      </c>
      <c r="K6" s="261">
        <f>C5*VLOOKUP($A$2,'FRC Motors'!$A$4:$Q$22,7,FALSE)/K3</f>
        <v>2.4291416666666668</v>
      </c>
      <c r="L6" s="262" t="s">
        <v>186</v>
      </c>
      <c r="N6" s="92">
        <v>10</v>
      </c>
      <c r="O6" s="97">
        <f t="shared" si="1"/>
        <v>0.17916666666666667</v>
      </c>
      <c r="P6" s="97">
        <f t="shared" si="2"/>
        <v>79.650000000000006</v>
      </c>
      <c r="Q6" s="97">
        <f t="shared" si="3"/>
        <v>15.73</v>
      </c>
      <c r="R6" s="93">
        <f t="shared" si="0"/>
        <v>121.56778167944483</v>
      </c>
      <c r="S6" s="94">
        <f t="shared" si="4"/>
        <v>64.403359652174629</v>
      </c>
      <c r="T6" s="98">
        <f t="shared" si="5"/>
        <v>188.76</v>
      </c>
      <c r="U6" s="95">
        <f t="shared" si="6"/>
        <v>4779</v>
      </c>
    </row>
    <row r="7" spans="1:21" x14ac:dyDescent="0.25">
      <c r="N7" s="92">
        <v>15</v>
      </c>
      <c r="O7" s="97">
        <f t="shared" si="1"/>
        <v>0.26874999999999999</v>
      </c>
      <c r="P7" s="97">
        <f t="shared" si="2"/>
        <v>75.224999999999994</v>
      </c>
      <c r="Q7" s="97">
        <f t="shared" si="3"/>
        <v>22.245000000000001</v>
      </c>
      <c r="R7" s="93">
        <f t="shared" si="0"/>
        <v>172.22102404588017</v>
      </c>
      <c r="S7" s="94">
        <f t="shared" si="4"/>
        <v>64.516754344002464</v>
      </c>
      <c r="T7" s="98">
        <f t="shared" si="5"/>
        <v>266.94</v>
      </c>
      <c r="U7" s="95">
        <f t="shared" si="6"/>
        <v>4513.5</v>
      </c>
    </row>
    <row r="8" spans="1:21" x14ac:dyDescent="0.25">
      <c r="N8" s="92">
        <v>20</v>
      </c>
      <c r="O8" s="97">
        <f t="shared" si="1"/>
        <v>0.35833333333333334</v>
      </c>
      <c r="P8" s="97">
        <f t="shared" si="2"/>
        <v>70.8</v>
      </c>
      <c r="Q8" s="97">
        <f t="shared" si="3"/>
        <v>28.759999999999998</v>
      </c>
      <c r="R8" s="93">
        <f t="shared" si="0"/>
        <v>216.12050076345747</v>
      </c>
      <c r="S8" s="94">
        <f t="shared" si="4"/>
        <v>62.62184189947191</v>
      </c>
      <c r="T8" s="98">
        <f t="shared" si="5"/>
        <v>345.12</v>
      </c>
      <c r="U8" s="95">
        <f t="shared" si="6"/>
        <v>4248</v>
      </c>
    </row>
    <row r="9" spans="1:21" x14ac:dyDescent="0.25">
      <c r="N9" s="92">
        <v>25</v>
      </c>
      <c r="O9" s="97">
        <f t="shared" si="1"/>
        <v>0.44791666666666674</v>
      </c>
      <c r="P9" s="97">
        <f t="shared" si="2"/>
        <v>66.375</v>
      </c>
      <c r="Q9" s="97">
        <f t="shared" si="3"/>
        <v>35.275000000000006</v>
      </c>
      <c r="R9" s="93">
        <f t="shared" si="0"/>
        <v>253.26621183217674</v>
      </c>
      <c r="S9" s="94">
        <f t="shared" si="4"/>
        <v>59.831375344242076</v>
      </c>
      <c r="T9" s="98">
        <f t="shared" si="5"/>
        <v>423.30000000000007</v>
      </c>
      <c r="U9" s="95">
        <f t="shared" si="6"/>
        <v>3982.5</v>
      </c>
    </row>
    <row r="10" spans="1:21" x14ac:dyDescent="0.25">
      <c r="N10" s="92">
        <v>30</v>
      </c>
      <c r="O10" s="97">
        <f t="shared" si="1"/>
        <v>0.53749999999999998</v>
      </c>
      <c r="P10" s="97">
        <f t="shared" si="2"/>
        <v>61.95</v>
      </c>
      <c r="Q10" s="97">
        <f t="shared" si="3"/>
        <v>41.790000000000006</v>
      </c>
      <c r="R10" s="93">
        <f t="shared" si="0"/>
        <v>283.65815725203794</v>
      </c>
      <c r="S10" s="94">
        <f t="shared" si="4"/>
        <v>56.564201414221479</v>
      </c>
      <c r="T10" s="98">
        <f t="shared" si="5"/>
        <v>501.48000000000008</v>
      </c>
      <c r="U10" s="95">
        <f t="shared" si="6"/>
        <v>3717</v>
      </c>
    </row>
    <row r="11" spans="1:21" x14ac:dyDescent="0.25">
      <c r="N11" s="92">
        <v>35</v>
      </c>
      <c r="O11" s="97">
        <f t="shared" si="1"/>
        <v>0.62708333333333333</v>
      </c>
      <c r="P11" s="97">
        <f t="shared" si="2"/>
        <v>57.524999999999999</v>
      </c>
      <c r="Q11" s="97">
        <f t="shared" si="3"/>
        <v>48.305</v>
      </c>
      <c r="R11" s="93">
        <f t="shared" si="0"/>
        <v>307.29633702304108</v>
      </c>
      <c r="S11" s="94">
        <f t="shared" si="4"/>
        <v>53.013203778601437</v>
      </c>
      <c r="T11" s="98">
        <f t="shared" si="5"/>
        <v>579.66</v>
      </c>
      <c r="U11" s="95">
        <f t="shared" si="6"/>
        <v>3451.5</v>
      </c>
    </row>
    <row r="12" spans="1:21" x14ac:dyDescent="0.25">
      <c r="N12" s="92">
        <v>40</v>
      </c>
      <c r="O12" s="97">
        <f t="shared" si="1"/>
        <v>0.71666666666666667</v>
      </c>
      <c r="P12" s="97">
        <f t="shared" si="2"/>
        <v>53.1</v>
      </c>
      <c r="Q12" s="97">
        <f t="shared" si="3"/>
        <v>54.82</v>
      </c>
      <c r="R12" s="93">
        <f t="shared" si="0"/>
        <v>324.18075114518621</v>
      </c>
      <c r="S12" s="94">
        <f t="shared" si="4"/>
        <v>49.279574234644627</v>
      </c>
      <c r="T12" s="98">
        <f t="shared" si="5"/>
        <v>657.84</v>
      </c>
      <c r="U12" s="95">
        <f t="shared" si="6"/>
        <v>3186</v>
      </c>
    </row>
    <row r="13" spans="1:21" x14ac:dyDescent="0.25">
      <c r="N13" s="92">
        <v>45</v>
      </c>
      <c r="O13" s="97">
        <f t="shared" si="1"/>
        <v>0.80625000000000002</v>
      </c>
      <c r="P13" s="97">
        <f t="shared" si="2"/>
        <v>48.674999999999997</v>
      </c>
      <c r="Q13" s="97">
        <f t="shared" si="3"/>
        <v>61.335000000000015</v>
      </c>
      <c r="R13" s="93">
        <f t="shared" si="0"/>
        <v>334.31139961847322</v>
      </c>
      <c r="S13" s="94">
        <f t="shared" si="4"/>
        <v>45.421510233210121</v>
      </c>
      <c r="T13" s="98">
        <f t="shared" si="5"/>
        <v>736.02000000000021</v>
      </c>
      <c r="U13" s="95">
        <f t="shared" si="6"/>
        <v>2920.5</v>
      </c>
    </row>
    <row r="14" spans="1:21" x14ac:dyDescent="0.25">
      <c r="N14" s="92">
        <v>50</v>
      </c>
      <c r="O14" s="97">
        <f t="shared" si="1"/>
        <v>0.89583333333333348</v>
      </c>
      <c r="P14" s="97">
        <f t="shared" si="2"/>
        <v>44.25</v>
      </c>
      <c r="Q14" s="97">
        <f t="shared" si="3"/>
        <v>67.850000000000009</v>
      </c>
      <c r="R14" s="93">
        <f t="shared" si="0"/>
        <v>337.68828244290233</v>
      </c>
      <c r="S14" s="94">
        <f t="shared" si="4"/>
        <v>41.474856600700356</v>
      </c>
      <c r="T14" s="98">
        <f t="shared" si="5"/>
        <v>814.2</v>
      </c>
      <c r="U14" s="95">
        <f t="shared" si="6"/>
        <v>2655</v>
      </c>
    </row>
    <row r="15" spans="1:21" x14ac:dyDescent="0.25">
      <c r="N15" s="92">
        <v>55</v>
      </c>
      <c r="O15" s="97">
        <f t="shared" si="1"/>
        <v>0.98541666666666672</v>
      </c>
      <c r="P15" s="97">
        <f t="shared" si="2"/>
        <v>39.825000000000003</v>
      </c>
      <c r="Q15" s="97">
        <f t="shared" si="3"/>
        <v>74.365000000000009</v>
      </c>
      <c r="R15" s="93">
        <f t="shared" si="0"/>
        <v>334.31139961847333</v>
      </c>
      <c r="S15" s="94">
        <f t="shared" si="4"/>
        <v>37.462896929388073</v>
      </c>
      <c r="T15" s="98">
        <f t="shared" si="5"/>
        <v>892.38000000000011</v>
      </c>
      <c r="U15" s="95">
        <f t="shared" si="6"/>
        <v>2389.5</v>
      </c>
    </row>
    <row r="16" spans="1:21" x14ac:dyDescent="0.25">
      <c r="N16" s="92">
        <v>60</v>
      </c>
      <c r="O16" s="97">
        <f t="shared" si="1"/>
        <v>1.075</v>
      </c>
      <c r="P16" s="97">
        <f t="shared" si="2"/>
        <v>35.4</v>
      </c>
      <c r="Q16" s="97">
        <f t="shared" si="3"/>
        <v>80.88000000000001</v>
      </c>
      <c r="R16" s="93">
        <f t="shared" si="0"/>
        <v>324.18075114518621</v>
      </c>
      <c r="S16" s="94">
        <f t="shared" si="4"/>
        <v>33.401412704540284</v>
      </c>
      <c r="T16" s="98">
        <f t="shared" si="5"/>
        <v>970.56000000000017</v>
      </c>
      <c r="U16" s="95">
        <f t="shared" si="6"/>
        <v>2124</v>
      </c>
    </row>
    <row r="17" spans="11:21" x14ac:dyDescent="0.25">
      <c r="N17" s="92">
        <v>65</v>
      </c>
      <c r="O17" s="97">
        <f t="shared" si="1"/>
        <v>1.1645833333333335</v>
      </c>
      <c r="P17" s="97">
        <f t="shared" si="2"/>
        <v>30.975000000000001</v>
      </c>
      <c r="Q17" s="97">
        <f t="shared" si="3"/>
        <v>87.394999999999996</v>
      </c>
      <c r="R17" s="93">
        <f t="shared" si="0"/>
        <v>307.29633702304113</v>
      </c>
      <c r="S17" s="94">
        <f t="shared" si="4"/>
        <v>29.301479587222868</v>
      </c>
      <c r="T17" s="98">
        <f t="shared" si="5"/>
        <v>1048.74</v>
      </c>
      <c r="U17" s="95">
        <f t="shared" si="6"/>
        <v>1858.5</v>
      </c>
    </row>
    <row r="18" spans="11:21" x14ac:dyDescent="0.25">
      <c r="N18" s="92">
        <v>70</v>
      </c>
      <c r="O18" s="97">
        <f t="shared" si="1"/>
        <v>1.2541666666666667</v>
      </c>
      <c r="P18" s="97">
        <f t="shared" si="2"/>
        <v>26.55</v>
      </c>
      <c r="Q18" s="97">
        <f t="shared" si="3"/>
        <v>93.91</v>
      </c>
      <c r="R18" s="93">
        <f t="shared" si="0"/>
        <v>283.65815725203794</v>
      </c>
      <c r="S18" s="94">
        <f t="shared" si="4"/>
        <v>25.171099745504375</v>
      </c>
      <c r="T18" s="98">
        <f t="shared" si="5"/>
        <v>1126.92</v>
      </c>
      <c r="U18" s="95">
        <f t="shared" si="6"/>
        <v>1593</v>
      </c>
    </row>
    <row r="19" spans="11:21" x14ac:dyDescent="0.25">
      <c r="N19" s="92">
        <v>75</v>
      </c>
      <c r="O19" s="97">
        <f t="shared" si="1"/>
        <v>1.34375</v>
      </c>
      <c r="P19" s="97">
        <f t="shared" si="2"/>
        <v>22.125</v>
      </c>
      <c r="Q19" s="97">
        <f t="shared" si="3"/>
        <v>100.425</v>
      </c>
      <c r="R19" s="93">
        <f t="shared" si="0"/>
        <v>253.26621183217674</v>
      </c>
      <c r="S19" s="94">
        <f t="shared" si="4"/>
        <v>21.016198807748466</v>
      </c>
      <c r="T19" s="98">
        <f t="shared" si="5"/>
        <v>1205.0999999999999</v>
      </c>
      <c r="U19" s="95">
        <f t="shared" si="6"/>
        <v>1327.5</v>
      </c>
    </row>
    <row r="20" spans="11:21" x14ac:dyDescent="0.25">
      <c r="N20" s="92">
        <v>80</v>
      </c>
      <c r="O20" s="97">
        <f t="shared" si="1"/>
        <v>1.4333333333333333</v>
      </c>
      <c r="P20" s="97">
        <f t="shared" si="2"/>
        <v>17.7</v>
      </c>
      <c r="Q20" s="97">
        <f t="shared" si="3"/>
        <v>106.94</v>
      </c>
      <c r="R20" s="93">
        <f t="shared" si="0"/>
        <v>216.12050076345747</v>
      </c>
      <c r="S20" s="94">
        <f t="shared" si="4"/>
        <v>16.841258397501516</v>
      </c>
      <c r="T20" s="98">
        <f t="shared" si="5"/>
        <v>1283.28</v>
      </c>
      <c r="U20" s="95">
        <f t="shared" si="6"/>
        <v>1062</v>
      </c>
    </row>
    <row r="21" spans="11:21" x14ac:dyDescent="0.25">
      <c r="N21" s="92">
        <v>85</v>
      </c>
      <c r="O21" s="97">
        <f t="shared" si="1"/>
        <v>1.5229166666666669</v>
      </c>
      <c r="P21" s="97">
        <f t="shared" si="2"/>
        <v>13.275</v>
      </c>
      <c r="Q21" s="97">
        <f t="shared" si="3"/>
        <v>113.45500000000003</v>
      </c>
      <c r="R21" s="93">
        <f t="shared" si="0"/>
        <v>172.2210240458802</v>
      </c>
      <c r="S21" s="94">
        <f t="shared" si="4"/>
        <v>12.649730733615394</v>
      </c>
      <c r="T21" s="98">
        <f t="shared" si="5"/>
        <v>1361.4600000000003</v>
      </c>
      <c r="U21" s="95">
        <f t="shared" si="6"/>
        <v>796.5</v>
      </c>
    </row>
    <row r="22" spans="11:21" x14ac:dyDescent="0.25">
      <c r="N22" s="92">
        <v>90</v>
      </c>
      <c r="O22" s="97">
        <f t="shared" si="1"/>
        <v>1.6125</v>
      </c>
      <c r="P22" s="97">
        <f t="shared" si="2"/>
        <v>8.85</v>
      </c>
      <c r="Q22" s="97">
        <f t="shared" si="3"/>
        <v>119.97000000000003</v>
      </c>
      <c r="R22" s="93">
        <f t="shared" si="0"/>
        <v>121.56778167944481</v>
      </c>
      <c r="S22" s="94">
        <f t="shared" si="4"/>
        <v>8.4443181406077059</v>
      </c>
      <c r="T22" s="98">
        <f t="shared" si="5"/>
        <v>1439.6400000000003</v>
      </c>
      <c r="U22" s="95">
        <f t="shared" si="6"/>
        <v>531</v>
      </c>
    </row>
    <row r="23" spans="11:21" x14ac:dyDescent="0.25">
      <c r="N23" s="92">
        <v>95</v>
      </c>
      <c r="O23" s="97">
        <f t="shared" si="1"/>
        <v>1.7020833333333334</v>
      </c>
      <c r="P23" s="97">
        <f t="shared" si="2"/>
        <v>4.4249999999999998</v>
      </c>
      <c r="Q23" s="97">
        <f t="shared" si="3"/>
        <v>126.48500000000003</v>
      </c>
      <c r="R23" s="93">
        <f t="shared" si="0"/>
        <v>64.160773664151435</v>
      </c>
      <c r="S23" s="94">
        <f t="shared" si="4"/>
        <v>4.2271661767634781</v>
      </c>
      <c r="T23" s="98">
        <f t="shared" si="5"/>
        <v>1517.8200000000004</v>
      </c>
      <c r="U23" s="95">
        <f t="shared" si="6"/>
        <v>265.5</v>
      </c>
    </row>
    <row r="24" spans="11:21" x14ac:dyDescent="0.25">
      <c r="N24" s="92">
        <v>100</v>
      </c>
      <c r="O24" s="97">
        <f t="shared" si="1"/>
        <v>1.791666666666667</v>
      </c>
      <c r="P24" s="97">
        <f t="shared" si="2"/>
        <v>0</v>
      </c>
      <c r="Q24" s="97">
        <f t="shared" si="3"/>
        <v>133</v>
      </c>
      <c r="R24" s="93">
        <f t="shared" ref="R24" si="7">O24*1.3558*2*PI()*P24</f>
        <v>0</v>
      </c>
      <c r="S24" s="94">
        <f t="shared" si="4"/>
        <v>0</v>
      </c>
      <c r="T24" s="98">
        <f t="shared" si="5"/>
        <v>1596</v>
      </c>
      <c r="U24" s="95">
        <f t="shared" si="6"/>
        <v>0</v>
      </c>
    </row>
    <row r="26" spans="11:21" x14ac:dyDescent="0.25">
      <c r="P26" s="8"/>
    </row>
    <row r="31" spans="11:21" x14ac:dyDescent="0.25">
      <c r="K31" s="8"/>
    </row>
  </sheetData>
  <mergeCells count="1">
    <mergeCell ref="A3:A6"/>
  </mergeCells>
  <dataValidations count="1">
    <dataValidation type="list" allowBlank="1" showInputMessage="1" showErrorMessage="1" sqref="A2">
      <formula1>motor_list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8" r:id="rId3" name="Button 6">
              <controlPr defaultSize="0" print="0" autoFill="0" autoPict="0" macro="[0]!TOC">
                <anchor moveWithCells="1" sizeWithCells="1">
                  <from>
                    <xdr:col>1</xdr:col>
                    <xdr:colOff>104775</xdr:colOff>
                    <xdr:row>0</xdr:row>
                    <xdr:rowOff>19050</xdr:rowOff>
                  </from>
                  <to>
                    <xdr:col>1</xdr:col>
                    <xdr:colOff>742950</xdr:colOff>
                    <xdr:row>0</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C38"/>
  <sheetViews>
    <sheetView workbookViewId="0">
      <pane ySplit="1" topLeftCell="A2" activePane="bottomLeft" state="frozen"/>
      <selection pane="bottomLeft" activeCell="B31" sqref="B31:B38"/>
    </sheetView>
  </sheetViews>
  <sheetFormatPr defaultRowHeight="15" x14ac:dyDescent="0.25"/>
  <cols>
    <col min="1" max="1" width="20.5703125" bestFit="1" customWidth="1"/>
    <col min="2" max="2" width="56.28515625" customWidth="1"/>
    <col min="3" max="3" width="15.7109375" customWidth="1"/>
  </cols>
  <sheetData>
    <row r="1" spans="1:3" ht="18" x14ac:dyDescent="0.25">
      <c r="A1" s="621" t="s">
        <v>830</v>
      </c>
    </row>
    <row r="3" spans="1:3" ht="18.75" x14ac:dyDescent="0.3">
      <c r="A3" s="106" t="s">
        <v>715</v>
      </c>
      <c r="B3" t="s">
        <v>823</v>
      </c>
      <c r="C3" t="s">
        <v>754</v>
      </c>
    </row>
    <row r="4" spans="1:3" x14ac:dyDescent="0.25">
      <c r="A4" s="3" t="s">
        <v>716</v>
      </c>
      <c r="B4" s="3" t="s">
        <v>829</v>
      </c>
      <c r="C4" s="3" t="s">
        <v>827</v>
      </c>
    </row>
    <row r="5" spans="1:3" x14ac:dyDescent="0.25">
      <c r="A5" s="3" t="s">
        <v>717</v>
      </c>
      <c r="B5" s="3" t="s">
        <v>826</v>
      </c>
      <c r="C5" s="3" t="s">
        <v>828</v>
      </c>
    </row>
    <row r="6" spans="1:3" x14ac:dyDescent="0.25">
      <c r="A6" s="3" t="s">
        <v>718</v>
      </c>
      <c r="B6" s="3" t="s">
        <v>825</v>
      </c>
      <c r="C6" s="3" t="s">
        <v>828</v>
      </c>
    </row>
    <row r="7" spans="1:3" x14ac:dyDescent="0.25">
      <c r="A7" s="3" t="s">
        <v>183</v>
      </c>
      <c r="B7" s="3" t="s">
        <v>822</v>
      </c>
      <c r="C7" s="3" t="s">
        <v>824</v>
      </c>
    </row>
    <row r="10" spans="1:3" ht="18.75" x14ac:dyDescent="0.3">
      <c r="A10" s="106" t="s">
        <v>704</v>
      </c>
    </row>
    <row r="11" spans="1:3" x14ac:dyDescent="0.25">
      <c r="B11" t="s">
        <v>705</v>
      </c>
    </row>
    <row r="12" spans="1:3" x14ac:dyDescent="0.25">
      <c r="B12" t="s">
        <v>706</v>
      </c>
    </row>
    <row r="13" spans="1:3" x14ac:dyDescent="0.25">
      <c r="B13" t="s">
        <v>723</v>
      </c>
    </row>
    <row r="15" spans="1:3" ht="18.75" x14ac:dyDescent="0.3">
      <c r="A15" s="106" t="s">
        <v>707</v>
      </c>
    </row>
    <row r="16" spans="1:3" x14ac:dyDescent="0.25">
      <c r="B16" t="s">
        <v>708</v>
      </c>
    </row>
    <row r="17" spans="1:2" x14ac:dyDescent="0.25">
      <c r="B17" t="s">
        <v>709</v>
      </c>
    </row>
    <row r="18" spans="1:2" x14ac:dyDescent="0.25">
      <c r="B18" t="s">
        <v>710</v>
      </c>
    </row>
    <row r="19" spans="1:2" x14ac:dyDescent="0.25">
      <c r="B19" t="s">
        <v>711</v>
      </c>
    </row>
    <row r="20" spans="1:2" x14ac:dyDescent="0.25">
      <c r="B20" t="s">
        <v>732</v>
      </c>
    </row>
    <row r="21" spans="1:2" ht="18.75" x14ac:dyDescent="0.3">
      <c r="A21" s="106" t="s">
        <v>712</v>
      </c>
    </row>
    <row r="22" spans="1:2" x14ac:dyDescent="0.25">
      <c r="B22" t="s">
        <v>719</v>
      </c>
    </row>
    <row r="23" spans="1:2" x14ac:dyDescent="0.25">
      <c r="B23" t="s">
        <v>727</v>
      </c>
    </row>
    <row r="24" spans="1:2" x14ac:dyDescent="0.25">
      <c r="B24" t="s">
        <v>728</v>
      </c>
    </row>
    <row r="26" spans="1:2" ht="18.75" x14ac:dyDescent="0.3">
      <c r="A26" s="106" t="s">
        <v>713</v>
      </c>
    </row>
    <row r="27" spans="1:2" x14ac:dyDescent="0.25">
      <c r="B27" t="s">
        <v>714</v>
      </c>
    </row>
    <row r="28" spans="1:2" x14ac:dyDescent="0.25">
      <c r="B28" t="s">
        <v>721</v>
      </c>
    </row>
    <row r="30" spans="1:2" ht="18.75" x14ac:dyDescent="0.3">
      <c r="A30" s="106" t="s">
        <v>729</v>
      </c>
    </row>
    <row r="31" spans="1:2" x14ac:dyDescent="0.25">
      <c r="B31" t="s">
        <v>730</v>
      </c>
    </row>
    <row r="32" spans="1:2" x14ac:dyDescent="0.25">
      <c r="B32" t="s">
        <v>731</v>
      </c>
    </row>
    <row r="33" spans="2:2" x14ac:dyDescent="0.25">
      <c r="B33" t="s">
        <v>733</v>
      </c>
    </row>
    <row r="34" spans="2:2" x14ac:dyDescent="0.25">
      <c r="B34" t="s">
        <v>734</v>
      </c>
    </row>
    <row r="35" spans="2:2" x14ac:dyDescent="0.25">
      <c r="B35" t="s">
        <v>735</v>
      </c>
    </row>
    <row r="36" spans="2:2" x14ac:dyDescent="0.25">
      <c r="B36" t="s">
        <v>736</v>
      </c>
    </row>
    <row r="37" spans="2:2" x14ac:dyDescent="0.25">
      <c r="B37" t="s">
        <v>737</v>
      </c>
    </row>
    <row r="38" spans="2:2" x14ac:dyDescent="0.25">
      <c r="B38" t="s">
        <v>738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1249" r:id="rId3" name="Button 1">
              <controlPr defaultSize="0" print="0" autoFill="0" autoPict="0" macro="[0]!TOC">
                <anchor moveWithCells="1" sizeWithCells="1">
                  <from>
                    <xdr:col>2</xdr:col>
                    <xdr:colOff>104775</xdr:colOff>
                    <xdr:row>0</xdr:row>
                    <xdr:rowOff>19050</xdr:rowOff>
                  </from>
                  <to>
                    <xdr:col>2</xdr:col>
                    <xdr:colOff>742950</xdr:colOff>
                    <xdr:row>0</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I19"/>
  <sheetViews>
    <sheetView showGridLines="0" workbookViewId="0">
      <pane ySplit="1" topLeftCell="A2" activePane="bottomLeft" state="frozen"/>
      <selection activeCell="A2" sqref="A2"/>
      <selection pane="bottomLeft" activeCell="F31" sqref="F31"/>
    </sheetView>
  </sheetViews>
  <sheetFormatPr defaultRowHeight="15" x14ac:dyDescent="0.25"/>
  <cols>
    <col min="1" max="1" width="17" customWidth="1"/>
    <col min="7" max="7" width="15.7109375" bestFit="1" customWidth="1"/>
    <col min="8" max="8" width="16.28515625" customWidth="1"/>
    <col min="9" max="9" width="17" customWidth="1"/>
    <col min="257" max="257" width="17" customWidth="1"/>
    <col min="263" max="263" width="15.7109375" bestFit="1" customWidth="1"/>
    <col min="264" max="264" width="16.28515625" customWidth="1"/>
    <col min="265" max="265" width="17" customWidth="1"/>
    <col min="513" max="513" width="17" customWidth="1"/>
    <col min="519" max="519" width="15.7109375" bestFit="1" customWidth="1"/>
    <col min="520" max="520" width="16.28515625" customWidth="1"/>
    <col min="521" max="521" width="17" customWidth="1"/>
    <col min="769" max="769" width="17" customWidth="1"/>
    <col min="775" max="775" width="15.7109375" bestFit="1" customWidth="1"/>
    <col min="776" max="776" width="16.28515625" customWidth="1"/>
    <col min="777" max="777" width="17" customWidth="1"/>
    <col min="1025" max="1025" width="17" customWidth="1"/>
    <col min="1031" max="1031" width="15.7109375" bestFit="1" customWidth="1"/>
    <col min="1032" max="1032" width="16.28515625" customWidth="1"/>
    <col min="1033" max="1033" width="17" customWidth="1"/>
    <col min="1281" max="1281" width="17" customWidth="1"/>
    <col min="1287" max="1287" width="15.7109375" bestFit="1" customWidth="1"/>
    <col min="1288" max="1288" width="16.28515625" customWidth="1"/>
    <col min="1289" max="1289" width="17" customWidth="1"/>
    <col min="1537" max="1537" width="17" customWidth="1"/>
    <col min="1543" max="1543" width="15.7109375" bestFit="1" customWidth="1"/>
    <col min="1544" max="1544" width="16.28515625" customWidth="1"/>
    <col min="1545" max="1545" width="17" customWidth="1"/>
    <col min="1793" max="1793" width="17" customWidth="1"/>
    <col min="1799" max="1799" width="15.7109375" bestFit="1" customWidth="1"/>
    <col min="1800" max="1800" width="16.28515625" customWidth="1"/>
    <col min="1801" max="1801" width="17" customWidth="1"/>
    <col min="2049" max="2049" width="17" customWidth="1"/>
    <col min="2055" max="2055" width="15.7109375" bestFit="1" customWidth="1"/>
    <col min="2056" max="2056" width="16.28515625" customWidth="1"/>
    <col min="2057" max="2057" width="17" customWidth="1"/>
    <col min="2305" max="2305" width="17" customWidth="1"/>
    <col min="2311" max="2311" width="15.7109375" bestFit="1" customWidth="1"/>
    <col min="2312" max="2312" width="16.28515625" customWidth="1"/>
    <col min="2313" max="2313" width="17" customWidth="1"/>
    <col min="2561" max="2561" width="17" customWidth="1"/>
    <col min="2567" max="2567" width="15.7109375" bestFit="1" customWidth="1"/>
    <col min="2568" max="2568" width="16.28515625" customWidth="1"/>
    <col min="2569" max="2569" width="17" customWidth="1"/>
    <col min="2817" max="2817" width="17" customWidth="1"/>
    <col min="2823" max="2823" width="15.7109375" bestFit="1" customWidth="1"/>
    <col min="2824" max="2824" width="16.28515625" customWidth="1"/>
    <col min="2825" max="2825" width="17" customWidth="1"/>
    <col min="3073" max="3073" width="17" customWidth="1"/>
    <col min="3079" max="3079" width="15.7109375" bestFit="1" customWidth="1"/>
    <col min="3080" max="3080" width="16.28515625" customWidth="1"/>
    <col min="3081" max="3081" width="17" customWidth="1"/>
    <col min="3329" max="3329" width="17" customWidth="1"/>
    <col min="3335" max="3335" width="15.7109375" bestFit="1" customWidth="1"/>
    <col min="3336" max="3336" width="16.28515625" customWidth="1"/>
    <col min="3337" max="3337" width="17" customWidth="1"/>
    <col min="3585" max="3585" width="17" customWidth="1"/>
    <col min="3591" max="3591" width="15.7109375" bestFit="1" customWidth="1"/>
    <col min="3592" max="3592" width="16.28515625" customWidth="1"/>
    <col min="3593" max="3593" width="17" customWidth="1"/>
    <col min="3841" max="3841" width="17" customWidth="1"/>
    <col min="3847" max="3847" width="15.7109375" bestFit="1" customWidth="1"/>
    <col min="3848" max="3848" width="16.28515625" customWidth="1"/>
    <col min="3849" max="3849" width="17" customWidth="1"/>
    <col min="4097" max="4097" width="17" customWidth="1"/>
    <col min="4103" max="4103" width="15.7109375" bestFit="1" customWidth="1"/>
    <col min="4104" max="4104" width="16.28515625" customWidth="1"/>
    <col min="4105" max="4105" width="17" customWidth="1"/>
    <col min="4353" max="4353" width="17" customWidth="1"/>
    <col min="4359" max="4359" width="15.7109375" bestFit="1" customWidth="1"/>
    <col min="4360" max="4360" width="16.28515625" customWidth="1"/>
    <col min="4361" max="4361" width="17" customWidth="1"/>
    <col min="4609" max="4609" width="17" customWidth="1"/>
    <col min="4615" max="4615" width="15.7109375" bestFit="1" customWidth="1"/>
    <col min="4616" max="4616" width="16.28515625" customWidth="1"/>
    <col min="4617" max="4617" width="17" customWidth="1"/>
    <col min="4865" max="4865" width="17" customWidth="1"/>
    <col min="4871" max="4871" width="15.7109375" bestFit="1" customWidth="1"/>
    <col min="4872" max="4872" width="16.28515625" customWidth="1"/>
    <col min="4873" max="4873" width="17" customWidth="1"/>
    <col min="5121" max="5121" width="17" customWidth="1"/>
    <col min="5127" max="5127" width="15.7109375" bestFit="1" customWidth="1"/>
    <col min="5128" max="5128" width="16.28515625" customWidth="1"/>
    <col min="5129" max="5129" width="17" customWidth="1"/>
    <col min="5377" max="5377" width="17" customWidth="1"/>
    <col min="5383" max="5383" width="15.7109375" bestFit="1" customWidth="1"/>
    <col min="5384" max="5384" width="16.28515625" customWidth="1"/>
    <col min="5385" max="5385" width="17" customWidth="1"/>
    <col min="5633" max="5633" width="17" customWidth="1"/>
    <col min="5639" max="5639" width="15.7109375" bestFit="1" customWidth="1"/>
    <col min="5640" max="5640" width="16.28515625" customWidth="1"/>
    <col min="5641" max="5641" width="17" customWidth="1"/>
    <col min="5889" max="5889" width="17" customWidth="1"/>
    <col min="5895" max="5895" width="15.7109375" bestFit="1" customWidth="1"/>
    <col min="5896" max="5896" width="16.28515625" customWidth="1"/>
    <col min="5897" max="5897" width="17" customWidth="1"/>
    <col min="6145" max="6145" width="17" customWidth="1"/>
    <col min="6151" max="6151" width="15.7109375" bestFit="1" customWidth="1"/>
    <col min="6152" max="6152" width="16.28515625" customWidth="1"/>
    <col min="6153" max="6153" width="17" customWidth="1"/>
    <col min="6401" max="6401" width="17" customWidth="1"/>
    <col min="6407" max="6407" width="15.7109375" bestFit="1" customWidth="1"/>
    <col min="6408" max="6408" width="16.28515625" customWidth="1"/>
    <col min="6409" max="6409" width="17" customWidth="1"/>
    <col min="6657" max="6657" width="17" customWidth="1"/>
    <col min="6663" max="6663" width="15.7109375" bestFit="1" customWidth="1"/>
    <col min="6664" max="6664" width="16.28515625" customWidth="1"/>
    <col min="6665" max="6665" width="17" customWidth="1"/>
    <col min="6913" max="6913" width="17" customWidth="1"/>
    <col min="6919" max="6919" width="15.7109375" bestFit="1" customWidth="1"/>
    <col min="6920" max="6920" width="16.28515625" customWidth="1"/>
    <col min="6921" max="6921" width="17" customWidth="1"/>
    <col min="7169" max="7169" width="17" customWidth="1"/>
    <col min="7175" max="7175" width="15.7109375" bestFit="1" customWidth="1"/>
    <col min="7176" max="7176" width="16.28515625" customWidth="1"/>
    <col min="7177" max="7177" width="17" customWidth="1"/>
    <col min="7425" max="7425" width="17" customWidth="1"/>
    <col min="7431" max="7431" width="15.7109375" bestFit="1" customWidth="1"/>
    <col min="7432" max="7432" width="16.28515625" customWidth="1"/>
    <col min="7433" max="7433" width="17" customWidth="1"/>
    <col min="7681" max="7681" width="17" customWidth="1"/>
    <col min="7687" max="7687" width="15.7109375" bestFit="1" customWidth="1"/>
    <col min="7688" max="7688" width="16.28515625" customWidth="1"/>
    <col min="7689" max="7689" width="17" customWidth="1"/>
    <col min="7937" max="7937" width="17" customWidth="1"/>
    <col min="7943" max="7943" width="15.7109375" bestFit="1" customWidth="1"/>
    <col min="7944" max="7944" width="16.28515625" customWidth="1"/>
    <col min="7945" max="7945" width="17" customWidth="1"/>
    <col min="8193" max="8193" width="17" customWidth="1"/>
    <col min="8199" max="8199" width="15.7109375" bestFit="1" customWidth="1"/>
    <col min="8200" max="8200" width="16.28515625" customWidth="1"/>
    <col min="8201" max="8201" width="17" customWidth="1"/>
    <col min="8449" max="8449" width="17" customWidth="1"/>
    <col min="8455" max="8455" width="15.7109375" bestFit="1" customWidth="1"/>
    <col min="8456" max="8456" width="16.28515625" customWidth="1"/>
    <col min="8457" max="8457" width="17" customWidth="1"/>
    <col min="8705" max="8705" width="17" customWidth="1"/>
    <col min="8711" max="8711" width="15.7109375" bestFit="1" customWidth="1"/>
    <col min="8712" max="8712" width="16.28515625" customWidth="1"/>
    <col min="8713" max="8713" width="17" customWidth="1"/>
    <col min="8961" max="8961" width="17" customWidth="1"/>
    <col min="8967" max="8967" width="15.7109375" bestFit="1" customWidth="1"/>
    <col min="8968" max="8968" width="16.28515625" customWidth="1"/>
    <col min="8969" max="8969" width="17" customWidth="1"/>
    <col min="9217" max="9217" width="17" customWidth="1"/>
    <col min="9223" max="9223" width="15.7109375" bestFit="1" customWidth="1"/>
    <col min="9224" max="9224" width="16.28515625" customWidth="1"/>
    <col min="9225" max="9225" width="17" customWidth="1"/>
    <col min="9473" max="9473" width="17" customWidth="1"/>
    <col min="9479" max="9479" width="15.7109375" bestFit="1" customWidth="1"/>
    <col min="9480" max="9480" width="16.28515625" customWidth="1"/>
    <col min="9481" max="9481" width="17" customWidth="1"/>
    <col min="9729" max="9729" width="17" customWidth="1"/>
    <col min="9735" max="9735" width="15.7109375" bestFit="1" customWidth="1"/>
    <col min="9736" max="9736" width="16.28515625" customWidth="1"/>
    <col min="9737" max="9737" width="17" customWidth="1"/>
    <col min="9985" max="9985" width="17" customWidth="1"/>
    <col min="9991" max="9991" width="15.7109375" bestFit="1" customWidth="1"/>
    <col min="9992" max="9992" width="16.28515625" customWidth="1"/>
    <col min="9993" max="9993" width="17" customWidth="1"/>
    <col min="10241" max="10241" width="17" customWidth="1"/>
    <col min="10247" max="10247" width="15.7109375" bestFit="1" customWidth="1"/>
    <col min="10248" max="10248" width="16.28515625" customWidth="1"/>
    <col min="10249" max="10249" width="17" customWidth="1"/>
    <col min="10497" max="10497" width="17" customWidth="1"/>
    <col min="10503" max="10503" width="15.7109375" bestFit="1" customWidth="1"/>
    <col min="10504" max="10504" width="16.28515625" customWidth="1"/>
    <col min="10505" max="10505" width="17" customWidth="1"/>
    <col min="10753" max="10753" width="17" customWidth="1"/>
    <col min="10759" max="10759" width="15.7109375" bestFit="1" customWidth="1"/>
    <col min="10760" max="10760" width="16.28515625" customWidth="1"/>
    <col min="10761" max="10761" width="17" customWidth="1"/>
    <col min="11009" max="11009" width="17" customWidth="1"/>
    <col min="11015" max="11015" width="15.7109375" bestFit="1" customWidth="1"/>
    <col min="11016" max="11016" width="16.28515625" customWidth="1"/>
    <col min="11017" max="11017" width="17" customWidth="1"/>
    <col min="11265" max="11265" width="17" customWidth="1"/>
    <col min="11271" max="11271" width="15.7109375" bestFit="1" customWidth="1"/>
    <col min="11272" max="11272" width="16.28515625" customWidth="1"/>
    <col min="11273" max="11273" width="17" customWidth="1"/>
    <col min="11521" max="11521" width="17" customWidth="1"/>
    <col min="11527" max="11527" width="15.7109375" bestFit="1" customWidth="1"/>
    <col min="11528" max="11528" width="16.28515625" customWidth="1"/>
    <col min="11529" max="11529" width="17" customWidth="1"/>
    <col min="11777" max="11777" width="17" customWidth="1"/>
    <col min="11783" max="11783" width="15.7109375" bestFit="1" customWidth="1"/>
    <col min="11784" max="11784" width="16.28515625" customWidth="1"/>
    <col min="11785" max="11785" width="17" customWidth="1"/>
    <col min="12033" max="12033" width="17" customWidth="1"/>
    <col min="12039" max="12039" width="15.7109375" bestFit="1" customWidth="1"/>
    <col min="12040" max="12040" width="16.28515625" customWidth="1"/>
    <col min="12041" max="12041" width="17" customWidth="1"/>
    <col min="12289" max="12289" width="17" customWidth="1"/>
    <col min="12295" max="12295" width="15.7109375" bestFit="1" customWidth="1"/>
    <col min="12296" max="12296" width="16.28515625" customWidth="1"/>
    <col min="12297" max="12297" width="17" customWidth="1"/>
    <col min="12545" max="12545" width="17" customWidth="1"/>
    <col min="12551" max="12551" width="15.7109375" bestFit="1" customWidth="1"/>
    <col min="12552" max="12552" width="16.28515625" customWidth="1"/>
    <col min="12553" max="12553" width="17" customWidth="1"/>
    <col min="12801" max="12801" width="17" customWidth="1"/>
    <col min="12807" max="12807" width="15.7109375" bestFit="1" customWidth="1"/>
    <col min="12808" max="12808" width="16.28515625" customWidth="1"/>
    <col min="12809" max="12809" width="17" customWidth="1"/>
    <col min="13057" max="13057" width="17" customWidth="1"/>
    <col min="13063" max="13063" width="15.7109375" bestFit="1" customWidth="1"/>
    <col min="13064" max="13064" width="16.28515625" customWidth="1"/>
    <col min="13065" max="13065" width="17" customWidth="1"/>
    <col min="13313" max="13313" width="17" customWidth="1"/>
    <col min="13319" max="13319" width="15.7109375" bestFit="1" customWidth="1"/>
    <col min="13320" max="13320" width="16.28515625" customWidth="1"/>
    <col min="13321" max="13321" width="17" customWidth="1"/>
    <col min="13569" max="13569" width="17" customWidth="1"/>
    <col min="13575" max="13575" width="15.7109375" bestFit="1" customWidth="1"/>
    <col min="13576" max="13576" width="16.28515625" customWidth="1"/>
    <col min="13577" max="13577" width="17" customWidth="1"/>
    <col min="13825" max="13825" width="17" customWidth="1"/>
    <col min="13831" max="13831" width="15.7109375" bestFit="1" customWidth="1"/>
    <col min="13832" max="13832" width="16.28515625" customWidth="1"/>
    <col min="13833" max="13833" width="17" customWidth="1"/>
    <col min="14081" max="14081" width="17" customWidth="1"/>
    <col min="14087" max="14087" width="15.7109375" bestFit="1" customWidth="1"/>
    <col min="14088" max="14088" width="16.28515625" customWidth="1"/>
    <col min="14089" max="14089" width="17" customWidth="1"/>
    <col min="14337" max="14337" width="17" customWidth="1"/>
    <col min="14343" max="14343" width="15.7109375" bestFit="1" customWidth="1"/>
    <col min="14344" max="14344" width="16.28515625" customWidth="1"/>
    <col min="14345" max="14345" width="17" customWidth="1"/>
    <col min="14593" max="14593" width="17" customWidth="1"/>
    <col min="14599" max="14599" width="15.7109375" bestFit="1" customWidth="1"/>
    <col min="14600" max="14600" width="16.28515625" customWidth="1"/>
    <col min="14601" max="14601" width="17" customWidth="1"/>
    <col min="14849" max="14849" width="17" customWidth="1"/>
    <col min="14855" max="14855" width="15.7109375" bestFit="1" customWidth="1"/>
    <col min="14856" max="14856" width="16.28515625" customWidth="1"/>
    <col min="14857" max="14857" width="17" customWidth="1"/>
    <col min="15105" max="15105" width="17" customWidth="1"/>
    <col min="15111" max="15111" width="15.7109375" bestFit="1" customWidth="1"/>
    <col min="15112" max="15112" width="16.28515625" customWidth="1"/>
    <col min="15113" max="15113" width="17" customWidth="1"/>
    <col min="15361" max="15361" width="17" customWidth="1"/>
    <col min="15367" max="15367" width="15.7109375" bestFit="1" customWidth="1"/>
    <col min="15368" max="15368" width="16.28515625" customWidth="1"/>
    <col min="15369" max="15369" width="17" customWidth="1"/>
    <col min="15617" max="15617" width="17" customWidth="1"/>
    <col min="15623" max="15623" width="15.7109375" bestFit="1" customWidth="1"/>
    <col min="15624" max="15624" width="16.28515625" customWidth="1"/>
    <col min="15625" max="15625" width="17" customWidth="1"/>
    <col min="15873" max="15873" width="17" customWidth="1"/>
    <col min="15879" max="15879" width="15.7109375" bestFit="1" customWidth="1"/>
    <col min="15880" max="15880" width="16.28515625" customWidth="1"/>
    <col min="15881" max="15881" width="17" customWidth="1"/>
    <col min="16129" max="16129" width="17" customWidth="1"/>
    <col min="16135" max="16135" width="15.7109375" bestFit="1" customWidth="1"/>
    <col min="16136" max="16136" width="16.28515625" customWidth="1"/>
    <col min="16137" max="16137" width="17" customWidth="1"/>
  </cols>
  <sheetData>
    <row r="1" spans="1:9" ht="18" x14ac:dyDescent="0.25">
      <c r="A1" s="53" t="s">
        <v>116</v>
      </c>
    </row>
    <row r="3" spans="1:9" ht="15.75" thickBot="1" x14ac:dyDescent="0.3">
      <c r="A3" s="54" t="s">
        <v>117</v>
      </c>
    </row>
    <row r="4" spans="1:9" x14ac:dyDescent="0.25">
      <c r="A4" s="55"/>
      <c r="B4" s="55"/>
      <c r="C4" s="55"/>
      <c r="D4" s="653" t="s">
        <v>118</v>
      </c>
      <c r="E4" s="654"/>
      <c r="F4" s="655"/>
    </row>
    <row r="5" spans="1:9" ht="15.75" thickBot="1" x14ac:dyDescent="0.3">
      <c r="A5" s="55"/>
      <c r="B5" s="55"/>
      <c r="C5" s="55"/>
      <c r="D5" s="56">
        <v>40</v>
      </c>
      <c r="E5" s="57">
        <v>50</v>
      </c>
      <c r="F5" s="58">
        <v>60</v>
      </c>
      <c r="G5" s="59" t="s">
        <v>119</v>
      </c>
      <c r="H5" s="59" t="s">
        <v>120</v>
      </c>
      <c r="I5" s="59" t="s">
        <v>120</v>
      </c>
    </row>
    <row r="6" spans="1:9" ht="15.75" thickTop="1" x14ac:dyDescent="0.25">
      <c r="A6" s="55" t="s">
        <v>121</v>
      </c>
      <c r="B6" s="55"/>
      <c r="C6" s="59" t="s">
        <v>122</v>
      </c>
      <c r="D6" s="656" t="s">
        <v>255</v>
      </c>
      <c r="E6" s="657"/>
      <c r="F6" s="658"/>
      <c r="G6" s="59" t="s">
        <v>123</v>
      </c>
      <c r="H6" s="59" t="s">
        <v>124</v>
      </c>
      <c r="I6" s="59" t="s">
        <v>86</v>
      </c>
    </row>
    <row r="7" spans="1:9" x14ac:dyDescent="0.25">
      <c r="A7" s="60" t="s">
        <v>125</v>
      </c>
      <c r="B7" s="3">
        <v>0.3125</v>
      </c>
      <c r="C7" s="61">
        <v>7.6699039394282062E-2</v>
      </c>
      <c r="D7" s="62">
        <v>3.0679615757712826</v>
      </c>
      <c r="E7" s="63">
        <v>3.834951969714103</v>
      </c>
      <c r="F7" s="64">
        <v>4.6019423636569234</v>
      </c>
      <c r="G7" s="65">
        <v>7.0000000000000007E-2</v>
      </c>
      <c r="H7" s="66" t="s">
        <v>126</v>
      </c>
      <c r="I7" s="659" t="s">
        <v>127</v>
      </c>
    </row>
    <row r="8" spans="1:9" x14ac:dyDescent="0.25">
      <c r="A8" s="60" t="s">
        <v>128</v>
      </c>
      <c r="B8" s="3">
        <v>0.4375</v>
      </c>
      <c r="C8" s="61">
        <v>0.15033011721279282</v>
      </c>
      <c r="D8" s="62">
        <v>6.0132046885117134</v>
      </c>
      <c r="E8" s="63">
        <v>7.5165058606396409</v>
      </c>
      <c r="F8" s="64">
        <v>9.0198070327675701</v>
      </c>
      <c r="G8" s="65">
        <v>0.15</v>
      </c>
      <c r="H8" s="66" t="s">
        <v>129</v>
      </c>
      <c r="I8" s="659"/>
    </row>
    <row r="9" spans="1:9" x14ac:dyDescent="0.25">
      <c r="A9" s="60" t="s">
        <v>130</v>
      </c>
      <c r="B9" s="3">
        <v>0.5625</v>
      </c>
      <c r="C9" s="61">
        <v>0.24850488763747386</v>
      </c>
      <c r="D9" s="62">
        <v>9.9401955054989539</v>
      </c>
      <c r="E9" s="63">
        <v>12.425244381873693</v>
      </c>
      <c r="F9" s="64">
        <v>14.910293258248432</v>
      </c>
      <c r="G9" s="65">
        <v>0.25</v>
      </c>
      <c r="H9" s="66" t="s">
        <v>131</v>
      </c>
      <c r="I9" s="659"/>
    </row>
    <row r="10" spans="1:9" x14ac:dyDescent="0.25">
      <c r="A10" s="60" t="s">
        <v>132</v>
      </c>
      <c r="B10" s="3">
        <v>0.75</v>
      </c>
      <c r="C10" s="61">
        <v>0.44178646691106466</v>
      </c>
      <c r="D10" s="62">
        <v>17.671458676442587</v>
      </c>
      <c r="E10" s="63">
        <v>22.089323345553233</v>
      </c>
      <c r="F10" s="64">
        <v>26.507188014663878</v>
      </c>
      <c r="G10" s="65">
        <v>0.4</v>
      </c>
      <c r="H10" s="66" t="s">
        <v>133</v>
      </c>
      <c r="I10" s="659"/>
    </row>
    <row r="11" spans="1:9" x14ac:dyDescent="0.25">
      <c r="A11" s="60" t="s">
        <v>134</v>
      </c>
      <c r="B11" s="3">
        <v>0.875</v>
      </c>
      <c r="C11" s="61">
        <v>0.6013204688511713</v>
      </c>
      <c r="D11" s="62">
        <v>24.052818754046854</v>
      </c>
      <c r="E11" s="63">
        <v>30.066023442558564</v>
      </c>
      <c r="F11" s="64">
        <v>36.07922813107028</v>
      </c>
      <c r="G11" s="65">
        <v>0.6</v>
      </c>
      <c r="H11" s="66" t="s">
        <v>135</v>
      </c>
      <c r="I11" s="659"/>
    </row>
    <row r="12" spans="1:9" x14ac:dyDescent="0.25">
      <c r="A12" s="60"/>
      <c r="B12" s="3">
        <v>1</v>
      </c>
      <c r="C12" s="61">
        <v>0.78539816339744828</v>
      </c>
      <c r="D12" s="62">
        <v>31.415926535897931</v>
      </c>
      <c r="E12" s="63">
        <v>39.269908169872416</v>
      </c>
      <c r="F12" s="64">
        <v>47.123889803846893</v>
      </c>
      <c r="G12" s="65"/>
      <c r="H12" s="65"/>
      <c r="I12" s="659"/>
    </row>
    <row r="13" spans="1:9" x14ac:dyDescent="0.25">
      <c r="A13" s="60" t="s">
        <v>136</v>
      </c>
      <c r="B13" s="3">
        <v>1.0625</v>
      </c>
      <c r="C13" s="61">
        <v>0.88664089539790059</v>
      </c>
      <c r="D13" s="62">
        <v>35.465635815916023</v>
      </c>
      <c r="E13" s="63">
        <v>44.332044769895028</v>
      </c>
      <c r="F13" s="64">
        <v>53.198453723874039</v>
      </c>
      <c r="G13" s="65">
        <v>0.9</v>
      </c>
      <c r="H13" s="66" t="s">
        <v>137</v>
      </c>
      <c r="I13" s="659"/>
    </row>
    <row r="14" spans="1:9" x14ac:dyDescent="0.25">
      <c r="A14" s="3" t="s">
        <v>138</v>
      </c>
      <c r="B14" s="3">
        <v>1.25</v>
      </c>
      <c r="C14" s="61">
        <v>1.227184630308513</v>
      </c>
      <c r="D14" s="62">
        <v>49.087385212340521</v>
      </c>
      <c r="E14" s="63">
        <v>61.359231515425648</v>
      </c>
      <c r="F14" s="64">
        <v>73.631077818510775</v>
      </c>
      <c r="G14" s="65">
        <v>1.2</v>
      </c>
      <c r="H14" s="66" t="s">
        <v>139</v>
      </c>
      <c r="I14" s="659"/>
    </row>
    <row r="15" spans="1:9" x14ac:dyDescent="0.25">
      <c r="A15" s="3" t="s">
        <v>140</v>
      </c>
      <c r="B15" s="3">
        <v>1.5</v>
      </c>
      <c r="C15" s="61">
        <v>1.7671458676442586</v>
      </c>
      <c r="D15" s="62">
        <v>70.685834705770347</v>
      </c>
      <c r="E15" s="63">
        <v>88.35729338221293</v>
      </c>
      <c r="F15" s="64">
        <v>106.02875205865551</v>
      </c>
      <c r="G15" s="65">
        <v>1.7</v>
      </c>
      <c r="H15" s="66" t="s">
        <v>141</v>
      </c>
      <c r="I15" s="659"/>
    </row>
    <row r="16" spans="1:9" x14ac:dyDescent="0.25">
      <c r="A16" s="3" t="s">
        <v>142</v>
      </c>
      <c r="B16" s="3">
        <v>1.75</v>
      </c>
      <c r="C16" s="61">
        <v>2.4052818754046852</v>
      </c>
      <c r="D16" s="62">
        <v>96.211275016187415</v>
      </c>
      <c r="E16" s="63">
        <v>120.26409377023425</v>
      </c>
      <c r="F16" s="64">
        <v>144.31691252428112</v>
      </c>
      <c r="G16" s="65">
        <v>2.4</v>
      </c>
      <c r="H16" s="66" t="s">
        <v>143</v>
      </c>
      <c r="I16" s="659"/>
    </row>
    <row r="17" spans="1:9" ht="15.75" thickBot="1" x14ac:dyDescent="0.3">
      <c r="A17" s="3" t="s">
        <v>144</v>
      </c>
      <c r="B17" s="3">
        <v>2</v>
      </c>
      <c r="C17" s="61">
        <v>3.1415926535897931</v>
      </c>
      <c r="D17" s="67">
        <v>125.66370614359172</v>
      </c>
      <c r="E17" s="68">
        <v>157.07963267948966</v>
      </c>
      <c r="F17" s="69">
        <v>188.49555921538757</v>
      </c>
      <c r="G17" s="65">
        <v>3.1</v>
      </c>
      <c r="H17" s="66" t="s">
        <v>145</v>
      </c>
      <c r="I17" s="659"/>
    </row>
    <row r="19" spans="1:9" x14ac:dyDescent="0.25">
      <c r="A19" t="s">
        <v>147</v>
      </c>
      <c r="H19" s="70" t="s">
        <v>146</v>
      </c>
    </row>
  </sheetData>
  <mergeCells count="3">
    <mergeCell ref="D4:F4"/>
    <mergeCell ref="D6:F6"/>
    <mergeCell ref="I7:I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TOC">
                <anchor moveWithCells="1" sizeWithCells="1">
                  <from>
                    <xdr:col>4</xdr:col>
                    <xdr:colOff>581025</xdr:colOff>
                    <xdr:row>0</xdr:row>
                    <xdr:rowOff>0</xdr:rowOff>
                  </from>
                  <to>
                    <xdr:col>6</xdr:col>
                    <xdr:colOff>142875</xdr:colOff>
                    <xdr:row>0</xdr:row>
                    <xdr:rowOff>219075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K65"/>
  <sheetViews>
    <sheetView showGridLines="0" workbookViewId="0">
      <pane ySplit="7" topLeftCell="A8" activePane="bottomLeft" state="frozen"/>
      <selection pane="bottomLeft" activeCell="A8" sqref="A8"/>
    </sheetView>
  </sheetViews>
  <sheetFormatPr defaultRowHeight="15" x14ac:dyDescent="0.25"/>
  <cols>
    <col min="1" max="4" width="18.140625" customWidth="1"/>
    <col min="6" max="9" width="15.28515625" customWidth="1"/>
  </cols>
  <sheetData>
    <row r="1" spans="1:11" ht="18" x14ac:dyDescent="0.25">
      <c r="A1" s="2" t="s">
        <v>461</v>
      </c>
    </row>
    <row r="3" spans="1:11" x14ac:dyDescent="0.25">
      <c r="A3" s="660" t="s">
        <v>442</v>
      </c>
      <c r="B3" s="660"/>
      <c r="C3" s="660"/>
      <c r="D3" s="660"/>
      <c r="F3" s="660" t="s">
        <v>442</v>
      </c>
      <c r="G3" s="660"/>
      <c r="H3" s="660"/>
      <c r="I3" s="660"/>
      <c r="K3" s="371"/>
    </row>
    <row r="4" spans="1:11" x14ac:dyDescent="0.25">
      <c r="A4" s="660" t="s">
        <v>443</v>
      </c>
      <c r="B4" s="660"/>
      <c r="C4" s="660"/>
      <c r="D4" s="660"/>
      <c r="F4" s="660" t="s">
        <v>445</v>
      </c>
      <c r="G4" s="660"/>
      <c r="H4" s="660"/>
      <c r="I4" s="660"/>
      <c r="K4" s="371"/>
    </row>
    <row r="5" spans="1:11" x14ac:dyDescent="0.25">
      <c r="A5" s="661" t="s">
        <v>444</v>
      </c>
      <c r="B5" s="661"/>
      <c r="C5" s="661"/>
      <c r="D5" s="661"/>
      <c r="F5" s="661" t="s">
        <v>446</v>
      </c>
      <c r="G5" s="661"/>
      <c r="H5" s="661"/>
      <c r="I5" s="661"/>
      <c r="K5" s="371"/>
    </row>
    <row r="6" spans="1:11" x14ac:dyDescent="0.25">
      <c r="A6" s="366" t="s">
        <v>440</v>
      </c>
      <c r="B6" s="366" t="s">
        <v>441</v>
      </c>
      <c r="C6" s="366" t="s">
        <v>150</v>
      </c>
      <c r="D6" s="366" t="s">
        <v>150</v>
      </c>
      <c r="F6" s="366" t="s">
        <v>440</v>
      </c>
      <c r="G6" s="366" t="s">
        <v>441</v>
      </c>
      <c r="H6" s="366" t="s">
        <v>150</v>
      </c>
      <c r="I6" s="366" t="s">
        <v>150</v>
      </c>
      <c r="K6" s="370"/>
    </row>
    <row r="7" spans="1:11" x14ac:dyDescent="0.25">
      <c r="A7" s="367" t="s">
        <v>151</v>
      </c>
      <c r="B7" s="367" t="s">
        <v>121</v>
      </c>
      <c r="C7" s="367" t="s">
        <v>121</v>
      </c>
      <c r="D7" s="367" t="s">
        <v>745</v>
      </c>
      <c r="F7" s="367" t="s">
        <v>151</v>
      </c>
      <c r="G7" s="367" t="s">
        <v>121</v>
      </c>
      <c r="H7" s="367" t="s">
        <v>121</v>
      </c>
      <c r="I7" s="367" t="s">
        <v>745</v>
      </c>
    </row>
    <row r="8" spans="1:11" x14ac:dyDescent="0.25">
      <c r="A8" s="368">
        <v>8</v>
      </c>
      <c r="B8" s="369">
        <v>0.754</v>
      </c>
      <c r="C8" s="369">
        <v>0.65300000000000002</v>
      </c>
      <c r="D8" s="609">
        <f>C8/2</f>
        <v>0.32650000000000001</v>
      </c>
      <c r="F8" s="368">
        <v>8</v>
      </c>
      <c r="G8" s="369">
        <v>1.1299999999999999</v>
      </c>
      <c r="H8" s="369">
        <v>0.98</v>
      </c>
      <c r="I8" s="609">
        <f>H8/2</f>
        <v>0.49</v>
      </c>
    </row>
    <row r="9" spans="1:11" x14ac:dyDescent="0.25">
      <c r="A9" s="368">
        <v>9</v>
      </c>
      <c r="B9" s="369">
        <v>0.83699999999999997</v>
      </c>
      <c r="C9" s="369">
        <v>0.73099999999999998</v>
      </c>
      <c r="D9" s="609">
        <f t="shared" ref="D9:D60" si="0">C9/2</f>
        <v>0.36549999999999999</v>
      </c>
      <c r="F9" s="368">
        <v>9</v>
      </c>
      <c r="G9" s="369">
        <v>1.256</v>
      </c>
      <c r="H9" s="369">
        <v>1.097</v>
      </c>
      <c r="I9" s="609">
        <f t="shared" ref="I9:I65" si="1">H9/2</f>
        <v>0.54849999999999999</v>
      </c>
    </row>
    <row r="10" spans="1:11" x14ac:dyDescent="0.25">
      <c r="A10" s="368">
        <v>10</v>
      </c>
      <c r="B10" s="369">
        <v>0.91900000000000004</v>
      </c>
      <c r="C10" s="369">
        <v>0.80900000000000005</v>
      </c>
      <c r="D10" s="609">
        <f t="shared" si="0"/>
        <v>0.40450000000000003</v>
      </c>
      <c r="F10" s="368">
        <v>10</v>
      </c>
      <c r="G10" s="369">
        <v>1.379</v>
      </c>
      <c r="H10" s="369">
        <v>1.214</v>
      </c>
      <c r="I10" s="609">
        <f t="shared" si="1"/>
        <v>0.60699999999999998</v>
      </c>
    </row>
    <row r="11" spans="1:11" x14ac:dyDescent="0.25">
      <c r="A11" s="368">
        <v>11</v>
      </c>
      <c r="B11" s="369">
        <v>1.002</v>
      </c>
      <c r="C11" s="369">
        <v>0.88700000000000001</v>
      </c>
      <c r="D11" s="609">
        <f t="shared" si="0"/>
        <v>0.44350000000000001</v>
      </c>
      <c r="F11" s="368">
        <v>11</v>
      </c>
      <c r="G11" s="369">
        <v>1.502</v>
      </c>
      <c r="H11" s="369">
        <v>1.331</v>
      </c>
      <c r="I11" s="609">
        <f t="shared" si="1"/>
        <v>0.66549999999999998</v>
      </c>
    </row>
    <row r="12" spans="1:11" x14ac:dyDescent="0.25">
      <c r="A12" s="368">
        <v>12</v>
      </c>
      <c r="B12" s="369">
        <v>1.083</v>
      </c>
      <c r="C12" s="369">
        <v>0.96599999999999997</v>
      </c>
      <c r="D12" s="609">
        <f t="shared" si="0"/>
        <v>0.48299999999999998</v>
      </c>
      <c r="F12" s="368">
        <v>12</v>
      </c>
      <c r="G12" s="369">
        <v>1.625</v>
      </c>
      <c r="H12" s="369">
        <v>1.4490000000000001</v>
      </c>
      <c r="I12" s="609">
        <f t="shared" si="1"/>
        <v>0.72450000000000003</v>
      </c>
    </row>
    <row r="13" spans="1:11" x14ac:dyDescent="0.25">
      <c r="A13" s="368">
        <v>13</v>
      </c>
      <c r="B13" s="369">
        <v>1.167</v>
      </c>
      <c r="C13" s="369">
        <v>1.0449999999999999</v>
      </c>
      <c r="D13" s="609">
        <f t="shared" si="0"/>
        <v>0.52249999999999996</v>
      </c>
      <c r="F13" s="368">
        <v>13</v>
      </c>
      <c r="G13" s="369">
        <v>1.746</v>
      </c>
      <c r="H13" s="369">
        <v>1.5669999999999999</v>
      </c>
      <c r="I13" s="609">
        <f t="shared" si="1"/>
        <v>0.78349999999999997</v>
      </c>
    </row>
    <row r="14" spans="1:11" x14ac:dyDescent="0.25">
      <c r="A14" s="368">
        <v>14</v>
      </c>
      <c r="B14" s="369">
        <v>1.246</v>
      </c>
      <c r="C14" s="369">
        <v>1.1240000000000001</v>
      </c>
      <c r="D14" s="609">
        <f t="shared" si="0"/>
        <v>0.56200000000000006</v>
      </c>
      <c r="F14" s="368">
        <v>14</v>
      </c>
      <c r="G14" s="369">
        <v>1.8680000000000001</v>
      </c>
      <c r="H14" s="369">
        <v>1.6850000000000001</v>
      </c>
      <c r="I14" s="609">
        <f t="shared" si="1"/>
        <v>0.84250000000000003</v>
      </c>
    </row>
    <row r="15" spans="1:11" x14ac:dyDescent="0.25">
      <c r="A15" s="368">
        <v>15</v>
      </c>
      <c r="B15" s="369">
        <v>1.3260000000000001</v>
      </c>
      <c r="C15" s="369">
        <v>1.2030000000000001</v>
      </c>
      <c r="D15" s="609">
        <f t="shared" si="0"/>
        <v>0.60150000000000003</v>
      </c>
      <c r="F15" s="368">
        <v>15</v>
      </c>
      <c r="G15" s="369">
        <v>1.9890000000000001</v>
      </c>
      <c r="H15" s="369">
        <v>1.804</v>
      </c>
      <c r="I15" s="609">
        <f t="shared" si="1"/>
        <v>0.90200000000000002</v>
      </c>
    </row>
    <row r="16" spans="1:11" x14ac:dyDescent="0.25">
      <c r="A16" s="368">
        <v>16</v>
      </c>
      <c r="B16" s="369">
        <v>1.407</v>
      </c>
      <c r="C16" s="369">
        <v>1.282</v>
      </c>
      <c r="D16" s="609">
        <f t="shared" si="0"/>
        <v>0.64100000000000001</v>
      </c>
      <c r="F16" s="368">
        <v>16</v>
      </c>
      <c r="G16" s="369">
        <v>2.11</v>
      </c>
      <c r="H16" s="369">
        <v>1.9219999999999999</v>
      </c>
      <c r="I16" s="609">
        <f t="shared" si="1"/>
        <v>0.96099999999999997</v>
      </c>
    </row>
    <row r="17" spans="1:9" x14ac:dyDescent="0.25">
      <c r="A17" s="368">
        <v>17</v>
      </c>
      <c r="B17" s="369">
        <v>1.4870000000000001</v>
      </c>
      <c r="C17" s="369">
        <v>1.361</v>
      </c>
      <c r="D17" s="609">
        <f t="shared" si="0"/>
        <v>0.68049999999999999</v>
      </c>
      <c r="F17" s="368">
        <v>17</v>
      </c>
      <c r="G17" s="369">
        <v>2.2309999999999999</v>
      </c>
      <c r="H17" s="369">
        <v>2.0409999999999999</v>
      </c>
      <c r="I17" s="609">
        <f t="shared" si="1"/>
        <v>1.0205</v>
      </c>
    </row>
    <row r="18" spans="1:9" x14ac:dyDescent="0.25">
      <c r="A18" s="368">
        <v>18</v>
      </c>
      <c r="B18" s="369">
        <v>1.5680000000000001</v>
      </c>
      <c r="C18" s="369">
        <v>1.44</v>
      </c>
      <c r="D18" s="609">
        <f t="shared" si="0"/>
        <v>0.72</v>
      </c>
      <c r="F18" s="368">
        <v>18</v>
      </c>
      <c r="G18" s="369">
        <v>2.3519999999999999</v>
      </c>
      <c r="H18" s="369">
        <v>2.16</v>
      </c>
      <c r="I18" s="609">
        <f t="shared" si="1"/>
        <v>1.08</v>
      </c>
    </row>
    <row r="19" spans="1:9" x14ac:dyDescent="0.25">
      <c r="A19" s="368">
        <v>19</v>
      </c>
      <c r="B19" s="369">
        <v>1.6479999999999999</v>
      </c>
      <c r="C19" s="369">
        <v>1.5189999999999999</v>
      </c>
      <c r="D19" s="609">
        <f t="shared" si="0"/>
        <v>0.75949999999999995</v>
      </c>
      <c r="F19" s="368">
        <v>19</v>
      </c>
      <c r="G19" s="369">
        <v>2.472</v>
      </c>
      <c r="H19" s="369">
        <v>2.2789999999999999</v>
      </c>
      <c r="I19" s="609">
        <f t="shared" si="1"/>
        <v>1.1395</v>
      </c>
    </row>
    <row r="20" spans="1:9" x14ac:dyDescent="0.25">
      <c r="A20" s="368">
        <v>20</v>
      </c>
      <c r="B20" s="369">
        <v>1.7290000000000001</v>
      </c>
      <c r="C20" s="369">
        <v>1.5980000000000001</v>
      </c>
      <c r="D20" s="609">
        <f t="shared" si="0"/>
        <v>0.79900000000000004</v>
      </c>
      <c r="F20" s="368">
        <v>20</v>
      </c>
      <c r="G20" s="369">
        <v>2.593</v>
      </c>
      <c r="H20" s="369">
        <v>2.3969999999999998</v>
      </c>
      <c r="I20" s="609">
        <f t="shared" si="1"/>
        <v>1.1984999999999999</v>
      </c>
    </row>
    <row r="21" spans="1:9" x14ac:dyDescent="0.25">
      <c r="A21" s="368">
        <v>21</v>
      </c>
      <c r="B21" s="369">
        <v>1.8089999999999999</v>
      </c>
      <c r="C21" s="369">
        <v>1.6779999999999999</v>
      </c>
      <c r="D21" s="609">
        <f t="shared" si="0"/>
        <v>0.83899999999999997</v>
      </c>
      <c r="F21" s="368">
        <v>21</v>
      </c>
      <c r="G21" s="369">
        <v>2.7130000000000001</v>
      </c>
      <c r="H21" s="369">
        <v>2.516</v>
      </c>
      <c r="I21" s="609">
        <f t="shared" si="1"/>
        <v>1.258</v>
      </c>
    </row>
    <row r="22" spans="1:9" x14ac:dyDescent="0.25">
      <c r="A22" s="368">
        <v>22</v>
      </c>
      <c r="B22" s="369">
        <v>1.889</v>
      </c>
      <c r="C22" s="369">
        <v>1.7569999999999999</v>
      </c>
      <c r="D22" s="609">
        <f t="shared" si="0"/>
        <v>0.87849999999999995</v>
      </c>
      <c r="F22" s="368">
        <v>22</v>
      </c>
      <c r="G22" s="369">
        <v>2.8330000000000002</v>
      </c>
      <c r="H22" s="369">
        <v>2.6349999999999998</v>
      </c>
      <c r="I22" s="609">
        <f t="shared" si="1"/>
        <v>1.3174999999999999</v>
      </c>
    </row>
    <row r="23" spans="1:9" x14ac:dyDescent="0.25">
      <c r="A23" s="368">
        <v>23</v>
      </c>
      <c r="B23" s="369">
        <v>1.9690000000000001</v>
      </c>
      <c r="C23" s="369">
        <v>1.8360000000000001</v>
      </c>
      <c r="D23" s="609">
        <f t="shared" si="0"/>
        <v>0.91800000000000004</v>
      </c>
      <c r="F23" s="368">
        <v>23</v>
      </c>
      <c r="G23" s="369">
        <v>2.9540000000000002</v>
      </c>
      <c r="H23" s="369">
        <v>2.754</v>
      </c>
      <c r="I23" s="609">
        <f t="shared" si="1"/>
        <v>1.377</v>
      </c>
    </row>
    <row r="24" spans="1:9" x14ac:dyDescent="0.25">
      <c r="A24" s="368">
        <v>24</v>
      </c>
      <c r="B24" s="369">
        <v>2.0489999999999999</v>
      </c>
      <c r="C24" s="369">
        <v>1.915</v>
      </c>
      <c r="D24" s="609">
        <f t="shared" si="0"/>
        <v>0.95750000000000002</v>
      </c>
      <c r="F24" s="368">
        <v>24</v>
      </c>
      <c r="G24" s="369">
        <v>3.0739999999999998</v>
      </c>
      <c r="H24" s="369">
        <v>2.8730000000000002</v>
      </c>
      <c r="I24" s="609">
        <f t="shared" si="1"/>
        <v>1.4365000000000001</v>
      </c>
    </row>
    <row r="25" spans="1:9" x14ac:dyDescent="0.25">
      <c r="A25" s="368">
        <v>25</v>
      </c>
      <c r="B25" s="369">
        <v>2.129</v>
      </c>
      <c r="C25" s="369">
        <v>1.9950000000000001</v>
      </c>
      <c r="D25" s="609">
        <f t="shared" si="0"/>
        <v>0.99750000000000005</v>
      </c>
      <c r="F25" s="368">
        <v>25</v>
      </c>
      <c r="G25" s="369">
        <v>3.194</v>
      </c>
      <c r="H25" s="369">
        <v>2.992</v>
      </c>
      <c r="I25" s="609">
        <f t="shared" si="1"/>
        <v>1.496</v>
      </c>
    </row>
    <row r="26" spans="1:9" x14ac:dyDescent="0.25">
      <c r="A26" s="368">
        <v>26</v>
      </c>
      <c r="B26" s="369">
        <v>2.2090000000000001</v>
      </c>
      <c r="C26" s="369">
        <v>2.0739999999999998</v>
      </c>
      <c r="D26" s="609">
        <f t="shared" si="0"/>
        <v>1.0369999999999999</v>
      </c>
      <c r="F26" s="368">
        <v>26</v>
      </c>
      <c r="G26" s="369">
        <v>3.3140000000000001</v>
      </c>
      <c r="H26" s="369">
        <v>3.1110000000000002</v>
      </c>
      <c r="I26" s="609">
        <f t="shared" si="1"/>
        <v>1.5555000000000001</v>
      </c>
    </row>
    <row r="27" spans="1:9" x14ac:dyDescent="0.25">
      <c r="A27" s="368">
        <v>27</v>
      </c>
      <c r="B27" s="369">
        <v>2.2890000000000001</v>
      </c>
      <c r="C27" s="369">
        <v>2.1539999999999999</v>
      </c>
      <c r="D27" s="609">
        <f t="shared" si="0"/>
        <v>1.077</v>
      </c>
      <c r="F27" s="368">
        <v>27</v>
      </c>
      <c r="G27" s="369">
        <v>3.4340000000000002</v>
      </c>
      <c r="H27" s="369">
        <v>3.23</v>
      </c>
      <c r="I27" s="609">
        <f t="shared" si="1"/>
        <v>1.615</v>
      </c>
    </row>
    <row r="28" spans="1:9" x14ac:dyDescent="0.25">
      <c r="A28" s="368">
        <v>28</v>
      </c>
      <c r="B28" s="369">
        <v>2.3690000000000002</v>
      </c>
      <c r="C28" s="369">
        <v>2.2330000000000001</v>
      </c>
      <c r="D28" s="609">
        <f t="shared" si="0"/>
        <v>1.1165</v>
      </c>
      <c r="F28" s="368">
        <v>28</v>
      </c>
      <c r="G28" s="369">
        <v>3.5529999999999999</v>
      </c>
      <c r="H28" s="369">
        <v>3.3490000000000002</v>
      </c>
      <c r="I28" s="609">
        <f t="shared" si="1"/>
        <v>1.6745000000000001</v>
      </c>
    </row>
    <row r="29" spans="1:9" x14ac:dyDescent="0.25">
      <c r="A29" s="368">
        <v>29</v>
      </c>
      <c r="B29" s="369">
        <v>2.4489999999999998</v>
      </c>
      <c r="C29" s="369">
        <v>2.3119999999999998</v>
      </c>
      <c r="D29" s="609">
        <f t="shared" si="0"/>
        <v>1.1559999999999999</v>
      </c>
      <c r="F29" s="368">
        <v>29</v>
      </c>
      <c r="G29" s="369">
        <v>3.673</v>
      </c>
      <c r="H29" s="369">
        <v>3.468</v>
      </c>
      <c r="I29" s="609">
        <f t="shared" si="1"/>
        <v>1.734</v>
      </c>
    </row>
    <row r="30" spans="1:9" x14ac:dyDescent="0.25">
      <c r="A30" s="368">
        <v>30</v>
      </c>
      <c r="B30" s="369">
        <v>2.5289999999999999</v>
      </c>
      <c r="C30" s="369">
        <v>2.3919999999999999</v>
      </c>
      <c r="D30" s="609">
        <f t="shared" si="0"/>
        <v>1.196</v>
      </c>
      <c r="F30" s="368">
        <v>30</v>
      </c>
      <c r="G30" s="369">
        <v>3.7930000000000001</v>
      </c>
      <c r="H30" s="369">
        <v>3.5880000000000001</v>
      </c>
      <c r="I30" s="609">
        <f t="shared" si="1"/>
        <v>1.794</v>
      </c>
    </row>
    <row r="31" spans="1:9" x14ac:dyDescent="0.25">
      <c r="A31" s="368">
        <v>31</v>
      </c>
      <c r="B31" s="369">
        <v>2.609</v>
      </c>
      <c r="C31" s="369">
        <v>2.4710000000000001</v>
      </c>
      <c r="D31" s="609">
        <f t="shared" si="0"/>
        <v>1.2355</v>
      </c>
      <c r="F31" s="368">
        <v>31</v>
      </c>
      <c r="G31" s="369">
        <v>3.9129999999999998</v>
      </c>
      <c r="H31" s="369">
        <v>3.7069999999999999</v>
      </c>
      <c r="I31" s="609">
        <f t="shared" si="1"/>
        <v>1.8534999999999999</v>
      </c>
    </row>
    <row r="32" spans="1:9" x14ac:dyDescent="0.25">
      <c r="A32" s="368">
        <v>32</v>
      </c>
      <c r="B32" s="369">
        <v>2.6880000000000002</v>
      </c>
      <c r="C32" s="369">
        <v>2.5510000000000002</v>
      </c>
      <c r="D32" s="609">
        <f t="shared" si="0"/>
        <v>1.2755000000000001</v>
      </c>
      <c r="F32" s="368">
        <v>32</v>
      </c>
      <c r="G32" s="369">
        <v>4.032</v>
      </c>
      <c r="H32" s="369">
        <v>3.8260000000000001</v>
      </c>
      <c r="I32" s="609">
        <f t="shared" si="1"/>
        <v>1.913</v>
      </c>
    </row>
    <row r="33" spans="1:9" x14ac:dyDescent="0.25">
      <c r="A33" s="368">
        <v>33</v>
      </c>
      <c r="B33" s="369">
        <v>2.7679999999999998</v>
      </c>
      <c r="C33" s="369">
        <v>2.63</v>
      </c>
      <c r="D33" s="609">
        <f t="shared" si="0"/>
        <v>1.3149999999999999</v>
      </c>
      <c r="F33" s="368">
        <v>33</v>
      </c>
      <c r="G33" s="369">
        <v>4.1520000000000001</v>
      </c>
      <c r="H33" s="369">
        <v>3.9449999999999998</v>
      </c>
      <c r="I33" s="609">
        <f t="shared" si="1"/>
        <v>1.9724999999999999</v>
      </c>
    </row>
    <row r="34" spans="1:9" x14ac:dyDescent="0.25">
      <c r="A34" s="368">
        <v>34</v>
      </c>
      <c r="B34" s="369">
        <v>2.8479999999999999</v>
      </c>
      <c r="C34" s="369">
        <v>2.71</v>
      </c>
      <c r="D34" s="609">
        <f t="shared" si="0"/>
        <v>1.355</v>
      </c>
      <c r="F34" s="368">
        <v>34</v>
      </c>
      <c r="G34" s="369">
        <v>4.2720000000000002</v>
      </c>
      <c r="H34" s="369">
        <v>4.0640000000000001</v>
      </c>
      <c r="I34" s="609">
        <f t="shared" si="1"/>
        <v>2.032</v>
      </c>
    </row>
    <row r="35" spans="1:9" x14ac:dyDescent="0.25">
      <c r="A35" s="368">
        <v>35</v>
      </c>
      <c r="B35" s="369">
        <v>2.9279999999999999</v>
      </c>
      <c r="C35" s="369">
        <v>2.7890000000000001</v>
      </c>
      <c r="D35" s="609">
        <f t="shared" si="0"/>
        <v>1.3945000000000001</v>
      </c>
      <c r="F35" s="368">
        <v>35</v>
      </c>
      <c r="G35" s="369">
        <v>4.3920000000000003</v>
      </c>
      <c r="H35" s="369">
        <v>4.1840000000000002</v>
      </c>
      <c r="I35" s="609">
        <f t="shared" si="1"/>
        <v>2.0920000000000001</v>
      </c>
    </row>
    <row r="36" spans="1:9" x14ac:dyDescent="0.25">
      <c r="A36" s="368">
        <v>36</v>
      </c>
      <c r="B36" s="369">
        <v>3.008</v>
      </c>
      <c r="C36" s="369">
        <v>2.8690000000000002</v>
      </c>
      <c r="D36" s="609">
        <f t="shared" si="0"/>
        <v>1.4345000000000001</v>
      </c>
      <c r="F36" s="368">
        <v>36</v>
      </c>
      <c r="G36" s="369">
        <v>4.5110000000000001</v>
      </c>
      <c r="H36" s="369">
        <v>4.3029999999999999</v>
      </c>
      <c r="I36" s="609">
        <f t="shared" si="1"/>
        <v>2.1515</v>
      </c>
    </row>
    <row r="37" spans="1:9" x14ac:dyDescent="0.25">
      <c r="A37" s="368">
        <v>37</v>
      </c>
      <c r="B37" s="369">
        <v>3.0870000000000002</v>
      </c>
      <c r="C37" s="369">
        <v>2.948</v>
      </c>
      <c r="D37" s="609">
        <f t="shared" si="0"/>
        <v>1.474</v>
      </c>
      <c r="F37" s="368">
        <v>37</v>
      </c>
      <c r="G37" s="369">
        <v>4.6310000000000002</v>
      </c>
      <c r="H37" s="369">
        <v>4.4219999999999997</v>
      </c>
      <c r="I37" s="609">
        <f t="shared" si="1"/>
        <v>2.2109999999999999</v>
      </c>
    </row>
    <row r="38" spans="1:9" x14ac:dyDescent="0.25">
      <c r="A38" s="368">
        <v>38</v>
      </c>
      <c r="B38" s="369">
        <v>3.1669999999999998</v>
      </c>
      <c r="C38" s="369">
        <v>3.028</v>
      </c>
      <c r="D38" s="609">
        <f t="shared" si="0"/>
        <v>1.514</v>
      </c>
      <c r="F38" s="368">
        <v>38</v>
      </c>
      <c r="G38" s="369">
        <v>4.7510000000000003</v>
      </c>
      <c r="H38" s="369">
        <v>4.5410000000000004</v>
      </c>
      <c r="I38" s="609">
        <f t="shared" si="1"/>
        <v>2.2705000000000002</v>
      </c>
    </row>
    <row r="39" spans="1:9" x14ac:dyDescent="0.25">
      <c r="A39" s="368">
        <v>39</v>
      </c>
      <c r="B39" s="369">
        <v>3.2469999999999999</v>
      </c>
      <c r="C39" s="369">
        <v>3.1070000000000002</v>
      </c>
      <c r="D39" s="609">
        <f t="shared" si="0"/>
        <v>1.5535000000000001</v>
      </c>
      <c r="F39" s="368">
        <v>39</v>
      </c>
      <c r="G39" s="369">
        <v>4.87</v>
      </c>
      <c r="H39" s="369">
        <v>4.6609999999999996</v>
      </c>
      <c r="I39" s="609">
        <f t="shared" si="1"/>
        <v>2.3304999999999998</v>
      </c>
    </row>
    <row r="40" spans="1:9" x14ac:dyDescent="0.25">
      <c r="A40" s="368">
        <v>40</v>
      </c>
      <c r="B40" s="369">
        <v>3.327</v>
      </c>
      <c r="C40" s="369">
        <v>3.1869999999999998</v>
      </c>
      <c r="D40" s="609">
        <f t="shared" si="0"/>
        <v>1.5934999999999999</v>
      </c>
      <c r="F40" s="368">
        <v>40</v>
      </c>
      <c r="G40" s="369">
        <v>4.99</v>
      </c>
      <c r="H40" s="369">
        <v>4.78</v>
      </c>
      <c r="I40" s="609">
        <f t="shared" si="1"/>
        <v>2.39</v>
      </c>
    </row>
    <row r="41" spans="1:9" x14ac:dyDescent="0.25">
      <c r="A41" s="368">
        <v>41</v>
      </c>
      <c r="B41" s="369">
        <v>3.4060000000000001</v>
      </c>
      <c r="C41" s="369">
        <v>3.266</v>
      </c>
      <c r="D41" s="609">
        <f t="shared" si="0"/>
        <v>1.633</v>
      </c>
      <c r="F41" s="368">
        <v>41</v>
      </c>
      <c r="G41" s="369">
        <v>5.109</v>
      </c>
      <c r="H41" s="369">
        <v>4.899</v>
      </c>
      <c r="I41" s="609">
        <f t="shared" si="1"/>
        <v>2.4495</v>
      </c>
    </row>
    <row r="42" spans="1:9" x14ac:dyDescent="0.25">
      <c r="A42" s="368">
        <v>42</v>
      </c>
      <c r="B42" s="369">
        <v>3.4860000000000002</v>
      </c>
      <c r="C42" s="369">
        <v>3.3460000000000001</v>
      </c>
      <c r="D42" s="609">
        <f t="shared" si="0"/>
        <v>1.673</v>
      </c>
      <c r="F42" s="368">
        <v>42</v>
      </c>
      <c r="G42" s="369">
        <v>5.2290000000000001</v>
      </c>
      <c r="H42" s="369">
        <v>5.0179999999999998</v>
      </c>
      <c r="I42" s="609">
        <f t="shared" si="1"/>
        <v>2.5089999999999999</v>
      </c>
    </row>
    <row r="43" spans="1:9" x14ac:dyDescent="0.25">
      <c r="A43" s="368">
        <v>43</v>
      </c>
      <c r="B43" s="369">
        <v>3.5659999999999998</v>
      </c>
      <c r="C43" s="369">
        <v>3.4249999999999998</v>
      </c>
      <c r="D43" s="609">
        <f t="shared" si="0"/>
        <v>1.7124999999999999</v>
      </c>
      <c r="F43" s="368">
        <v>43</v>
      </c>
      <c r="G43" s="369">
        <v>5.3490000000000002</v>
      </c>
      <c r="H43" s="369">
        <v>5.1379999999999999</v>
      </c>
      <c r="I43" s="609">
        <f t="shared" si="1"/>
        <v>2.569</v>
      </c>
    </row>
    <row r="44" spans="1:9" x14ac:dyDescent="0.25">
      <c r="A44" s="368">
        <v>44</v>
      </c>
      <c r="B44" s="369">
        <v>3.6459999999999999</v>
      </c>
      <c r="C44" s="369">
        <v>3.5049999999999999</v>
      </c>
      <c r="D44" s="609">
        <f t="shared" si="0"/>
        <v>1.7524999999999999</v>
      </c>
      <c r="F44" s="368">
        <v>44</v>
      </c>
      <c r="G44" s="369">
        <v>5.468</v>
      </c>
      <c r="H44" s="369">
        <v>5.2569999999999997</v>
      </c>
      <c r="I44" s="609">
        <f t="shared" si="1"/>
        <v>2.6284999999999998</v>
      </c>
    </row>
    <row r="45" spans="1:9" x14ac:dyDescent="0.25">
      <c r="A45" s="368">
        <v>45</v>
      </c>
      <c r="B45" s="369">
        <v>3.7250000000000001</v>
      </c>
      <c r="C45" s="369">
        <v>3.5840000000000001</v>
      </c>
      <c r="D45" s="609">
        <f t="shared" si="0"/>
        <v>1.792</v>
      </c>
      <c r="F45" s="368">
        <v>45</v>
      </c>
      <c r="G45" s="369">
        <v>5.5880000000000001</v>
      </c>
      <c r="H45" s="369">
        <v>5.3760000000000003</v>
      </c>
      <c r="I45" s="609">
        <f t="shared" si="1"/>
        <v>2.6880000000000002</v>
      </c>
    </row>
    <row r="46" spans="1:9" x14ac:dyDescent="0.25">
      <c r="A46" s="368">
        <v>46</v>
      </c>
      <c r="B46" s="369">
        <v>3.8050000000000002</v>
      </c>
      <c r="C46" s="369">
        <v>3.6640000000000001</v>
      </c>
      <c r="D46" s="609">
        <f t="shared" si="0"/>
        <v>1.8320000000000001</v>
      </c>
      <c r="F46" s="368">
        <v>46</v>
      </c>
      <c r="G46" s="369">
        <v>5.7069999999999999</v>
      </c>
      <c r="H46" s="369">
        <v>5.4950000000000001</v>
      </c>
      <c r="I46" s="609">
        <f t="shared" si="1"/>
        <v>2.7475000000000001</v>
      </c>
    </row>
    <row r="47" spans="1:9" x14ac:dyDescent="0.25">
      <c r="A47" s="368">
        <v>47</v>
      </c>
      <c r="B47" s="369">
        <v>3.8849999999999998</v>
      </c>
      <c r="C47" s="369">
        <v>3.7429999999999999</v>
      </c>
      <c r="D47" s="609">
        <f t="shared" si="0"/>
        <v>1.8714999999999999</v>
      </c>
      <c r="F47" s="368">
        <v>47</v>
      </c>
      <c r="G47" s="369">
        <v>5.827</v>
      </c>
      <c r="H47" s="369">
        <v>5.6150000000000002</v>
      </c>
      <c r="I47" s="609">
        <f t="shared" si="1"/>
        <v>2.8075000000000001</v>
      </c>
    </row>
    <row r="48" spans="1:9" x14ac:dyDescent="0.25">
      <c r="A48" s="368">
        <v>48</v>
      </c>
      <c r="B48" s="369">
        <v>3.964</v>
      </c>
      <c r="C48" s="369">
        <v>3.823</v>
      </c>
      <c r="D48" s="609">
        <f t="shared" si="0"/>
        <v>1.9115</v>
      </c>
      <c r="F48" s="368">
        <v>48</v>
      </c>
      <c r="G48" s="369">
        <v>5.9459999999999997</v>
      </c>
      <c r="H48" s="369">
        <v>5.734</v>
      </c>
      <c r="I48" s="609">
        <f t="shared" si="1"/>
        <v>2.867</v>
      </c>
    </row>
    <row r="49" spans="1:9" x14ac:dyDescent="0.25">
      <c r="A49" s="368">
        <v>49</v>
      </c>
      <c r="B49" s="369">
        <v>4.0439999999999996</v>
      </c>
      <c r="C49" s="369">
        <v>3.9020000000000001</v>
      </c>
      <c r="D49" s="609">
        <f t="shared" si="0"/>
        <v>1.9510000000000001</v>
      </c>
      <c r="F49" s="368">
        <v>49</v>
      </c>
      <c r="G49" s="369">
        <v>6.0659999999999998</v>
      </c>
      <c r="H49" s="369">
        <v>5.8529999999999998</v>
      </c>
      <c r="I49" s="609">
        <f t="shared" si="1"/>
        <v>2.9264999999999999</v>
      </c>
    </row>
    <row r="50" spans="1:9" x14ac:dyDescent="0.25">
      <c r="A50" s="368">
        <v>50</v>
      </c>
      <c r="B50" s="369">
        <v>4.1239999999999997</v>
      </c>
      <c r="C50" s="369">
        <v>3.9820000000000002</v>
      </c>
      <c r="D50" s="609">
        <f t="shared" si="0"/>
        <v>1.9910000000000001</v>
      </c>
      <c r="F50" s="368">
        <v>50</v>
      </c>
      <c r="G50" s="369">
        <v>6.1859999999999999</v>
      </c>
      <c r="H50" s="369">
        <v>5.9720000000000004</v>
      </c>
      <c r="I50" s="609">
        <f t="shared" si="1"/>
        <v>2.9860000000000002</v>
      </c>
    </row>
    <row r="51" spans="1:9" x14ac:dyDescent="0.25">
      <c r="A51" s="368">
        <v>51</v>
      </c>
      <c r="B51" s="369">
        <v>4.2030000000000003</v>
      </c>
      <c r="C51" s="369">
        <v>4.0609999999999999</v>
      </c>
      <c r="D51" s="609">
        <f t="shared" si="0"/>
        <v>2.0305</v>
      </c>
      <c r="F51" s="368">
        <v>51</v>
      </c>
      <c r="G51" s="369">
        <v>6.3049999999999997</v>
      </c>
      <c r="H51" s="369">
        <v>6.0919999999999996</v>
      </c>
      <c r="I51" s="609">
        <f t="shared" si="1"/>
        <v>3.0459999999999998</v>
      </c>
    </row>
    <row r="52" spans="1:9" x14ac:dyDescent="0.25">
      <c r="A52" s="368">
        <v>52</v>
      </c>
      <c r="B52" s="369">
        <v>4.2830000000000004</v>
      </c>
      <c r="C52" s="369">
        <v>4.141</v>
      </c>
      <c r="D52" s="609">
        <f t="shared" si="0"/>
        <v>2.0705</v>
      </c>
      <c r="F52" s="368">
        <v>52</v>
      </c>
      <c r="G52" s="369">
        <v>6.4249999999999998</v>
      </c>
      <c r="H52" s="369">
        <v>6.2110000000000003</v>
      </c>
      <c r="I52" s="609">
        <f t="shared" si="1"/>
        <v>3.1055000000000001</v>
      </c>
    </row>
    <row r="53" spans="1:9" x14ac:dyDescent="0.25">
      <c r="A53" s="368">
        <v>53</v>
      </c>
      <c r="B53" s="369">
        <v>4.3630000000000004</v>
      </c>
      <c r="C53" s="369">
        <v>4.22</v>
      </c>
      <c r="D53" s="609">
        <f t="shared" si="0"/>
        <v>2.11</v>
      </c>
      <c r="F53" s="368">
        <v>53</v>
      </c>
      <c r="G53" s="369">
        <v>6.5439999999999996</v>
      </c>
      <c r="H53" s="369">
        <v>6.33</v>
      </c>
      <c r="I53" s="609">
        <f t="shared" si="1"/>
        <v>3.165</v>
      </c>
    </row>
    <row r="54" spans="1:9" x14ac:dyDescent="0.25">
      <c r="A54" s="368">
        <v>54</v>
      </c>
      <c r="B54" s="369">
        <v>4.4420000000000002</v>
      </c>
      <c r="C54" s="369">
        <v>4.3</v>
      </c>
      <c r="D54" s="609">
        <f t="shared" si="0"/>
        <v>2.15</v>
      </c>
      <c r="F54" s="368">
        <v>54</v>
      </c>
      <c r="G54" s="369">
        <v>6.6630000000000003</v>
      </c>
      <c r="H54" s="369">
        <v>6.4489999999999998</v>
      </c>
      <c r="I54" s="609">
        <f t="shared" si="1"/>
        <v>3.2244999999999999</v>
      </c>
    </row>
    <row r="55" spans="1:9" x14ac:dyDescent="0.25">
      <c r="A55" s="368">
        <v>55</v>
      </c>
      <c r="B55" s="369">
        <v>4.5220000000000002</v>
      </c>
      <c r="C55" s="369">
        <v>4.3789999999999996</v>
      </c>
      <c r="D55" s="609">
        <f t="shared" si="0"/>
        <v>2.1894999999999998</v>
      </c>
      <c r="F55" s="368">
        <v>55</v>
      </c>
      <c r="G55" s="369">
        <v>6.7830000000000004</v>
      </c>
      <c r="H55" s="369">
        <v>6.569</v>
      </c>
      <c r="I55" s="609">
        <f t="shared" si="1"/>
        <v>3.2845</v>
      </c>
    </row>
    <row r="56" spans="1:9" x14ac:dyDescent="0.25">
      <c r="A56" s="368">
        <v>56</v>
      </c>
      <c r="B56" s="369">
        <v>4.6020000000000003</v>
      </c>
      <c r="C56" s="369">
        <v>4.4589999999999996</v>
      </c>
      <c r="D56" s="609">
        <f t="shared" si="0"/>
        <v>2.2294999999999998</v>
      </c>
      <c r="F56" s="368">
        <v>56</v>
      </c>
      <c r="G56" s="369">
        <v>6.9029999999999996</v>
      </c>
      <c r="H56" s="369">
        <v>6.6879999999999997</v>
      </c>
      <c r="I56" s="609">
        <f t="shared" si="1"/>
        <v>3.3439999999999999</v>
      </c>
    </row>
    <row r="57" spans="1:9" x14ac:dyDescent="0.25">
      <c r="A57" s="368">
        <v>57</v>
      </c>
      <c r="B57" s="369">
        <v>4.681</v>
      </c>
      <c r="C57" s="369">
        <v>4.5380000000000003</v>
      </c>
      <c r="D57" s="609">
        <f t="shared" si="0"/>
        <v>2.2690000000000001</v>
      </c>
      <c r="F57" s="368">
        <v>57</v>
      </c>
      <c r="G57" s="369">
        <v>7.0220000000000002</v>
      </c>
      <c r="H57" s="369">
        <v>6.8070000000000004</v>
      </c>
      <c r="I57" s="609">
        <f t="shared" si="1"/>
        <v>3.4035000000000002</v>
      </c>
    </row>
    <row r="58" spans="1:9" x14ac:dyDescent="0.25">
      <c r="A58" s="368">
        <v>58</v>
      </c>
      <c r="B58" s="369">
        <v>4.7610000000000001</v>
      </c>
      <c r="C58" s="369">
        <v>4.6180000000000003</v>
      </c>
      <c r="D58" s="609">
        <f t="shared" si="0"/>
        <v>2.3090000000000002</v>
      </c>
      <c r="F58" s="368">
        <v>58</v>
      </c>
      <c r="G58" s="369">
        <v>7.1420000000000003</v>
      </c>
      <c r="H58" s="369">
        <v>6.9269999999999996</v>
      </c>
      <c r="I58" s="609">
        <f t="shared" si="1"/>
        <v>3.4634999999999998</v>
      </c>
    </row>
    <row r="59" spans="1:9" x14ac:dyDescent="0.25">
      <c r="A59" s="368">
        <v>59</v>
      </c>
      <c r="B59" s="369">
        <v>4.8410000000000002</v>
      </c>
      <c r="C59" s="369">
        <v>4.6970000000000001</v>
      </c>
      <c r="D59" s="609">
        <f t="shared" si="0"/>
        <v>2.3485</v>
      </c>
      <c r="F59" s="368">
        <v>59</v>
      </c>
      <c r="G59" s="369">
        <v>7.2610000000000001</v>
      </c>
      <c r="H59" s="369">
        <v>7.0460000000000003</v>
      </c>
      <c r="I59" s="609">
        <f t="shared" si="1"/>
        <v>3.5230000000000001</v>
      </c>
    </row>
    <row r="60" spans="1:9" x14ac:dyDescent="0.25">
      <c r="A60" s="368">
        <v>60</v>
      </c>
      <c r="B60" s="369">
        <v>4.92</v>
      </c>
      <c r="C60" s="369">
        <v>4.7770000000000001</v>
      </c>
      <c r="D60" s="609">
        <f t="shared" si="0"/>
        <v>2.3885000000000001</v>
      </c>
      <c r="F60" s="368">
        <v>60</v>
      </c>
      <c r="G60" s="369">
        <v>7.38</v>
      </c>
      <c r="H60" s="369">
        <v>7.165</v>
      </c>
      <c r="I60" s="609">
        <f t="shared" si="1"/>
        <v>3.5825</v>
      </c>
    </row>
    <row r="61" spans="1:9" x14ac:dyDescent="0.25">
      <c r="F61" s="368">
        <v>61</v>
      </c>
      <c r="G61" s="369">
        <v>7.5</v>
      </c>
      <c r="H61" s="369">
        <v>7.2850000000000001</v>
      </c>
      <c r="I61" s="609">
        <f t="shared" si="1"/>
        <v>3.6425000000000001</v>
      </c>
    </row>
    <row r="62" spans="1:9" x14ac:dyDescent="0.25">
      <c r="F62" s="368">
        <v>62</v>
      </c>
      <c r="G62" s="369">
        <v>7.6189999999999998</v>
      </c>
      <c r="H62" s="369">
        <v>7.4039999999999999</v>
      </c>
      <c r="I62" s="609">
        <f t="shared" si="1"/>
        <v>3.702</v>
      </c>
    </row>
    <row r="63" spans="1:9" x14ac:dyDescent="0.25">
      <c r="F63" s="368">
        <v>63</v>
      </c>
      <c r="G63" s="369">
        <v>7.7389999999999999</v>
      </c>
      <c r="H63" s="369">
        <v>7.5229999999999997</v>
      </c>
      <c r="I63" s="609">
        <f t="shared" si="1"/>
        <v>3.7614999999999998</v>
      </c>
    </row>
    <row r="64" spans="1:9" x14ac:dyDescent="0.25">
      <c r="F64" s="368">
        <v>64</v>
      </c>
      <c r="G64" s="369">
        <v>7.859</v>
      </c>
      <c r="H64" s="369">
        <v>7.6429999999999998</v>
      </c>
      <c r="I64" s="609">
        <f t="shared" si="1"/>
        <v>3.8214999999999999</v>
      </c>
    </row>
    <row r="65" spans="6:9" x14ac:dyDescent="0.25">
      <c r="F65" s="368">
        <v>65</v>
      </c>
      <c r="G65" s="369">
        <v>7.9779999999999998</v>
      </c>
      <c r="H65" s="369">
        <v>7.7619999999999996</v>
      </c>
      <c r="I65" s="609">
        <f t="shared" si="1"/>
        <v>3.8809999999999998</v>
      </c>
    </row>
  </sheetData>
  <mergeCells count="6">
    <mergeCell ref="A3:D3"/>
    <mergeCell ref="A4:D4"/>
    <mergeCell ref="A5:D5"/>
    <mergeCell ref="F3:I3"/>
    <mergeCell ref="F4:I4"/>
    <mergeCell ref="F5:I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TOC">
                <anchor moveWithCells="1" sizeWithCells="1">
                  <from>
                    <xdr:col>4</xdr:col>
                    <xdr:colOff>581025</xdr:colOff>
                    <xdr:row>0</xdr:row>
                    <xdr:rowOff>0</xdr:rowOff>
                  </from>
                  <to>
                    <xdr:col>6</xdr:col>
                    <xdr:colOff>142875</xdr:colOff>
                    <xdr:row>0</xdr:row>
                    <xdr:rowOff>219075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G48"/>
  <sheetViews>
    <sheetView showGridLines="0" zoomScaleNormal="100" workbookViewId="0">
      <pane ySplit="1" topLeftCell="A2" activePane="bottomLeft" state="frozen"/>
      <selection activeCell="G28" sqref="G28"/>
      <selection pane="bottomLeft" activeCell="P34" sqref="P34"/>
    </sheetView>
  </sheetViews>
  <sheetFormatPr defaultRowHeight="15" x14ac:dyDescent="0.25"/>
  <cols>
    <col min="1" max="1" width="3.7109375" customWidth="1"/>
    <col min="2" max="2" width="36.42578125" customWidth="1"/>
    <col min="3" max="3" width="4.28515625" customWidth="1"/>
    <col min="4" max="4" width="9" customWidth="1"/>
    <col min="5" max="5" width="3.42578125" customWidth="1"/>
    <col min="6" max="6" width="27.140625" customWidth="1"/>
    <col min="7" max="7" width="12.28515625" customWidth="1"/>
  </cols>
  <sheetData>
    <row r="1" spans="1:7" ht="23.25" x14ac:dyDescent="0.35">
      <c r="A1" s="9" t="s">
        <v>114</v>
      </c>
      <c r="G1" s="51" t="s">
        <v>115</v>
      </c>
    </row>
    <row r="3" spans="1:7" ht="15.75" x14ac:dyDescent="0.25">
      <c r="B3" s="662" t="s">
        <v>95</v>
      </c>
      <c r="C3" s="663"/>
      <c r="D3" s="664"/>
    </row>
    <row r="4" spans="1:7" x14ac:dyDescent="0.25">
      <c r="B4" s="39"/>
      <c r="C4" s="40"/>
      <c r="D4" s="41"/>
    </row>
    <row r="5" spans="1:7" x14ac:dyDescent="0.25">
      <c r="B5" s="49" t="s">
        <v>96</v>
      </c>
      <c r="C5" s="42" t="s">
        <v>105</v>
      </c>
      <c r="D5" s="43">
        <v>0.25</v>
      </c>
      <c r="E5" s="35"/>
    </row>
    <row r="6" spans="1:7" x14ac:dyDescent="0.25">
      <c r="B6" s="49" t="s">
        <v>97</v>
      </c>
      <c r="C6" s="42" t="s">
        <v>106</v>
      </c>
      <c r="D6" s="44">
        <v>22</v>
      </c>
      <c r="E6" s="36"/>
    </row>
    <row r="7" spans="1:7" x14ac:dyDescent="0.25">
      <c r="B7" s="49" t="s">
        <v>98</v>
      </c>
      <c r="C7" s="45" t="s">
        <v>107</v>
      </c>
      <c r="D7" s="44">
        <v>22</v>
      </c>
      <c r="E7" s="36"/>
    </row>
    <row r="8" spans="1:7" x14ac:dyDescent="0.25">
      <c r="B8" s="49" t="s">
        <v>100</v>
      </c>
      <c r="C8" s="42" t="s">
        <v>104</v>
      </c>
      <c r="D8" s="43">
        <v>10.5</v>
      </c>
      <c r="E8" s="35"/>
    </row>
    <row r="9" spans="1:7" x14ac:dyDescent="0.25">
      <c r="B9" s="39"/>
      <c r="C9" s="42"/>
      <c r="D9" s="41"/>
    </row>
    <row r="10" spans="1:7" ht="15.75" x14ac:dyDescent="0.25">
      <c r="B10" s="46" t="s">
        <v>102</v>
      </c>
      <c r="C10" s="47" t="s">
        <v>108</v>
      </c>
      <c r="D10" s="52">
        <f>SUM(2*D8/D5+D6/2+D7/2+((D6-D7)/(2*3.14159))^2/(D8/D5))</f>
        <v>106</v>
      </c>
      <c r="E10" s="35"/>
    </row>
    <row r="11" spans="1:7" x14ac:dyDescent="0.25">
      <c r="B11" s="38"/>
      <c r="C11" s="38"/>
    </row>
    <row r="12" spans="1:7" ht="15.75" x14ac:dyDescent="0.25">
      <c r="B12" s="662" t="s">
        <v>94</v>
      </c>
      <c r="C12" s="663"/>
      <c r="D12" s="664"/>
    </row>
    <row r="13" spans="1:7" x14ac:dyDescent="0.25">
      <c r="B13" s="39"/>
      <c r="C13" s="40"/>
      <c r="D13" s="41"/>
    </row>
    <row r="14" spans="1:7" x14ac:dyDescent="0.25">
      <c r="B14" s="49" t="s">
        <v>96</v>
      </c>
      <c r="C14" s="42" t="s">
        <v>105</v>
      </c>
      <c r="D14" s="43">
        <v>0.25</v>
      </c>
      <c r="E14" s="35"/>
    </row>
    <row r="15" spans="1:7" x14ac:dyDescent="0.25">
      <c r="B15" s="49" t="s">
        <v>97</v>
      </c>
      <c r="C15" s="42" t="s">
        <v>106</v>
      </c>
      <c r="D15" s="44">
        <v>16</v>
      </c>
      <c r="E15" s="36"/>
    </row>
    <row r="16" spans="1:7" x14ac:dyDescent="0.25">
      <c r="B16" s="49" t="s">
        <v>98</v>
      </c>
      <c r="C16" s="45" t="s">
        <v>107</v>
      </c>
      <c r="D16" s="44">
        <v>16</v>
      </c>
      <c r="E16" s="36"/>
    </row>
    <row r="17" spans="2:5" x14ac:dyDescent="0.25">
      <c r="B17" s="49" t="s">
        <v>99</v>
      </c>
      <c r="C17" s="42" t="s">
        <v>108</v>
      </c>
      <c r="D17" s="44">
        <v>100</v>
      </c>
      <c r="E17" s="36"/>
    </row>
    <row r="18" spans="2:5" x14ac:dyDescent="0.25">
      <c r="B18" s="39"/>
      <c r="C18" s="40"/>
      <c r="D18" s="41"/>
    </row>
    <row r="19" spans="2:5" ht="15.75" x14ac:dyDescent="0.25">
      <c r="B19" s="46" t="s">
        <v>101</v>
      </c>
      <c r="C19" s="47" t="s">
        <v>104</v>
      </c>
      <c r="D19" s="48">
        <f>SUM(D14/8) * (2*D17-D15-D16 + SQRT((2*D17-D15-D16)^2-(8/3.14159^2)*((D15-D16)^2)) )</f>
        <v>10.5</v>
      </c>
      <c r="E19" s="35"/>
    </row>
    <row r="20" spans="2:5" x14ac:dyDescent="0.25">
      <c r="D20" s="35"/>
    </row>
    <row r="21" spans="2:5" ht="24" customHeight="1" x14ac:dyDescent="0.25"/>
    <row r="22" spans="2:5" x14ac:dyDescent="0.25">
      <c r="B22" s="34" t="s">
        <v>111</v>
      </c>
      <c r="C22" s="34"/>
    </row>
    <row r="23" spans="2:5" x14ac:dyDescent="0.25">
      <c r="B23" s="34" t="s">
        <v>112</v>
      </c>
      <c r="C23" s="34"/>
    </row>
    <row r="24" spans="2:5" x14ac:dyDescent="0.25">
      <c r="B24" s="34"/>
      <c r="C24" s="34"/>
    </row>
    <row r="48" spans="1:1" x14ac:dyDescent="0.25">
      <c r="A48" s="37"/>
    </row>
  </sheetData>
  <mergeCells count="2">
    <mergeCell ref="B3:D3"/>
    <mergeCell ref="B12:D12"/>
  </mergeCells>
  <dataValidations count="1">
    <dataValidation type="list" allowBlank="1" showInputMessage="1" showErrorMessage="1" sqref="D5 D14">
      <formula1>"0.25,0.375"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OC">
                <anchor moveWithCells="1" sizeWithCells="1">
                  <from>
                    <xdr:col>5</xdr:col>
                    <xdr:colOff>0</xdr:colOff>
                    <xdr:row>0</xdr:row>
                    <xdr:rowOff>47625</xdr:rowOff>
                  </from>
                  <to>
                    <xdr:col>5</xdr:col>
                    <xdr:colOff>781050</xdr:colOff>
                    <xdr:row>0</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J19"/>
  <sheetViews>
    <sheetView showGridLines="0" workbookViewId="0">
      <pane ySplit="1" topLeftCell="A2" activePane="bottomLeft" state="frozen"/>
      <selection activeCell="G28" sqref="G28"/>
      <selection pane="bottomLeft" activeCell="C4" sqref="C4"/>
    </sheetView>
  </sheetViews>
  <sheetFormatPr defaultRowHeight="15" x14ac:dyDescent="0.25"/>
  <cols>
    <col min="1" max="1" width="8.42578125" customWidth="1"/>
    <col min="2" max="2" width="24" customWidth="1"/>
    <col min="3" max="3" width="12" customWidth="1"/>
    <col min="6" max="6" width="9.42578125" bestFit="1" customWidth="1"/>
    <col min="8" max="8" width="12.85546875" customWidth="1"/>
    <col min="9" max="9" width="9.42578125" bestFit="1" customWidth="1"/>
    <col min="10" max="10" width="9.85546875" customWidth="1"/>
  </cols>
  <sheetData>
    <row r="1" spans="1:10" ht="23.25" x14ac:dyDescent="0.35">
      <c r="A1" s="9" t="s">
        <v>247</v>
      </c>
    </row>
    <row r="3" spans="1:10" ht="19.5" thickBot="1" x14ac:dyDescent="0.35">
      <c r="A3" s="648" t="s">
        <v>682</v>
      </c>
      <c r="B3" s="648"/>
      <c r="C3" s="648"/>
      <c r="D3" s="648"/>
      <c r="E3" s="648"/>
      <c r="F3" s="648"/>
      <c r="G3" s="648"/>
      <c r="H3" s="648"/>
      <c r="I3" s="648"/>
      <c r="J3" s="648"/>
    </row>
    <row r="4" spans="1:10" x14ac:dyDescent="0.25">
      <c r="A4" s="665" t="s">
        <v>248</v>
      </c>
      <c r="B4" s="112"/>
      <c r="C4" s="113" t="s">
        <v>155</v>
      </c>
      <c r="D4" s="113" t="s">
        <v>156</v>
      </c>
      <c r="E4" s="113" t="s">
        <v>157</v>
      </c>
      <c r="F4" s="113" t="s">
        <v>158</v>
      </c>
      <c r="G4" s="113" t="s">
        <v>159</v>
      </c>
      <c r="H4" s="113" t="s">
        <v>161</v>
      </c>
      <c r="I4" s="114"/>
      <c r="J4" s="115"/>
    </row>
    <row r="5" spans="1:10" ht="18.75" x14ac:dyDescent="0.3">
      <c r="A5" s="666"/>
      <c r="B5" s="123" t="s">
        <v>251</v>
      </c>
      <c r="C5" s="111">
        <v>5310</v>
      </c>
      <c r="D5" s="124"/>
      <c r="E5" s="124"/>
      <c r="F5" s="124"/>
      <c r="G5" s="124"/>
      <c r="H5" s="124"/>
      <c r="I5" s="668" t="s">
        <v>250</v>
      </c>
      <c r="J5" s="669"/>
    </row>
    <row r="6" spans="1:10" ht="18.75" x14ac:dyDescent="0.25">
      <c r="A6" s="666"/>
      <c r="B6" s="92" t="s">
        <v>153</v>
      </c>
      <c r="C6" s="110">
        <v>12</v>
      </c>
      <c r="D6" s="110">
        <v>12</v>
      </c>
      <c r="E6" s="110">
        <v>1</v>
      </c>
      <c r="F6" s="110">
        <v>1</v>
      </c>
      <c r="G6" s="110">
        <v>1</v>
      </c>
      <c r="H6" s="108"/>
      <c r="I6" s="606">
        <v>2</v>
      </c>
      <c r="J6" s="122" t="s">
        <v>249</v>
      </c>
    </row>
    <row r="7" spans="1:10" ht="18.75" x14ac:dyDescent="0.3">
      <c r="A7" s="666"/>
      <c r="B7" s="92" t="s">
        <v>154</v>
      </c>
      <c r="C7" s="110">
        <v>30</v>
      </c>
      <c r="D7" s="110">
        <v>30</v>
      </c>
      <c r="E7" s="110">
        <v>1</v>
      </c>
      <c r="F7" s="110">
        <v>1</v>
      </c>
      <c r="G7" s="110">
        <v>1</v>
      </c>
      <c r="H7" s="108"/>
      <c r="I7" s="607">
        <f>I6*2*PI()*H8/60</f>
        <v>177.9398078993259</v>
      </c>
      <c r="J7" s="122" t="s">
        <v>744</v>
      </c>
    </row>
    <row r="8" spans="1:10" ht="21" x14ac:dyDescent="0.3">
      <c r="A8" s="666"/>
      <c r="B8" s="123" t="s">
        <v>252</v>
      </c>
      <c r="C8" s="124"/>
      <c r="D8" s="124"/>
      <c r="E8" s="124"/>
      <c r="F8" s="124"/>
      <c r="G8" s="124"/>
      <c r="H8" s="280">
        <f>H9*C5</f>
        <v>849.60000000000014</v>
      </c>
      <c r="I8" s="607">
        <f>I7/12</f>
        <v>14.828317324943825</v>
      </c>
      <c r="J8" s="122" t="s">
        <v>743</v>
      </c>
    </row>
    <row r="9" spans="1:10" x14ac:dyDescent="0.25">
      <c r="A9" s="666"/>
      <c r="B9" s="92" t="s">
        <v>160</v>
      </c>
      <c r="C9" s="109">
        <f>C6/C7</f>
        <v>0.4</v>
      </c>
      <c r="D9" s="109">
        <f t="shared" ref="D9:G9" si="0">D6/D7</f>
        <v>0.4</v>
      </c>
      <c r="E9" s="109">
        <f t="shared" si="0"/>
        <v>1</v>
      </c>
      <c r="F9" s="109">
        <f t="shared" si="0"/>
        <v>1</v>
      </c>
      <c r="G9" s="109">
        <f t="shared" si="0"/>
        <v>1</v>
      </c>
      <c r="H9" s="109">
        <f>G9*F9*E9*D9*C9</f>
        <v>0.16000000000000003</v>
      </c>
      <c r="I9" s="116"/>
      <c r="J9" s="117"/>
    </row>
    <row r="10" spans="1:10" ht="19.5" thickBot="1" x14ac:dyDescent="0.3">
      <c r="A10" s="667"/>
      <c r="B10" s="118"/>
      <c r="C10" s="119" t="str">
        <f>TEXT(1/C9,"0.00") &amp;"  to 1"</f>
        <v>2.50  to 1</v>
      </c>
      <c r="D10" s="119" t="str">
        <f t="shared" ref="D10:H10" si="1">TEXT(1/D9,"0.00") &amp;"  to 1"</f>
        <v>2.50  to 1</v>
      </c>
      <c r="E10" s="119" t="str">
        <f t="shared" si="1"/>
        <v>1.00  to 1</v>
      </c>
      <c r="F10" s="119" t="str">
        <f t="shared" si="1"/>
        <v>1.00  to 1</v>
      </c>
      <c r="G10" s="119" t="str">
        <f t="shared" si="1"/>
        <v>1.00  to 1</v>
      </c>
      <c r="H10" s="125" t="str">
        <f t="shared" si="1"/>
        <v>6.25  to 1</v>
      </c>
      <c r="I10" s="120"/>
      <c r="J10" s="121"/>
    </row>
    <row r="12" spans="1:10" ht="15.75" thickBot="1" x14ac:dyDescent="0.3"/>
    <row r="13" spans="1:10" ht="18.75" x14ac:dyDescent="0.3">
      <c r="C13" s="670" t="s">
        <v>254</v>
      </c>
      <c r="D13" s="671"/>
      <c r="E13" s="671"/>
      <c r="F13" s="671"/>
      <c r="G13" s="672"/>
    </row>
    <row r="14" spans="1:10" x14ac:dyDescent="0.25">
      <c r="C14" s="127">
        <v>20</v>
      </c>
      <c r="D14" s="92" t="s">
        <v>162</v>
      </c>
      <c r="E14" s="92"/>
      <c r="F14" s="92"/>
      <c r="G14" s="128"/>
    </row>
    <row r="15" spans="1:10" x14ac:dyDescent="0.25">
      <c r="C15" s="129" t="s">
        <v>165</v>
      </c>
      <c r="D15" s="673"/>
      <c r="E15" s="674"/>
      <c r="F15" s="92" t="s">
        <v>166</v>
      </c>
      <c r="G15" s="128"/>
    </row>
    <row r="16" spans="1:10" x14ac:dyDescent="0.25">
      <c r="C16" s="127">
        <v>12</v>
      </c>
      <c r="D16" s="675" t="s">
        <v>163</v>
      </c>
      <c r="E16" s="675"/>
      <c r="F16" s="107">
        <f>C16/$C$14</f>
        <v>0.6</v>
      </c>
      <c r="G16" s="128" t="s">
        <v>37</v>
      </c>
    </row>
    <row r="17" spans="3:7" x14ac:dyDescent="0.25">
      <c r="C17" s="127">
        <v>72</v>
      </c>
      <c r="D17" s="675" t="s">
        <v>164</v>
      </c>
      <c r="E17" s="675"/>
      <c r="F17" s="107">
        <f>C17/$C$14</f>
        <v>3.6</v>
      </c>
      <c r="G17" s="128" t="s">
        <v>37</v>
      </c>
    </row>
    <row r="18" spans="3:7" x14ac:dyDescent="0.25">
      <c r="C18" s="130"/>
      <c r="D18" s="673" t="s">
        <v>167</v>
      </c>
      <c r="E18" s="674"/>
      <c r="F18" s="126">
        <v>3.0000000000000001E-3</v>
      </c>
      <c r="G18" s="128" t="s">
        <v>37</v>
      </c>
    </row>
    <row r="19" spans="3:7" ht="19.5" thickBot="1" x14ac:dyDescent="0.35">
      <c r="C19" s="131" t="s">
        <v>253</v>
      </c>
      <c r="D19" s="132"/>
      <c r="E19" s="132"/>
      <c r="F19" s="133">
        <f>(F16/2)+(F17/2)+F18</f>
        <v>2.1030000000000002</v>
      </c>
      <c r="G19" s="134" t="s">
        <v>37</v>
      </c>
    </row>
  </sheetData>
  <mergeCells count="8">
    <mergeCell ref="A3:J3"/>
    <mergeCell ref="A4:A10"/>
    <mergeCell ref="I5:J5"/>
    <mergeCell ref="C13:G13"/>
    <mergeCell ref="D18:E18"/>
    <mergeCell ref="D15:E15"/>
    <mergeCell ref="D16:E16"/>
    <mergeCell ref="D17:E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TOC">
                <anchor moveWithCells="1" sizeWithCells="1">
                  <from>
                    <xdr:col>4</xdr:col>
                    <xdr:colOff>38100</xdr:colOff>
                    <xdr:row>0</xdr:row>
                    <xdr:rowOff>9525</xdr:rowOff>
                  </from>
                  <to>
                    <xdr:col>5</xdr:col>
                    <xdr:colOff>95250</xdr:colOff>
                    <xdr:row>0</xdr:row>
                    <xdr:rowOff>219075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pageSetUpPr fitToPage="1"/>
  </sheetPr>
  <dimension ref="A1:O47"/>
  <sheetViews>
    <sheetView showGridLines="0" zoomScaleNormal="100" workbookViewId="0">
      <pane ySplit="1" topLeftCell="A2" activePane="bottomLeft" state="frozen"/>
      <selection activeCell="G28" sqref="G28"/>
      <selection pane="bottomLeft" activeCell="C15" sqref="C15"/>
    </sheetView>
  </sheetViews>
  <sheetFormatPr defaultRowHeight="15" x14ac:dyDescent="0.25"/>
  <cols>
    <col min="1" max="1" width="6.140625" customWidth="1"/>
    <col min="2" max="2" width="4.42578125" customWidth="1"/>
    <col min="3" max="3" width="17.5703125" customWidth="1"/>
    <col min="4" max="4" width="9.42578125" bestFit="1" customWidth="1"/>
    <col min="5" max="5" width="3.85546875" customWidth="1"/>
    <col min="6" max="6" width="9.140625" customWidth="1"/>
    <col min="7" max="7" width="5.5703125" customWidth="1"/>
    <col min="8" max="8" width="3.7109375" customWidth="1"/>
    <col min="9" max="9" width="6.85546875" customWidth="1"/>
    <col min="10" max="10" width="19.42578125" customWidth="1"/>
    <col min="11" max="11" width="9.28515625" customWidth="1"/>
    <col min="12" max="12" width="4.85546875" customWidth="1"/>
    <col min="13" max="13" width="9.140625" customWidth="1"/>
    <col min="14" max="14" width="3.28515625" customWidth="1"/>
    <col min="15" max="15" width="13.140625" customWidth="1"/>
  </cols>
  <sheetData>
    <row r="1" spans="1:15" ht="23.25" x14ac:dyDescent="0.35">
      <c r="A1" s="9" t="s">
        <v>81</v>
      </c>
      <c r="B1" s="9"/>
    </row>
    <row r="3" spans="1:15" ht="18.75" x14ac:dyDescent="0.3">
      <c r="B3" s="677" t="s">
        <v>66</v>
      </c>
      <c r="C3" s="677"/>
      <c r="D3" s="677"/>
      <c r="E3" s="677"/>
      <c r="F3" s="677"/>
      <c r="G3" s="677"/>
      <c r="I3" s="677" t="s">
        <v>69</v>
      </c>
      <c r="J3" s="677"/>
      <c r="K3" s="677"/>
      <c r="L3" s="677"/>
      <c r="M3" s="677"/>
      <c r="N3" s="677"/>
    </row>
    <row r="4" spans="1:15" ht="31.5" x14ac:dyDescent="0.25">
      <c r="B4" s="10" t="s">
        <v>60</v>
      </c>
      <c r="C4" s="11" t="s">
        <v>0</v>
      </c>
      <c r="D4" s="26">
        <v>150</v>
      </c>
      <c r="E4" s="13" t="s">
        <v>1</v>
      </c>
      <c r="F4" s="12">
        <f>D4*0.4536</f>
        <v>68.040000000000006</v>
      </c>
      <c r="G4" s="13" t="s">
        <v>2</v>
      </c>
      <c r="I4" s="10"/>
      <c r="J4" s="17" t="s">
        <v>70</v>
      </c>
      <c r="K4" s="28">
        <v>2</v>
      </c>
      <c r="L4" s="13"/>
      <c r="M4" s="12"/>
      <c r="N4" s="13"/>
    </row>
    <row r="5" spans="1:15" ht="21" x14ac:dyDescent="0.25">
      <c r="B5" s="14" t="s">
        <v>62</v>
      </c>
      <c r="C5" s="11" t="s">
        <v>63</v>
      </c>
      <c r="D5" s="27">
        <v>0</v>
      </c>
      <c r="E5" s="13" t="s">
        <v>3</v>
      </c>
      <c r="F5" s="11"/>
      <c r="G5" s="13"/>
      <c r="I5" s="10"/>
      <c r="J5" s="10" t="s">
        <v>82</v>
      </c>
      <c r="K5" s="29">
        <v>12.255000000000001</v>
      </c>
      <c r="L5" s="13" t="s">
        <v>71</v>
      </c>
      <c r="M5" s="10"/>
      <c r="N5" s="10"/>
    </row>
    <row r="6" spans="1:15" ht="21" x14ac:dyDescent="0.25">
      <c r="B6" s="10" t="s">
        <v>61</v>
      </c>
      <c r="C6" s="10" t="s">
        <v>4</v>
      </c>
      <c r="D6" s="12">
        <f>$D$4*COS($D$5*PI()/180)</f>
        <v>150</v>
      </c>
      <c r="E6" s="13" t="s">
        <v>1</v>
      </c>
      <c r="F6" s="12">
        <f>D6*0.4536</f>
        <v>68.040000000000006</v>
      </c>
      <c r="G6" s="13" t="s">
        <v>2</v>
      </c>
      <c r="I6" s="10"/>
      <c r="J6" s="10" t="s">
        <v>83</v>
      </c>
      <c r="K6" s="29">
        <v>5.3920000000000003</v>
      </c>
      <c r="L6" s="13" t="s">
        <v>71</v>
      </c>
      <c r="M6" s="10"/>
      <c r="N6" s="10"/>
    </row>
    <row r="7" spans="1:15" ht="21" x14ac:dyDescent="0.25">
      <c r="B7" s="10" t="s">
        <v>64</v>
      </c>
      <c r="C7" s="10" t="s">
        <v>5</v>
      </c>
      <c r="D7" s="12">
        <f>$D$4*SIN($D$5*PI()/180)</f>
        <v>0</v>
      </c>
      <c r="E7" s="13" t="s">
        <v>1</v>
      </c>
      <c r="F7" s="12">
        <f>D7*0.4536</f>
        <v>0</v>
      </c>
      <c r="G7" s="13" t="s">
        <v>2</v>
      </c>
      <c r="I7" s="16"/>
      <c r="J7" s="10" t="s">
        <v>72</v>
      </c>
      <c r="K7" s="30">
        <v>0.85</v>
      </c>
      <c r="L7" s="10"/>
      <c r="M7" s="10"/>
      <c r="N7" s="10"/>
    </row>
    <row r="8" spans="1:15" ht="30" x14ac:dyDescent="0.25">
      <c r="B8" s="637" t="s">
        <v>850</v>
      </c>
      <c r="C8" s="10" t="s">
        <v>851</v>
      </c>
      <c r="D8" s="12">
        <v>0</v>
      </c>
      <c r="E8" s="13" t="s">
        <v>1</v>
      </c>
      <c r="F8" s="12">
        <f>D8*0.4536</f>
        <v>0</v>
      </c>
      <c r="G8" s="13" t="s">
        <v>2</v>
      </c>
      <c r="I8" s="14" t="s">
        <v>74</v>
      </c>
      <c r="J8" s="15" t="s">
        <v>852</v>
      </c>
      <c r="K8" s="18">
        <f>K4*1.79*K5*K7</f>
        <v>37.291964999999998</v>
      </c>
      <c r="L8" s="19" t="s">
        <v>73</v>
      </c>
      <c r="M8" s="10"/>
      <c r="N8" s="10"/>
    </row>
    <row r="9" spans="1:15" ht="30" x14ac:dyDescent="0.25">
      <c r="B9" s="637" t="s">
        <v>848</v>
      </c>
      <c r="C9" s="10" t="s">
        <v>849</v>
      </c>
      <c r="D9" s="12">
        <v>0</v>
      </c>
      <c r="E9" s="13" t="s">
        <v>1</v>
      </c>
      <c r="F9" s="12">
        <f>D9*0.4536</f>
        <v>0</v>
      </c>
      <c r="G9" s="13" t="s">
        <v>2</v>
      </c>
      <c r="I9" s="14" t="s">
        <v>74</v>
      </c>
      <c r="J9" s="15" t="s">
        <v>853</v>
      </c>
      <c r="K9" s="18">
        <f>K4*1.79*K6*K7</f>
        <v>16.407856000000002</v>
      </c>
      <c r="L9" s="19" t="s">
        <v>73</v>
      </c>
      <c r="M9" s="10"/>
      <c r="N9" s="10"/>
    </row>
    <row r="10" spans="1:15" ht="18.75" x14ac:dyDescent="0.25">
      <c r="B10" s="22"/>
      <c r="C10" s="23" t="s">
        <v>65</v>
      </c>
      <c r="D10" s="32">
        <f>SUM(D7:D9)</f>
        <v>0</v>
      </c>
      <c r="E10" s="24" t="s">
        <v>1</v>
      </c>
      <c r="F10" s="32">
        <f>D10*0.4536</f>
        <v>0</v>
      </c>
      <c r="G10" s="24" t="s">
        <v>2</v>
      </c>
      <c r="I10" s="678" t="s">
        <v>739</v>
      </c>
      <c r="J10" s="679"/>
      <c r="K10" s="679"/>
      <c r="L10" s="679"/>
      <c r="M10" s="679"/>
      <c r="N10" s="680"/>
    </row>
    <row r="11" spans="1:15" ht="18.75" x14ac:dyDescent="0.25">
      <c r="I11" s="639"/>
      <c r="J11" s="640" t="s">
        <v>50</v>
      </c>
      <c r="K11" s="641">
        <v>4</v>
      </c>
      <c r="L11" s="642" t="s">
        <v>37</v>
      </c>
      <c r="M11" s="639"/>
      <c r="N11" s="639"/>
    </row>
    <row r="12" spans="1:15" ht="21" x14ac:dyDescent="0.35">
      <c r="B12" s="677" t="s">
        <v>79</v>
      </c>
      <c r="C12" s="677"/>
      <c r="D12" s="677"/>
      <c r="E12" s="677"/>
      <c r="F12" s="677"/>
      <c r="G12" s="677"/>
      <c r="I12" s="643" t="s">
        <v>75</v>
      </c>
      <c r="J12" s="638" t="s">
        <v>77</v>
      </c>
      <c r="K12" s="644">
        <f>2*K8*12/(K11/2)</f>
        <v>447.50357999999994</v>
      </c>
      <c r="L12" s="645" t="s">
        <v>1</v>
      </c>
      <c r="M12" s="644">
        <f>K12*0.4536</f>
        <v>202.98762388799997</v>
      </c>
      <c r="N12" s="646" t="s">
        <v>2</v>
      </c>
      <c r="O12" s="638" t="s">
        <v>677</v>
      </c>
    </row>
    <row r="13" spans="1:15" ht="21" x14ac:dyDescent="0.35">
      <c r="B13" s="22"/>
      <c r="C13" s="23" t="s">
        <v>80</v>
      </c>
      <c r="D13" s="32">
        <f>K12-D10</f>
        <v>447.50357999999994</v>
      </c>
      <c r="E13" s="24" t="s">
        <v>1</v>
      </c>
      <c r="F13" s="32">
        <f>D13*0.4536</f>
        <v>202.98762388799997</v>
      </c>
      <c r="G13" s="24" t="s">
        <v>2</v>
      </c>
      <c r="I13" s="643" t="s">
        <v>75</v>
      </c>
      <c r="J13" s="638" t="s">
        <v>77</v>
      </c>
      <c r="K13" s="644">
        <f>2*K9*12/(K11/2)</f>
        <v>196.89427200000003</v>
      </c>
      <c r="L13" s="645" t="s">
        <v>1</v>
      </c>
      <c r="M13" s="644">
        <f>K13*0.4536</f>
        <v>89.311241779200017</v>
      </c>
      <c r="N13" s="646" t="s">
        <v>2</v>
      </c>
      <c r="O13" s="638" t="s">
        <v>678</v>
      </c>
    </row>
    <row r="14" spans="1:15" ht="18.75" x14ac:dyDescent="0.3">
      <c r="I14" s="677" t="s">
        <v>78</v>
      </c>
      <c r="J14" s="677"/>
      <c r="K14" s="677"/>
      <c r="L14" s="677"/>
      <c r="M14" s="677"/>
      <c r="N14" s="677"/>
    </row>
    <row r="15" spans="1:15" ht="31.5" x14ac:dyDescent="0.25">
      <c r="I15" s="14" t="s">
        <v>67</v>
      </c>
      <c r="J15" s="17" t="s">
        <v>68</v>
      </c>
      <c r="K15" s="31">
        <f>L15/10</f>
        <v>1.3</v>
      </c>
      <c r="L15" s="20">
        <v>13</v>
      </c>
      <c r="M15" s="21" t="str">
        <f>"Slip angle = " &amp; TEXT(ATAN(K15)*180/PI(),"0.0")&amp;" deg"</f>
        <v>Slip angle = 52.4 deg</v>
      </c>
      <c r="N15" s="16"/>
    </row>
    <row r="16" spans="1:15" ht="18.75" x14ac:dyDescent="0.25">
      <c r="I16" s="22"/>
      <c r="J16" s="23" t="s">
        <v>76</v>
      </c>
      <c r="K16" s="32">
        <f>$K$15*$D$6</f>
        <v>195</v>
      </c>
      <c r="L16" s="25" t="s">
        <v>1</v>
      </c>
      <c r="M16" s="32">
        <f>K16*0.4536</f>
        <v>88.451999999999998</v>
      </c>
      <c r="N16" s="24" t="s">
        <v>2</v>
      </c>
    </row>
    <row r="18" spans="9:15" ht="21" x14ac:dyDescent="0.35">
      <c r="I18" s="676" t="str">
        <f>IF(K12-K16&gt;10,"Traction Limited Acceleration",IF(K12-K16&lt;-10,"Power Limited Acceleration",IF(K12-K16&lt;0,"Nearly Power Limited Acceleration","Nearly Traction Limited Acceleration")))</f>
        <v>Traction Limited Acceleration</v>
      </c>
      <c r="J18" s="676"/>
      <c r="K18" s="676"/>
      <c r="L18" s="676"/>
      <c r="M18" s="676"/>
      <c r="N18" s="676"/>
      <c r="O18" s="638" t="s">
        <v>677</v>
      </c>
    </row>
    <row r="19" spans="9:15" ht="21" x14ac:dyDescent="0.35">
      <c r="I19" s="676" t="str">
        <f>IF(K13-K16&gt;10,"Traction Limited Acceleration",IF(K13-K16&lt;-10,"Power Limited Acceleration",IF(K13-K16&lt;0,"Nearly Power Limited Acceleration","Nearly Traction Limited Acceleration")))</f>
        <v>Nearly Traction Limited Acceleration</v>
      </c>
      <c r="J19" s="676"/>
      <c r="K19" s="676"/>
      <c r="L19" s="676"/>
      <c r="M19" s="676"/>
      <c r="N19" s="676"/>
      <c r="O19" s="638" t="s">
        <v>678</v>
      </c>
    </row>
    <row r="41" ht="22.5" customHeight="1" x14ac:dyDescent="0.25"/>
    <row r="42" ht="22.5" customHeight="1" x14ac:dyDescent="0.25"/>
    <row r="43" ht="22.5" customHeight="1" x14ac:dyDescent="0.25"/>
    <row r="45" ht="23.25" customHeight="1" x14ac:dyDescent="0.25"/>
    <row r="47" ht="23.25" customHeight="1" x14ac:dyDescent="0.25"/>
  </sheetData>
  <mergeCells count="7">
    <mergeCell ref="I18:N18"/>
    <mergeCell ref="I19:N19"/>
    <mergeCell ref="B3:G3"/>
    <mergeCell ref="I3:N3"/>
    <mergeCell ref="B12:G12"/>
    <mergeCell ref="I14:N14"/>
    <mergeCell ref="I10:N10"/>
  </mergeCells>
  <dataValidations count="1">
    <dataValidation type="list" allowBlank="1" showInputMessage="1" showErrorMessage="1" sqref="K4">
      <formula1>"1,2,3"</formula1>
    </dataValidation>
  </dataValidations>
  <pageMargins left="0.7" right="0.7" top="0.75" bottom="0.75" header="0.3" footer="0.3"/>
  <pageSetup scale="52" orientation="landscape" r:id="rId1"/>
  <drawing r:id="rId2"/>
  <legacyDrawing r:id="rId3"/>
  <controls>
    <mc:AlternateContent xmlns:mc="http://schemas.openxmlformats.org/markup-compatibility/2006">
      <mc:Choice Requires="x14">
        <control shapeId="1025" r:id="rId4" name="SpinButton1">
          <controlPr autoLine="0" linkedCell="D5" r:id="rId5">
            <anchor moveWithCells="1">
              <from>
                <xdr:col>2</xdr:col>
                <xdr:colOff>1152525</xdr:colOff>
                <xdr:row>3</xdr:row>
                <xdr:rowOff>390525</xdr:rowOff>
              </from>
              <to>
                <xdr:col>3</xdr:col>
                <xdr:colOff>228600</xdr:colOff>
                <xdr:row>5</xdr:row>
                <xdr:rowOff>38100</xdr:rowOff>
              </to>
            </anchor>
          </controlPr>
        </control>
      </mc:Choice>
      <mc:Fallback>
        <control shapeId="1025" r:id="rId4" name="SpinButton1"/>
      </mc:Fallback>
    </mc:AlternateContent>
    <mc:AlternateContent xmlns:mc="http://schemas.openxmlformats.org/markup-compatibility/2006">
      <mc:Choice Requires="x14">
        <control shapeId="1026" r:id="rId6" name="SpinButton2">
          <controlPr autoLine="0" linkedCell="L15" r:id="rId7">
            <anchor moveWithCells="1">
              <from>
                <xdr:col>10</xdr:col>
                <xdr:colOff>19050</xdr:colOff>
                <xdr:row>14</xdr:row>
                <xdr:rowOff>57150</xdr:rowOff>
              </from>
              <to>
                <xdr:col>10</xdr:col>
                <xdr:colOff>238125</xdr:colOff>
                <xdr:row>14</xdr:row>
                <xdr:rowOff>314325</xdr:rowOff>
              </to>
            </anchor>
          </controlPr>
        </control>
      </mc:Choice>
      <mc:Fallback>
        <control shapeId="1026" r:id="rId6" name="SpinButton2"/>
      </mc:Fallback>
    </mc:AlternateContent>
    <mc:AlternateContent xmlns:mc="http://schemas.openxmlformats.org/markup-compatibility/2006">
      <mc:Choice Requires="x14">
        <control shapeId="1028" r:id="rId8" name="Button 4">
          <controlPr defaultSize="0" print="0" autoFill="0" autoPict="0" macro="[0]!TOC">
            <anchor moveWithCells="1" sizeWithCells="1">
              <from>
                <xdr:col>9</xdr:col>
                <xdr:colOff>333375</xdr:colOff>
                <xdr:row>0</xdr:row>
                <xdr:rowOff>47625</xdr:rowOff>
              </from>
              <to>
                <xdr:col>9</xdr:col>
                <xdr:colOff>1114425</xdr:colOff>
                <xdr:row>0</xdr:row>
                <xdr:rowOff>266700</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A40"/>
  <sheetViews>
    <sheetView showGridLines="0" zoomScale="90" zoomScaleNormal="90" workbookViewId="0">
      <selection activeCell="Q38" sqref="Q38"/>
    </sheetView>
  </sheetViews>
  <sheetFormatPr defaultRowHeight="15" x14ac:dyDescent="0.25"/>
  <cols>
    <col min="1" max="1" width="7.7109375" style="4" customWidth="1"/>
    <col min="2" max="2" width="2" style="4" customWidth="1"/>
    <col min="3" max="3" width="1.5703125" style="4" customWidth="1"/>
    <col min="4" max="4" width="10" style="4" customWidth="1"/>
    <col min="5" max="6" width="13" style="4" customWidth="1"/>
    <col min="7" max="7" width="12" style="4" customWidth="1"/>
    <col min="8" max="8" width="16.42578125" style="4" customWidth="1"/>
    <col min="9" max="10" width="13" style="4" customWidth="1"/>
    <col min="11" max="11" width="13.5703125" style="4" customWidth="1"/>
    <col min="12" max="12" width="14.140625" style="4" customWidth="1"/>
    <col min="13" max="13" width="4.42578125" style="4" customWidth="1"/>
    <col min="14" max="14" width="2.28515625" style="4" customWidth="1"/>
    <col min="15" max="15" width="8.5703125" style="4" bestFit="1" customWidth="1"/>
    <col min="16" max="16" width="31" style="4" customWidth="1"/>
    <col min="17" max="17" width="13.140625" style="4" bestFit="1" customWidth="1"/>
    <col min="18" max="18" width="13.28515625" style="4" customWidth="1"/>
    <col min="19" max="19" width="12" style="4" customWidth="1"/>
    <col min="20" max="20" width="12.5703125" style="4" customWidth="1"/>
    <col min="21" max="28" width="9.140625" style="4"/>
    <col min="29" max="29" width="12.5703125" style="4" customWidth="1"/>
    <col min="30" max="256" width="9.140625" style="4"/>
    <col min="257" max="257" width="7.7109375" style="4" customWidth="1"/>
    <col min="258" max="258" width="2" style="4" customWidth="1"/>
    <col min="259" max="259" width="1.5703125" style="4" customWidth="1"/>
    <col min="260" max="260" width="5.5703125" style="4" customWidth="1"/>
    <col min="261" max="262" width="13" style="4" customWidth="1"/>
    <col min="263" max="263" width="12" style="4" customWidth="1"/>
    <col min="264" max="264" width="16.42578125" style="4" customWidth="1"/>
    <col min="265" max="266" width="13" style="4" customWidth="1"/>
    <col min="267" max="267" width="13.5703125" style="4" customWidth="1"/>
    <col min="268" max="268" width="14.140625" style="4" customWidth="1"/>
    <col min="269" max="269" width="4.42578125" style="4" customWidth="1"/>
    <col min="270" max="270" width="2.28515625" style="4" customWidth="1"/>
    <col min="271" max="273" width="8.5703125" style="4" bestFit="1" customWidth="1"/>
    <col min="274" max="274" width="13.28515625" style="4" customWidth="1"/>
    <col min="275" max="275" width="12" style="4" customWidth="1"/>
    <col min="276" max="276" width="12.5703125" style="4" customWidth="1"/>
    <col min="277" max="284" width="9.140625" style="4"/>
    <col min="285" max="285" width="12.5703125" style="4" customWidth="1"/>
    <col min="286" max="512" width="9.140625" style="4"/>
    <col min="513" max="513" width="7.7109375" style="4" customWidth="1"/>
    <col min="514" max="514" width="2" style="4" customWidth="1"/>
    <col min="515" max="515" width="1.5703125" style="4" customWidth="1"/>
    <col min="516" max="516" width="5.5703125" style="4" customWidth="1"/>
    <col min="517" max="518" width="13" style="4" customWidth="1"/>
    <col min="519" max="519" width="12" style="4" customWidth="1"/>
    <col min="520" max="520" width="16.42578125" style="4" customWidth="1"/>
    <col min="521" max="522" width="13" style="4" customWidth="1"/>
    <col min="523" max="523" width="13.5703125" style="4" customWidth="1"/>
    <col min="524" max="524" width="14.140625" style="4" customWidth="1"/>
    <col min="525" max="525" width="4.42578125" style="4" customWidth="1"/>
    <col min="526" max="526" width="2.28515625" style="4" customWidth="1"/>
    <col min="527" max="529" width="8.5703125" style="4" bestFit="1" customWidth="1"/>
    <col min="530" max="530" width="13.28515625" style="4" customWidth="1"/>
    <col min="531" max="531" width="12" style="4" customWidth="1"/>
    <col min="532" max="532" width="12.5703125" style="4" customWidth="1"/>
    <col min="533" max="540" width="9.140625" style="4"/>
    <col min="541" max="541" width="12.5703125" style="4" customWidth="1"/>
    <col min="542" max="768" width="9.140625" style="4"/>
    <col min="769" max="769" width="7.7109375" style="4" customWidth="1"/>
    <col min="770" max="770" width="2" style="4" customWidth="1"/>
    <col min="771" max="771" width="1.5703125" style="4" customWidth="1"/>
    <col min="772" max="772" width="5.5703125" style="4" customWidth="1"/>
    <col min="773" max="774" width="13" style="4" customWidth="1"/>
    <col min="775" max="775" width="12" style="4" customWidth="1"/>
    <col min="776" max="776" width="16.42578125" style="4" customWidth="1"/>
    <col min="777" max="778" width="13" style="4" customWidth="1"/>
    <col min="779" max="779" width="13.5703125" style="4" customWidth="1"/>
    <col min="780" max="780" width="14.140625" style="4" customWidth="1"/>
    <col min="781" max="781" width="4.42578125" style="4" customWidth="1"/>
    <col min="782" max="782" width="2.28515625" style="4" customWidth="1"/>
    <col min="783" max="785" width="8.5703125" style="4" bestFit="1" customWidth="1"/>
    <col min="786" max="786" width="13.28515625" style="4" customWidth="1"/>
    <col min="787" max="787" width="12" style="4" customWidth="1"/>
    <col min="788" max="788" width="12.5703125" style="4" customWidth="1"/>
    <col min="789" max="796" width="9.140625" style="4"/>
    <col min="797" max="797" width="12.5703125" style="4" customWidth="1"/>
    <col min="798" max="1024" width="9.140625" style="4"/>
    <col min="1025" max="1025" width="7.7109375" style="4" customWidth="1"/>
    <col min="1026" max="1026" width="2" style="4" customWidth="1"/>
    <col min="1027" max="1027" width="1.5703125" style="4" customWidth="1"/>
    <col min="1028" max="1028" width="5.5703125" style="4" customWidth="1"/>
    <col min="1029" max="1030" width="13" style="4" customWidth="1"/>
    <col min="1031" max="1031" width="12" style="4" customWidth="1"/>
    <col min="1032" max="1032" width="16.42578125" style="4" customWidth="1"/>
    <col min="1033" max="1034" width="13" style="4" customWidth="1"/>
    <col min="1035" max="1035" width="13.5703125" style="4" customWidth="1"/>
    <col min="1036" max="1036" width="14.140625" style="4" customWidth="1"/>
    <col min="1037" max="1037" width="4.42578125" style="4" customWidth="1"/>
    <col min="1038" max="1038" width="2.28515625" style="4" customWidth="1"/>
    <col min="1039" max="1041" width="8.5703125" style="4" bestFit="1" customWidth="1"/>
    <col min="1042" max="1042" width="13.28515625" style="4" customWidth="1"/>
    <col min="1043" max="1043" width="12" style="4" customWidth="1"/>
    <col min="1044" max="1044" width="12.5703125" style="4" customWidth="1"/>
    <col min="1045" max="1052" width="9.140625" style="4"/>
    <col min="1053" max="1053" width="12.5703125" style="4" customWidth="1"/>
    <col min="1054" max="1280" width="9.140625" style="4"/>
    <col min="1281" max="1281" width="7.7109375" style="4" customWidth="1"/>
    <col min="1282" max="1282" width="2" style="4" customWidth="1"/>
    <col min="1283" max="1283" width="1.5703125" style="4" customWidth="1"/>
    <col min="1284" max="1284" width="5.5703125" style="4" customWidth="1"/>
    <col min="1285" max="1286" width="13" style="4" customWidth="1"/>
    <col min="1287" max="1287" width="12" style="4" customWidth="1"/>
    <col min="1288" max="1288" width="16.42578125" style="4" customWidth="1"/>
    <col min="1289" max="1290" width="13" style="4" customWidth="1"/>
    <col min="1291" max="1291" width="13.5703125" style="4" customWidth="1"/>
    <col min="1292" max="1292" width="14.140625" style="4" customWidth="1"/>
    <col min="1293" max="1293" width="4.42578125" style="4" customWidth="1"/>
    <col min="1294" max="1294" width="2.28515625" style="4" customWidth="1"/>
    <col min="1295" max="1297" width="8.5703125" style="4" bestFit="1" customWidth="1"/>
    <col min="1298" max="1298" width="13.28515625" style="4" customWidth="1"/>
    <col min="1299" max="1299" width="12" style="4" customWidth="1"/>
    <col min="1300" max="1300" width="12.5703125" style="4" customWidth="1"/>
    <col min="1301" max="1308" width="9.140625" style="4"/>
    <col min="1309" max="1309" width="12.5703125" style="4" customWidth="1"/>
    <col min="1310" max="1536" width="9.140625" style="4"/>
    <col min="1537" max="1537" width="7.7109375" style="4" customWidth="1"/>
    <col min="1538" max="1538" width="2" style="4" customWidth="1"/>
    <col min="1539" max="1539" width="1.5703125" style="4" customWidth="1"/>
    <col min="1540" max="1540" width="5.5703125" style="4" customWidth="1"/>
    <col min="1541" max="1542" width="13" style="4" customWidth="1"/>
    <col min="1543" max="1543" width="12" style="4" customWidth="1"/>
    <col min="1544" max="1544" width="16.42578125" style="4" customWidth="1"/>
    <col min="1545" max="1546" width="13" style="4" customWidth="1"/>
    <col min="1547" max="1547" width="13.5703125" style="4" customWidth="1"/>
    <col min="1548" max="1548" width="14.140625" style="4" customWidth="1"/>
    <col min="1549" max="1549" width="4.42578125" style="4" customWidth="1"/>
    <col min="1550" max="1550" width="2.28515625" style="4" customWidth="1"/>
    <col min="1551" max="1553" width="8.5703125" style="4" bestFit="1" customWidth="1"/>
    <col min="1554" max="1554" width="13.28515625" style="4" customWidth="1"/>
    <col min="1555" max="1555" width="12" style="4" customWidth="1"/>
    <col min="1556" max="1556" width="12.5703125" style="4" customWidth="1"/>
    <col min="1557" max="1564" width="9.140625" style="4"/>
    <col min="1565" max="1565" width="12.5703125" style="4" customWidth="1"/>
    <col min="1566" max="1792" width="9.140625" style="4"/>
    <col min="1793" max="1793" width="7.7109375" style="4" customWidth="1"/>
    <col min="1794" max="1794" width="2" style="4" customWidth="1"/>
    <col min="1795" max="1795" width="1.5703125" style="4" customWidth="1"/>
    <col min="1796" max="1796" width="5.5703125" style="4" customWidth="1"/>
    <col min="1797" max="1798" width="13" style="4" customWidth="1"/>
    <col min="1799" max="1799" width="12" style="4" customWidth="1"/>
    <col min="1800" max="1800" width="16.42578125" style="4" customWidth="1"/>
    <col min="1801" max="1802" width="13" style="4" customWidth="1"/>
    <col min="1803" max="1803" width="13.5703125" style="4" customWidth="1"/>
    <col min="1804" max="1804" width="14.140625" style="4" customWidth="1"/>
    <col min="1805" max="1805" width="4.42578125" style="4" customWidth="1"/>
    <col min="1806" max="1806" width="2.28515625" style="4" customWidth="1"/>
    <col min="1807" max="1809" width="8.5703125" style="4" bestFit="1" customWidth="1"/>
    <col min="1810" max="1810" width="13.28515625" style="4" customWidth="1"/>
    <col min="1811" max="1811" width="12" style="4" customWidth="1"/>
    <col min="1812" max="1812" width="12.5703125" style="4" customWidth="1"/>
    <col min="1813" max="1820" width="9.140625" style="4"/>
    <col min="1821" max="1821" width="12.5703125" style="4" customWidth="1"/>
    <col min="1822" max="2048" width="9.140625" style="4"/>
    <col min="2049" max="2049" width="7.7109375" style="4" customWidth="1"/>
    <col min="2050" max="2050" width="2" style="4" customWidth="1"/>
    <col min="2051" max="2051" width="1.5703125" style="4" customWidth="1"/>
    <col min="2052" max="2052" width="5.5703125" style="4" customWidth="1"/>
    <col min="2053" max="2054" width="13" style="4" customWidth="1"/>
    <col min="2055" max="2055" width="12" style="4" customWidth="1"/>
    <col min="2056" max="2056" width="16.42578125" style="4" customWidth="1"/>
    <col min="2057" max="2058" width="13" style="4" customWidth="1"/>
    <col min="2059" max="2059" width="13.5703125" style="4" customWidth="1"/>
    <col min="2060" max="2060" width="14.140625" style="4" customWidth="1"/>
    <col min="2061" max="2061" width="4.42578125" style="4" customWidth="1"/>
    <col min="2062" max="2062" width="2.28515625" style="4" customWidth="1"/>
    <col min="2063" max="2065" width="8.5703125" style="4" bestFit="1" customWidth="1"/>
    <col min="2066" max="2066" width="13.28515625" style="4" customWidth="1"/>
    <col min="2067" max="2067" width="12" style="4" customWidth="1"/>
    <col min="2068" max="2068" width="12.5703125" style="4" customWidth="1"/>
    <col min="2069" max="2076" width="9.140625" style="4"/>
    <col min="2077" max="2077" width="12.5703125" style="4" customWidth="1"/>
    <col min="2078" max="2304" width="9.140625" style="4"/>
    <col min="2305" max="2305" width="7.7109375" style="4" customWidth="1"/>
    <col min="2306" max="2306" width="2" style="4" customWidth="1"/>
    <col min="2307" max="2307" width="1.5703125" style="4" customWidth="1"/>
    <col min="2308" max="2308" width="5.5703125" style="4" customWidth="1"/>
    <col min="2309" max="2310" width="13" style="4" customWidth="1"/>
    <col min="2311" max="2311" width="12" style="4" customWidth="1"/>
    <col min="2312" max="2312" width="16.42578125" style="4" customWidth="1"/>
    <col min="2313" max="2314" width="13" style="4" customWidth="1"/>
    <col min="2315" max="2315" width="13.5703125" style="4" customWidth="1"/>
    <col min="2316" max="2316" width="14.140625" style="4" customWidth="1"/>
    <col min="2317" max="2317" width="4.42578125" style="4" customWidth="1"/>
    <col min="2318" max="2318" width="2.28515625" style="4" customWidth="1"/>
    <col min="2319" max="2321" width="8.5703125" style="4" bestFit="1" customWidth="1"/>
    <col min="2322" max="2322" width="13.28515625" style="4" customWidth="1"/>
    <col min="2323" max="2323" width="12" style="4" customWidth="1"/>
    <col min="2324" max="2324" width="12.5703125" style="4" customWidth="1"/>
    <col min="2325" max="2332" width="9.140625" style="4"/>
    <col min="2333" max="2333" width="12.5703125" style="4" customWidth="1"/>
    <col min="2334" max="2560" width="9.140625" style="4"/>
    <col min="2561" max="2561" width="7.7109375" style="4" customWidth="1"/>
    <col min="2562" max="2562" width="2" style="4" customWidth="1"/>
    <col min="2563" max="2563" width="1.5703125" style="4" customWidth="1"/>
    <col min="2564" max="2564" width="5.5703125" style="4" customWidth="1"/>
    <col min="2565" max="2566" width="13" style="4" customWidth="1"/>
    <col min="2567" max="2567" width="12" style="4" customWidth="1"/>
    <col min="2568" max="2568" width="16.42578125" style="4" customWidth="1"/>
    <col min="2569" max="2570" width="13" style="4" customWidth="1"/>
    <col min="2571" max="2571" width="13.5703125" style="4" customWidth="1"/>
    <col min="2572" max="2572" width="14.140625" style="4" customWidth="1"/>
    <col min="2573" max="2573" width="4.42578125" style="4" customWidth="1"/>
    <col min="2574" max="2574" width="2.28515625" style="4" customWidth="1"/>
    <col min="2575" max="2577" width="8.5703125" style="4" bestFit="1" customWidth="1"/>
    <col min="2578" max="2578" width="13.28515625" style="4" customWidth="1"/>
    <col min="2579" max="2579" width="12" style="4" customWidth="1"/>
    <col min="2580" max="2580" width="12.5703125" style="4" customWidth="1"/>
    <col min="2581" max="2588" width="9.140625" style="4"/>
    <col min="2589" max="2589" width="12.5703125" style="4" customWidth="1"/>
    <col min="2590" max="2816" width="9.140625" style="4"/>
    <col min="2817" max="2817" width="7.7109375" style="4" customWidth="1"/>
    <col min="2818" max="2818" width="2" style="4" customWidth="1"/>
    <col min="2819" max="2819" width="1.5703125" style="4" customWidth="1"/>
    <col min="2820" max="2820" width="5.5703125" style="4" customWidth="1"/>
    <col min="2821" max="2822" width="13" style="4" customWidth="1"/>
    <col min="2823" max="2823" width="12" style="4" customWidth="1"/>
    <col min="2824" max="2824" width="16.42578125" style="4" customWidth="1"/>
    <col min="2825" max="2826" width="13" style="4" customWidth="1"/>
    <col min="2827" max="2827" width="13.5703125" style="4" customWidth="1"/>
    <col min="2828" max="2828" width="14.140625" style="4" customWidth="1"/>
    <col min="2829" max="2829" width="4.42578125" style="4" customWidth="1"/>
    <col min="2830" max="2830" width="2.28515625" style="4" customWidth="1"/>
    <col min="2831" max="2833" width="8.5703125" style="4" bestFit="1" customWidth="1"/>
    <col min="2834" max="2834" width="13.28515625" style="4" customWidth="1"/>
    <col min="2835" max="2835" width="12" style="4" customWidth="1"/>
    <col min="2836" max="2836" width="12.5703125" style="4" customWidth="1"/>
    <col min="2837" max="2844" width="9.140625" style="4"/>
    <col min="2845" max="2845" width="12.5703125" style="4" customWidth="1"/>
    <col min="2846" max="3072" width="9.140625" style="4"/>
    <col min="3073" max="3073" width="7.7109375" style="4" customWidth="1"/>
    <col min="3074" max="3074" width="2" style="4" customWidth="1"/>
    <col min="3075" max="3075" width="1.5703125" style="4" customWidth="1"/>
    <col min="3076" max="3076" width="5.5703125" style="4" customWidth="1"/>
    <col min="3077" max="3078" width="13" style="4" customWidth="1"/>
    <col min="3079" max="3079" width="12" style="4" customWidth="1"/>
    <col min="3080" max="3080" width="16.42578125" style="4" customWidth="1"/>
    <col min="3081" max="3082" width="13" style="4" customWidth="1"/>
    <col min="3083" max="3083" width="13.5703125" style="4" customWidth="1"/>
    <col min="3084" max="3084" width="14.140625" style="4" customWidth="1"/>
    <col min="3085" max="3085" width="4.42578125" style="4" customWidth="1"/>
    <col min="3086" max="3086" width="2.28515625" style="4" customWidth="1"/>
    <col min="3087" max="3089" width="8.5703125" style="4" bestFit="1" customWidth="1"/>
    <col min="3090" max="3090" width="13.28515625" style="4" customWidth="1"/>
    <col min="3091" max="3091" width="12" style="4" customWidth="1"/>
    <col min="3092" max="3092" width="12.5703125" style="4" customWidth="1"/>
    <col min="3093" max="3100" width="9.140625" style="4"/>
    <col min="3101" max="3101" width="12.5703125" style="4" customWidth="1"/>
    <col min="3102" max="3328" width="9.140625" style="4"/>
    <col min="3329" max="3329" width="7.7109375" style="4" customWidth="1"/>
    <col min="3330" max="3330" width="2" style="4" customWidth="1"/>
    <col min="3331" max="3331" width="1.5703125" style="4" customWidth="1"/>
    <col min="3332" max="3332" width="5.5703125" style="4" customWidth="1"/>
    <col min="3333" max="3334" width="13" style="4" customWidth="1"/>
    <col min="3335" max="3335" width="12" style="4" customWidth="1"/>
    <col min="3336" max="3336" width="16.42578125" style="4" customWidth="1"/>
    <col min="3337" max="3338" width="13" style="4" customWidth="1"/>
    <col min="3339" max="3339" width="13.5703125" style="4" customWidth="1"/>
    <col min="3340" max="3340" width="14.140625" style="4" customWidth="1"/>
    <col min="3341" max="3341" width="4.42578125" style="4" customWidth="1"/>
    <col min="3342" max="3342" width="2.28515625" style="4" customWidth="1"/>
    <col min="3343" max="3345" width="8.5703125" style="4" bestFit="1" customWidth="1"/>
    <col min="3346" max="3346" width="13.28515625" style="4" customWidth="1"/>
    <col min="3347" max="3347" width="12" style="4" customWidth="1"/>
    <col min="3348" max="3348" width="12.5703125" style="4" customWidth="1"/>
    <col min="3349" max="3356" width="9.140625" style="4"/>
    <col min="3357" max="3357" width="12.5703125" style="4" customWidth="1"/>
    <col min="3358" max="3584" width="9.140625" style="4"/>
    <col min="3585" max="3585" width="7.7109375" style="4" customWidth="1"/>
    <col min="3586" max="3586" width="2" style="4" customWidth="1"/>
    <col min="3587" max="3587" width="1.5703125" style="4" customWidth="1"/>
    <col min="3588" max="3588" width="5.5703125" style="4" customWidth="1"/>
    <col min="3589" max="3590" width="13" style="4" customWidth="1"/>
    <col min="3591" max="3591" width="12" style="4" customWidth="1"/>
    <col min="3592" max="3592" width="16.42578125" style="4" customWidth="1"/>
    <col min="3593" max="3594" width="13" style="4" customWidth="1"/>
    <col min="3595" max="3595" width="13.5703125" style="4" customWidth="1"/>
    <col min="3596" max="3596" width="14.140625" style="4" customWidth="1"/>
    <col min="3597" max="3597" width="4.42578125" style="4" customWidth="1"/>
    <col min="3598" max="3598" width="2.28515625" style="4" customWidth="1"/>
    <col min="3599" max="3601" width="8.5703125" style="4" bestFit="1" customWidth="1"/>
    <col min="3602" max="3602" width="13.28515625" style="4" customWidth="1"/>
    <col min="3603" max="3603" width="12" style="4" customWidth="1"/>
    <col min="3604" max="3604" width="12.5703125" style="4" customWidth="1"/>
    <col min="3605" max="3612" width="9.140625" style="4"/>
    <col min="3613" max="3613" width="12.5703125" style="4" customWidth="1"/>
    <col min="3614" max="3840" width="9.140625" style="4"/>
    <col min="3841" max="3841" width="7.7109375" style="4" customWidth="1"/>
    <col min="3842" max="3842" width="2" style="4" customWidth="1"/>
    <col min="3843" max="3843" width="1.5703125" style="4" customWidth="1"/>
    <col min="3844" max="3844" width="5.5703125" style="4" customWidth="1"/>
    <col min="3845" max="3846" width="13" style="4" customWidth="1"/>
    <col min="3847" max="3847" width="12" style="4" customWidth="1"/>
    <col min="3848" max="3848" width="16.42578125" style="4" customWidth="1"/>
    <col min="3849" max="3850" width="13" style="4" customWidth="1"/>
    <col min="3851" max="3851" width="13.5703125" style="4" customWidth="1"/>
    <col min="3852" max="3852" width="14.140625" style="4" customWidth="1"/>
    <col min="3853" max="3853" width="4.42578125" style="4" customWidth="1"/>
    <col min="3854" max="3854" width="2.28515625" style="4" customWidth="1"/>
    <col min="3855" max="3857" width="8.5703125" style="4" bestFit="1" customWidth="1"/>
    <col min="3858" max="3858" width="13.28515625" style="4" customWidth="1"/>
    <col min="3859" max="3859" width="12" style="4" customWidth="1"/>
    <col min="3860" max="3860" width="12.5703125" style="4" customWidth="1"/>
    <col min="3861" max="3868" width="9.140625" style="4"/>
    <col min="3869" max="3869" width="12.5703125" style="4" customWidth="1"/>
    <col min="3870" max="4096" width="9.140625" style="4"/>
    <col min="4097" max="4097" width="7.7109375" style="4" customWidth="1"/>
    <col min="4098" max="4098" width="2" style="4" customWidth="1"/>
    <col min="4099" max="4099" width="1.5703125" style="4" customWidth="1"/>
    <col min="4100" max="4100" width="5.5703125" style="4" customWidth="1"/>
    <col min="4101" max="4102" width="13" style="4" customWidth="1"/>
    <col min="4103" max="4103" width="12" style="4" customWidth="1"/>
    <col min="4104" max="4104" width="16.42578125" style="4" customWidth="1"/>
    <col min="4105" max="4106" width="13" style="4" customWidth="1"/>
    <col min="4107" max="4107" width="13.5703125" style="4" customWidth="1"/>
    <col min="4108" max="4108" width="14.140625" style="4" customWidth="1"/>
    <col min="4109" max="4109" width="4.42578125" style="4" customWidth="1"/>
    <col min="4110" max="4110" width="2.28515625" style="4" customWidth="1"/>
    <col min="4111" max="4113" width="8.5703125" style="4" bestFit="1" customWidth="1"/>
    <col min="4114" max="4114" width="13.28515625" style="4" customWidth="1"/>
    <col min="4115" max="4115" width="12" style="4" customWidth="1"/>
    <col min="4116" max="4116" width="12.5703125" style="4" customWidth="1"/>
    <col min="4117" max="4124" width="9.140625" style="4"/>
    <col min="4125" max="4125" width="12.5703125" style="4" customWidth="1"/>
    <col min="4126" max="4352" width="9.140625" style="4"/>
    <col min="4353" max="4353" width="7.7109375" style="4" customWidth="1"/>
    <col min="4354" max="4354" width="2" style="4" customWidth="1"/>
    <col min="4355" max="4355" width="1.5703125" style="4" customWidth="1"/>
    <col min="4356" max="4356" width="5.5703125" style="4" customWidth="1"/>
    <col min="4357" max="4358" width="13" style="4" customWidth="1"/>
    <col min="4359" max="4359" width="12" style="4" customWidth="1"/>
    <col min="4360" max="4360" width="16.42578125" style="4" customWidth="1"/>
    <col min="4361" max="4362" width="13" style="4" customWidth="1"/>
    <col min="4363" max="4363" width="13.5703125" style="4" customWidth="1"/>
    <col min="4364" max="4364" width="14.140625" style="4" customWidth="1"/>
    <col min="4365" max="4365" width="4.42578125" style="4" customWidth="1"/>
    <col min="4366" max="4366" width="2.28515625" style="4" customWidth="1"/>
    <col min="4367" max="4369" width="8.5703125" style="4" bestFit="1" customWidth="1"/>
    <col min="4370" max="4370" width="13.28515625" style="4" customWidth="1"/>
    <col min="4371" max="4371" width="12" style="4" customWidth="1"/>
    <col min="4372" max="4372" width="12.5703125" style="4" customWidth="1"/>
    <col min="4373" max="4380" width="9.140625" style="4"/>
    <col min="4381" max="4381" width="12.5703125" style="4" customWidth="1"/>
    <col min="4382" max="4608" width="9.140625" style="4"/>
    <col min="4609" max="4609" width="7.7109375" style="4" customWidth="1"/>
    <col min="4610" max="4610" width="2" style="4" customWidth="1"/>
    <col min="4611" max="4611" width="1.5703125" style="4" customWidth="1"/>
    <col min="4612" max="4612" width="5.5703125" style="4" customWidth="1"/>
    <col min="4613" max="4614" width="13" style="4" customWidth="1"/>
    <col min="4615" max="4615" width="12" style="4" customWidth="1"/>
    <col min="4616" max="4616" width="16.42578125" style="4" customWidth="1"/>
    <col min="4617" max="4618" width="13" style="4" customWidth="1"/>
    <col min="4619" max="4619" width="13.5703125" style="4" customWidth="1"/>
    <col min="4620" max="4620" width="14.140625" style="4" customWidth="1"/>
    <col min="4621" max="4621" width="4.42578125" style="4" customWidth="1"/>
    <col min="4622" max="4622" width="2.28515625" style="4" customWidth="1"/>
    <col min="4623" max="4625" width="8.5703125" style="4" bestFit="1" customWidth="1"/>
    <col min="4626" max="4626" width="13.28515625" style="4" customWidth="1"/>
    <col min="4627" max="4627" width="12" style="4" customWidth="1"/>
    <col min="4628" max="4628" width="12.5703125" style="4" customWidth="1"/>
    <col min="4629" max="4636" width="9.140625" style="4"/>
    <col min="4637" max="4637" width="12.5703125" style="4" customWidth="1"/>
    <col min="4638" max="4864" width="9.140625" style="4"/>
    <col min="4865" max="4865" width="7.7109375" style="4" customWidth="1"/>
    <col min="4866" max="4866" width="2" style="4" customWidth="1"/>
    <col min="4867" max="4867" width="1.5703125" style="4" customWidth="1"/>
    <col min="4868" max="4868" width="5.5703125" style="4" customWidth="1"/>
    <col min="4869" max="4870" width="13" style="4" customWidth="1"/>
    <col min="4871" max="4871" width="12" style="4" customWidth="1"/>
    <col min="4872" max="4872" width="16.42578125" style="4" customWidth="1"/>
    <col min="4873" max="4874" width="13" style="4" customWidth="1"/>
    <col min="4875" max="4875" width="13.5703125" style="4" customWidth="1"/>
    <col min="4876" max="4876" width="14.140625" style="4" customWidth="1"/>
    <col min="4877" max="4877" width="4.42578125" style="4" customWidth="1"/>
    <col min="4878" max="4878" width="2.28515625" style="4" customWidth="1"/>
    <col min="4879" max="4881" width="8.5703125" style="4" bestFit="1" customWidth="1"/>
    <col min="4882" max="4882" width="13.28515625" style="4" customWidth="1"/>
    <col min="4883" max="4883" width="12" style="4" customWidth="1"/>
    <col min="4884" max="4884" width="12.5703125" style="4" customWidth="1"/>
    <col min="4885" max="4892" width="9.140625" style="4"/>
    <col min="4893" max="4893" width="12.5703125" style="4" customWidth="1"/>
    <col min="4894" max="5120" width="9.140625" style="4"/>
    <col min="5121" max="5121" width="7.7109375" style="4" customWidth="1"/>
    <col min="5122" max="5122" width="2" style="4" customWidth="1"/>
    <col min="5123" max="5123" width="1.5703125" style="4" customWidth="1"/>
    <col min="5124" max="5124" width="5.5703125" style="4" customWidth="1"/>
    <col min="5125" max="5126" width="13" style="4" customWidth="1"/>
    <col min="5127" max="5127" width="12" style="4" customWidth="1"/>
    <col min="5128" max="5128" width="16.42578125" style="4" customWidth="1"/>
    <col min="5129" max="5130" width="13" style="4" customWidth="1"/>
    <col min="5131" max="5131" width="13.5703125" style="4" customWidth="1"/>
    <col min="5132" max="5132" width="14.140625" style="4" customWidth="1"/>
    <col min="5133" max="5133" width="4.42578125" style="4" customWidth="1"/>
    <col min="5134" max="5134" width="2.28515625" style="4" customWidth="1"/>
    <col min="5135" max="5137" width="8.5703125" style="4" bestFit="1" customWidth="1"/>
    <col min="5138" max="5138" width="13.28515625" style="4" customWidth="1"/>
    <col min="5139" max="5139" width="12" style="4" customWidth="1"/>
    <col min="5140" max="5140" width="12.5703125" style="4" customWidth="1"/>
    <col min="5141" max="5148" width="9.140625" style="4"/>
    <col min="5149" max="5149" width="12.5703125" style="4" customWidth="1"/>
    <col min="5150" max="5376" width="9.140625" style="4"/>
    <col min="5377" max="5377" width="7.7109375" style="4" customWidth="1"/>
    <col min="5378" max="5378" width="2" style="4" customWidth="1"/>
    <col min="5379" max="5379" width="1.5703125" style="4" customWidth="1"/>
    <col min="5380" max="5380" width="5.5703125" style="4" customWidth="1"/>
    <col min="5381" max="5382" width="13" style="4" customWidth="1"/>
    <col min="5383" max="5383" width="12" style="4" customWidth="1"/>
    <col min="5384" max="5384" width="16.42578125" style="4" customWidth="1"/>
    <col min="5385" max="5386" width="13" style="4" customWidth="1"/>
    <col min="5387" max="5387" width="13.5703125" style="4" customWidth="1"/>
    <col min="5388" max="5388" width="14.140625" style="4" customWidth="1"/>
    <col min="5389" max="5389" width="4.42578125" style="4" customWidth="1"/>
    <col min="5390" max="5390" width="2.28515625" style="4" customWidth="1"/>
    <col min="5391" max="5393" width="8.5703125" style="4" bestFit="1" customWidth="1"/>
    <col min="5394" max="5394" width="13.28515625" style="4" customWidth="1"/>
    <col min="5395" max="5395" width="12" style="4" customWidth="1"/>
    <col min="5396" max="5396" width="12.5703125" style="4" customWidth="1"/>
    <col min="5397" max="5404" width="9.140625" style="4"/>
    <col min="5405" max="5405" width="12.5703125" style="4" customWidth="1"/>
    <col min="5406" max="5632" width="9.140625" style="4"/>
    <col min="5633" max="5633" width="7.7109375" style="4" customWidth="1"/>
    <col min="5634" max="5634" width="2" style="4" customWidth="1"/>
    <col min="5635" max="5635" width="1.5703125" style="4" customWidth="1"/>
    <col min="5636" max="5636" width="5.5703125" style="4" customWidth="1"/>
    <col min="5637" max="5638" width="13" style="4" customWidth="1"/>
    <col min="5639" max="5639" width="12" style="4" customWidth="1"/>
    <col min="5640" max="5640" width="16.42578125" style="4" customWidth="1"/>
    <col min="5641" max="5642" width="13" style="4" customWidth="1"/>
    <col min="5643" max="5643" width="13.5703125" style="4" customWidth="1"/>
    <col min="5644" max="5644" width="14.140625" style="4" customWidth="1"/>
    <col min="5645" max="5645" width="4.42578125" style="4" customWidth="1"/>
    <col min="5646" max="5646" width="2.28515625" style="4" customWidth="1"/>
    <col min="5647" max="5649" width="8.5703125" style="4" bestFit="1" customWidth="1"/>
    <col min="5650" max="5650" width="13.28515625" style="4" customWidth="1"/>
    <col min="5651" max="5651" width="12" style="4" customWidth="1"/>
    <col min="5652" max="5652" width="12.5703125" style="4" customWidth="1"/>
    <col min="5653" max="5660" width="9.140625" style="4"/>
    <col min="5661" max="5661" width="12.5703125" style="4" customWidth="1"/>
    <col min="5662" max="5888" width="9.140625" style="4"/>
    <col min="5889" max="5889" width="7.7109375" style="4" customWidth="1"/>
    <col min="5890" max="5890" width="2" style="4" customWidth="1"/>
    <col min="5891" max="5891" width="1.5703125" style="4" customWidth="1"/>
    <col min="5892" max="5892" width="5.5703125" style="4" customWidth="1"/>
    <col min="5893" max="5894" width="13" style="4" customWidth="1"/>
    <col min="5895" max="5895" width="12" style="4" customWidth="1"/>
    <col min="5896" max="5896" width="16.42578125" style="4" customWidth="1"/>
    <col min="5897" max="5898" width="13" style="4" customWidth="1"/>
    <col min="5899" max="5899" width="13.5703125" style="4" customWidth="1"/>
    <col min="5900" max="5900" width="14.140625" style="4" customWidth="1"/>
    <col min="5901" max="5901" width="4.42578125" style="4" customWidth="1"/>
    <col min="5902" max="5902" width="2.28515625" style="4" customWidth="1"/>
    <col min="5903" max="5905" width="8.5703125" style="4" bestFit="1" customWidth="1"/>
    <col min="5906" max="5906" width="13.28515625" style="4" customWidth="1"/>
    <col min="5907" max="5907" width="12" style="4" customWidth="1"/>
    <col min="5908" max="5908" width="12.5703125" style="4" customWidth="1"/>
    <col min="5909" max="5916" width="9.140625" style="4"/>
    <col min="5917" max="5917" width="12.5703125" style="4" customWidth="1"/>
    <col min="5918" max="6144" width="9.140625" style="4"/>
    <col min="6145" max="6145" width="7.7109375" style="4" customWidth="1"/>
    <col min="6146" max="6146" width="2" style="4" customWidth="1"/>
    <col min="6147" max="6147" width="1.5703125" style="4" customWidth="1"/>
    <col min="6148" max="6148" width="5.5703125" style="4" customWidth="1"/>
    <col min="6149" max="6150" width="13" style="4" customWidth="1"/>
    <col min="6151" max="6151" width="12" style="4" customWidth="1"/>
    <col min="6152" max="6152" width="16.42578125" style="4" customWidth="1"/>
    <col min="6153" max="6154" width="13" style="4" customWidth="1"/>
    <col min="6155" max="6155" width="13.5703125" style="4" customWidth="1"/>
    <col min="6156" max="6156" width="14.140625" style="4" customWidth="1"/>
    <col min="6157" max="6157" width="4.42578125" style="4" customWidth="1"/>
    <col min="6158" max="6158" width="2.28515625" style="4" customWidth="1"/>
    <col min="6159" max="6161" width="8.5703125" style="4" bestFit="1" customWidth="1"/>
    <col min="6162" max="6162" width="13.28515625" style="4" customWidth="1"/>
    <col min="6163" max="6163" width="12" style="4" customWidth="1"/>
    <col min="6164" max="6164" width="12.5703125" style="4" customWidth="1"/>
    <col min="6165" max="6172" width="9.140625" style="4"/>
    <col min="6173" max="6173" width="12.5703125" style="4" customWidth="1"/>
    <col min="6174" max="6400" width="9.140625" style="4"/>
    <col min="6401" max="6401" width="7.7109375" style="4" customWidth="1"/>
    <col min="6402" max="6402" width="2" style="4" customWidth="1"/>
    <col min="6403" max="6403" width="1.5703125" style="4" customWidth="1"/>
    <col min="6404" max="6404" width="5.5703125" style="4" customWidth="1"/>
    <col min="6405" max="6406" width="13" style="4" customWidth="1"/>
    <col min="6407" max="6407" width="12" style="4" customWidth="1"/>
    <col min="6408" max="6408" width="16.42578125" style="4" customWidth="1"/>
    <col min="6409" max="6410" width="13" style="4" customWidth="1"/>
    <col min="6411" max="6411" width="13.5703125" style="4" customWidth="1"/>
    <col min="6412" max="6412" width="14.140625" style="4" customWidth="1"/>
    <col min="6413" max="6413" width="4.42578125" style="4" customWidth="1"/>
    <col min="6414" max="6414" width="2.28515625" style="4" customWidth="1"/>
    <col min="6415" max="6417" width="8.5703125" style="4" bestFit="1" customWidth="1"/>
    <col min="6418" max="6418" width="13.28515625" style="4" customWidth="1"/>
    <col min="6419" max="6419" width="12" style="4" customWidth="1"/>
    <col min="6420" max="6420" width="12.5703125" style="4" customWidth="1"/>
    <col min="6421" max="6428" width="9.140625" style="4"/>
    <col min="6429" max="6429" width="12.5703125" style="4" customWidth="1"/>
    <col min="6430" max="6656" width="9.140625" style="4"/>
    <col min="6657" max="6657" width="7.7109375" style="4" customWidth="1"/>
    <col min="6658" max="6658" width="2" style="4" customWidth="1"/>
    <col min="6659" max="6659" width="1.5703125" style="4" customWidth="1"/>
    <col min="6660" max="6660" width="5.5703125" style="4" customWidth="1"/>
    <col min="6661" max="6662" width="13" style="4" customWidth="1"/>
    <col min="6663" max="6663" width="12" style="4" customWidth="1"/>
    <col min="6664" max="6664" width="16.42578125" style="4" customWidth="1"/>
    <col min="6665" max="6666" width="13" style="4" customWidth="1"/>
    <col min="6667" max="6667" width="13.5703125" style="4" customWidth="1"/>
    <col min="6668" max="6668" width="14.140625" style="4" customWidth="1"/>
    <col min="6669" max="6669" width="4.42578125" style="4" customWidth="1"/>
    <col min="6670" max="6670" width="2.28515625" style="4" customWidth="1"/>
    <col min="6671" max="6673" width="8.5703125" style="4" bestFit="1" customWidth="1"/>
    <col min="6674" max="6674" width="13.28515625" style="4" customWidth="1"/>
    <col min="6675" max="6675" width="12" style="4" customWidth="1"/>
    <col min="6676" max="6676" width="12.5703125" style="4" customWidth="1"/>
    <col min="6677" max="6684" width="9.140625" style="4"/>
    <col min="6685" max="6685" width="12.5703125" style="4" customWidth="1"/>
    <col min="6686" max="6912" width="9.140625" style="4"/>
    <col min="6913" max="6913" width="7.7109375" style="4" customWidth="1"/>
    <col min="6914" max="6914" width="2" style="4" customWidth="1"/>
    <col min="6915" max="6915" width="1.5703125" style="4" customWidth="1"/>
    <col min="6916" max="6916" width="5.5703125" style="4" customWidth="1"/>
    <col min="6917" max="6918" width="13" style="4" customWidth="1"/>
    <col min="6919" max="6919" width="12" style="4" customWidth="1"/>
    <col min="6920" max="6920" width="16.42578125" style="4" customWidth="1"/>
    <col min="6921" max="6922" width="13" style="4" customWidth="1"/>
    <col min="6923" max="6923" width="13.5703125" style="4" customWidth="1"/>
    <col min="6924" max="6924" width="14.140625" style="4" customWidth="1"/>
    <col min="6925" max="6925" width="4.42578125" style="4" customWidth="1"/>
    <col min="6926" max="6926" width="2.28515625" style="4" customWidth="1"/>
    <col min="6927" max="6929" width="8.5703125" style="4" bestFit="1" customWidth="1"/>
    <col min="6930" max="6930" width="13.28515625" style="4" customWidth="1"/>
    <col min="6931" max="6931" width="12" style="4" customWidth="1"/>
    <col min="6932" max="6932" width="12.5703125" style="4" customWidth="1"/>
    <col min="6933" max="6940" width="9.140625" style="4"/>
    <col min="6941" max="6941" width="12.5703125" style="4" customWidth="1"/>
    <col min="6942" max="7168" width="9.140625" style="4"/>
    <col min="7169" max="7169" width="7.7109375" style="4" customWidth="1"/>
    <col min="7170" max="7170" width="2" style="4" customWidth="1"/>
    <col min="7171" max="7171" width="1.5703125" style="4" customWidth="1"/>
    <col min="7172" max="7172" width="5.5703125" style="4" customWidth="1"/>
    <col min="7173" max="7174" width="13" style="4" customWidth="1"/>
    <col min="7175" max="7175" width="12" style="4" customWidth="1"/>
    <col min="7176" max="7176" width="16.42578125" style="4" customWidth="1"/>
    <col min="7177" max="7178" width="13" style="4" customWidth="1"/>
    <col min="7179" max="7179" width="13.5703125" style="4" customWidth="1"/>
    <col min="7180" max="7180" width="14.140625" style="4" customWidth="1"/>
    <col min="7181" max="7181" width="4.42578125" style="4" customWidth="1"/>
    <col min="7182" max="7182" width="2.28515625" style="4" customWidth="1"/>
    <col min="7183" max="7185" width="8.5703125" style="4" bestFit="1" customWidth="1"/>
    <col min="7186" max="7186" width="13.28515625" style="4" customWidth="1"/>
    <col min="7187" max="7187" width="12" style="4" customWidth="1"/>
    <col min="7188" max="7188" width="12.5703125" style="4" customWidth="1"/>
    <col min="7189" max="7196" width="9.140625" style="4"/>
    <col min="7197" max="7197" width="12.5703125" style="4" customWidth="1"/>
    <col min="7198" max="7424" width="9.140625" style="4"/>
    <col min="7425" max="7425" width="7.7109375" style="4" customWidth="1"/>
    <col min="7426" max="7426" width="2" style="4" customWidth="1"/>
    <col min="7427" max="7427" width="1.5703125" style="4" customWidth="1"/>
    <col min="7428" max="7428" width="5.5703125" style="4" customWidth="1"/>
    <col min="7429" max="7430" width="13" style="4" customWidth="1"/>
    <col min="7431" max="7431" width="12" style="4" customWidth="1"/>
    <col min="7432" max="7432" width="16.42578125" style="4" customWidth="1"/>
    <col min="7433" max="7434" width="13" style="4" customWidth="1"/>
    <col min="7435" max="7435" width="13.5703125" style="4" customWidth="1"/>
    <col min="7436" max="7436" width="14.140625" style="4" customWidth="1"/>
    <col min="7437" max="7437" width="4.42578125" style="4" customWidth="1"/>
    <col min="7438" max="7438" width="2.28515625" style="4" customWidth="1"/>
    <col min="7439" max="7441" width="8.5703125" style="4" bestFit="1" customWidth="1"/>
    <col min="7442" max="7442" width="13.28515625" style="4" customWidth="1"/>
    <col min="7443" max="7443" width="12" style="4" customWidth="1"/>
    <col min="7444" max="7444" width="12.5703125" style="4" customWidth="1"/>
    <col min="7445" max="7452" width="9.140625" style="4"/>
    <col min="7453" max="7453" width="12.5703125" style="4" customWidth="1"/>
    <col min="7454" max="7680" width="9.140625" style="4"/>
    <col min="7681" max="7681" width="7.7109375" style="4" customWidth="1"/>
    <col min="7682" max="7682" width="2" style="4" customWidth="1"/>
    <col min="7683" max="7683" width="1.5703125" style="4" customWidth="1"/>
    <col min="7684" max="7684" width="5.5703125" style="4" customWidth="1"/>
    <col min="7685" max="7686" width="13" style="4" customWidth="1"/>
    <col min="7687" max="7687" width="12" style="4" customWidth="1"/>
    <col min="7688" max="7688" width="16.42578125" style="4" customWidth="1"/>
    <col min="7689" max="7690" width="13" style="4" customWidth="1"/>
    <col min="7691" max="7691" width="13.5703125" style="4" customWidth="1"/>
    <col min="7692" max="7692" width="14.140625" style="4" customWidth="1"/>
    <col min="7693" max="7693" width="4.42578125" style="4" customWidth="1"/>
    <col min="7694" max="7694" width="2.28515625" style="4" customWidth="1"/>
    <col min="7695" max="7697" width="8.5703125" style="4" bestFit="1" customWidth="1"/>
    <col min="7698" max="7698" width="13.28515625" style="4" customWidth="1"/>
    <col min="7699" max="7699" width="12" style="4" customWidth="1"/>
    <col min="7700" max="7700" width="12.5703125" style="4" customWidth="1"/>
    <col min="7701" max="7708" width="9.140625" style="4"/>
    <col min="7709" max="7709" width="12.5703125" style="4" customWidth="1"/>
    <col min="7710" max="7936" width="9.140625" style="4"/>
    <col min="7937" max="7937" width="7.7109375" style="4" customWidth="1"/>
    <col min="7938" max="7938" width="2" style="4" customWidth="1"/>
    <col min="7939" max="7939" width="1.5703125" style="4" customWidth="1"/>
    <col min="7940" max="7940" width="5.5703125" style="4" customWidth="1"/>
    <col min="7941" max="7942" width="13" style="4" customWidth="1"/>
    <col min="7943" max="7943" width="12" style="4" customWidth="1"/>
    <col min="7944" max="7944" width="16.42578125" style="4" customWidth="1"/>
    <col min="7945" max="7946" width="13" style="4" customWidth="1"/>
    <col min="7947" max="7947" width="13.5703125" style="4" customWidth="1"/>
    <col min="7948" max="7948" width="14.140625" style="4" customWidth="1"/>
    <col min="7949" max="7949" width="4.42578125" style="4" customWidth="1"/>
    <col min="7950" max="7950" width="2.28515625" style="4" customWidth="1"/>
    <col min="7951" max="7953" width="8.5703125" style="4" bestFit="1" customWidth="1"/>
    <col min="7954" max="7954" width="13.28515625" style="4" customWidth="1"/>
    <col min="7955" max="7955" width="12" style="4" customWidth="1"/>
    <col min="7956" max="7956" width="12.5703125" style="4" customWidth="1"/>
    <col min="7957" max="7964" width="9.140625" style="4"/>
    <col min="7965" max="7965" width="12.5703125" style="4" customWidth="1"/>
    <col min="7966" max="8192" width="9.140625" style="4"/>
    <col min="8193" max="8193" width="7.7109375" style="4" customWidth="1"/>
    <col min="8194" max="8194" width="2" style="4" customWidth="1"/>
    <col min="8195" max="8195" width="1.5703125" style="4" customWidth="1"/>
    <col min="8196" max="8196" width="5.5703125" style="4" customWidth="1"/>
    <col min="8197" max="8198" width="13" style="4" customWidth="1"/>
    <col min="8199" max="8199" width="12" style="4" customWidth="1"/>
    <col min="8200" max="8200" width="16.42578125" style="4" customWidth="1"/>
    <col min="8201" max="8202" width="13" style="4" customWidth="1"/>
    <col min="8203" max="8203" width="13.5703125" style="4" customWidth="1"/>
    <col min="8204" max="8204" width="14.140625" style="4" customWidth="1"/>
    <col min="8205" max="8205" width="4.42578125" style="4" customWidth="1"/>
    <col min="8206" max="8206" width="2.28515625" style="4" customWidth="1"/>
    <col min="8207" max="8209" width="8.5703125" style="4" bestFit="1" customWidth="1"/>
    <col min="8210" max="8210" width="13.28515625" style="4" customWidth="1"/>
    <col min="8211" max="8211" width="12" style="4" customWidth="1"/>
    <col min="8212" max="8212" width="12.5703125" style="4" customWidth="1"/>
    <col min="8213" max="8220" width="9.140625" style="4"/>
    <col min="8221" max="8221" width="12.5703125" style="4" customWidth="1"/>
    <col min="8222" max="8448" width="9.140625" style="4"/>
    <col min="8449" max="8449" width="7.7109375" style="4" customWidth="1"/>
    <col min="8450" max="8450" width="2" style="4" customWidth="1"/>
    <col min="8451" max="8451" width="1.5703125" style="4" customWidth="1"/>
    <col min="8452" max="8452" width="5.5703125" style="4" customWidth="1"/>
    <col min="8453" max="8454" width="13" style="4" customWidth="1"/>
    <col min="8455" max="8455" width="12" style="4" customWidth="1"/>
    <col min="8456" max="8456" width="16.42578125" style="4" customWidth="1"/>
    <col min="8457" max="8458" width="13" style="4" customWidth="1"/>
    <col min="8459" max="8459" width="13.5703125" style="4" customWidth="1"/>
    <col min="8460" max="8460" width="14.140625" style="4" customWidth="1"/>
    <col min="8461" max="8461" width="4.42578125" style="4" customWidth="1"/>
    <col min="8462" max="8462" width="2.28515625" style="4" customWidth="1"/>
    <col min="8463" max="8465" width="8.5703125" style="4" bestFit="1" customWidth="1"/>
    <col min="8466" max="8466" width="13.28515625" style="4" customWidth="1"/>
    <col min="8467" max="8467" width="12" style="4" customWidth="1"/>
    <col min="8468" max="8468" width="12.5703125" style="4" customWidth="1"/>
    <col min="8469" max="8476" width="9.140625" style="4"/>
    <col min="8477" max="8477" width="12.5703125" style="4" customWidth="1"/>
    <col min="8478" max="8704" width="9.140625" style="4"/>
    <col min="8705" max="8705" width="7.7109375" style="4" customWidth="1"/>
    <col min="8706" max="8706" width="2" style="4" customWidth="1"/>
    <col min="8707" max="8707" width="1.5703125" style="4" customWidth="1"/>
    <col min="8708" max="8708" width="5.5703125" style="4" customWidth="1"/>
    <col min="8709" max="8710" width="13" style="4" customWidth="1"/>
    <col min="8711" max="8711" width="12" style="4" customWidth="1"/>
    <col min="8712" max="8712" width="16.42578125" style="4" customWidth="1"/>
    <col min="8713" max="8714" width="13" style="4" customWidth="1"/>
    <col min="8715" max="8715" width="13.5703125" style="4" customWidth="1"/>
    <col min="8716" max="8716" width="14.140625" style="4" customWidth="1"/>
    <col min="8717" max="8717" width="4.42578125" style="4" customWidth="1"/>
    <col min="8718" max="8718" width="2.28515625" style="4" customWidth="1"/>
    <col min="8719" max="8721" width="8.5703125" style="4" bestFit="1" customWidth="1"/>
    <col min="8722" max="8722" width="13.28515625" style="4" customWidth="1"/>
    <col min="8723" max="8723" width="12" style="4" customWidth="1"/>
    <col min="8724" max="8724" width="12.5703125" style="4" customWidth="1"/>
    <col min="8725" max="8732" width="9.140625" style="4"/>
    <col min="8733" max="8733" width="12.5703125" style="4" customWidth="1"/>
    <col min="8734" max="8960" width="9.140625" style="4"/>
    <col min="8961" max="8961" width="7.7109375" style="4" customWidth="1"/>
    <col min="8962" max="8962" width="2" style="4" customWidth="1"/>
    <col min="8963" max="8963" width="1.5703125" style="4" customWidth="1"/>
    <col min="8964" max="8964" width="5.5703125" style="4" customWidth="1"/>
    <col min="8965" max="8966" width="13" style="4" customWidth="1"/>
    <col min="8967" max="8967" width="12" style="4" customWidth="1"/>
    <col min="8968" max="8968" width="16.42578125" style="4" customWidth="1"/>
    <col min="8969" max="8970" width="13" style="4" customWidth="1"/>
    <col min="8971" max="8971" width="13.5703125" style="4" customWidth="1"/>
    <col min="8972" max="8972" width="14.140625" style="4" customWidth="1"/>
    <col min="8973" max="8973" width="4.42578125" style="4" customWidth="1"/>
    <col min="8974" max="8974" width="2.28515625" style="4" customWidth="1"/>
    <col min="8975" max="8977" width="8.5703125" style="4" bestFit="1" customWidth="1"/>
    <col min="8978" max="8978" width="13.28515625" style="4" customWidth="1"/>
    <col min="8979" max="8979" width="12" style="4" customWidth="1"/>
    <col min="8980" max="8980" width="12.5703125" style="4" customWidth="1"/>
    <col min="8981" max="8988" width="9.140625" style="4"/>
    <col min="8989" max="8989" width="12.5703125" style="4" customWidth="1"/>
    <col min="8990" max="9216" width="9.140625" style="4"/>
    <col min="9217" max="9217" width="7.7109375" style="4" customWidth="1"/>
    <col min="9218" max="9218" width="2" style="4" customWidth="1"/>
    <col min="9219" max="9219" width="1.5703125" style="4" customWidth="1"/>
    <col min="9220" max="9220" width="5.5703125" style="4" customWidth="1"/>
    <col min="9221" max="9222" width="13" style="4" customWidth="1"/>
    <col min="9223" max="9223" width="12" style="4" customWidth="1"/>
    <col min="9224" max="9224" width="16.42578125" style="4" customWidth="1"/>
    <col min="9225" max="9226" width="13" style="4" customWidth="1"/>
    <col min="9227" max="9227" width="13.5703125" style="4" customWidth="1"/>
    <col min="9228" max="9228" width="14.140625" style="4" customWidth="1"/>
    <col min="9229" max="9229" width="4.42578125" style="4" customWidth="1"/>
    <col min="9230" max="9230" width="2.28515625" style="4" customWidth="1"/>
    <col min="9231" max="9233" width="8.5703125" style="4" bestFit="1" customWidth="1"/>
    <col min="9234" max="9234" width="13.28515625" style="4" customWidth="1"/>
    <col min="9235" max="9235" width="12" style="4" customWidth="1"/>
    <col min="9236" max="9236" width="12.5703125" style="4" customWidth="1"/>
    <col min="9237" max="9244" width="9.140625" style="4"/>
    <col min="9245" max="9245" width="12.5703125" style="4" customWidth="1"/>
    <col min="9246" max="9472" width="9.140625" style="4"/>
    <col min="9473" max="9473" width="7.7109375" style="4" customWidth="1"/>
    <col min="9474" max="9474" width="2" style="4" customWidth="1"/>
    <col min="9475" max="9475" width="1.5703125" style="4" customWidth="1"/>
    <col min="9476" max="9476" width="5.5703125" style="4" customWidth="1"/>
    <col min="9477" max="9478" width="13" style="4" customWidth="1"/>
    <col min="9479" max="9479" width="12" style="4" customWidth="1"/>
    <col min="9480" max="9480" width="16.42578125" style="4" customWidth="1"/>
    <col min="9481" max="9482" width="13" style="4" customWidth="1"/>
    <col min="9483" max="9483" width="13.5703125" style="4" customWidth="1"/>
    <col min="9484" max="9484" width="14.140625" style="4" customWidth="1"/>
    <col min="9485" max="9485" width="4.42578125" style="4" customWidth="1"/>
    <col min="9486" max="9486" width="2.28515625" style="4" customWidth="1"/>
    <col min="9487" max="9489" width="8.5703125" style="4" bestFit="1" customWidth="1"/>
    <col min="9490" max="9490" width="13.28515625" style="4" customWidth="1"/>
    <col min="9491" max="9491" width="12" style="4" customWidth="1"/>
    <col min="9492" max="9492" width="12.5703125" style="4" customWidth="1"/>
    <col min="9493" max="9500" width="9.140625" style="4"/>
    <col min="9501" max="9501" width="12.5703125" style="4" customWidth="1"/>
    <col min="9502" max="9728" width="9.140625" style="4"/>
    <col min="9729" max="9729" width="7.7109375" style="4" customWidth="1"/>
    <col min="9730" max="9730" width="2" style="4" customWidth="1"/>
    <col min="9731" max="9731" width="1.5703125" style="4" customWidth="1"/>
    <col min="9732" max="9732" width="5.5703125" style="4" customWidth="1"/>
    <col min="9733" max="9734" width="13" style="4" customWidth="1"/>
    <col min="9735" max="9735" width="12" style="4" customWidth="1"/>
    <col min="9736" max="9736" width="16.42578125" style="4" customWidth="1"/>
    <col min="9737" max="9738" width="13" style="4" customWidth="1"/>
    <col min="9739" max="9739" width="13.5703125" style="4" customWidth="1"/>
    <col min="9740" max="9740" width="14.140625" style="4" customWidth="1"/>
    <col min="9741" max="9741" width="4.42578125" style="4" customWidth="1"/>
    <col min="9742" max="9742" width="2.28515625" style="4" customWidth="1"/>
    <col min="9743" max="9745" width="8.5703125" style="4" bestFit="1" customWidth="1"/>
    <col min="9746" max="9746" width="13.28515625" style="4" customWidth="1"/>
    <col min="9747" max="9747" width="12" style="4" customWidth="1"/>
    <col min="9748" max="9748" width="12.5703125" style="4" customWidth="1"/>
    <col min="9749" max="9756" width="9.140625" style="4"/>
    <col min="9757" max="9757" width="12.5703125" style="4" customWidth="1"/>
    <col min="9758" max="9984" width="9.140625" style="4"/>
    <col min="9985" max="9985" width="7.7109375" style="4" customWidth="1"/>
    <col min="9986" max="9986" width="2" style="4" customWidth="1"/>
    <col min="9987" max="9987" width="1.5703125" style="4" customWidth="1"/>
    <col min="9988" max="9988" width="5.5703125" style="4" customWidth="1"/>
    <col min="9989" max="9990" width="13" style="4" customWidth="1"/>
    <col min="9991" max="9991" width="12" style="4" customWidth="1"/>
    <col min="9992" max="9992" width="16.42578125" style="4" customWidth="1"/>
    <col min="9993" max="9994" width="13" style="4" customWidth="1"/>
    <col min="9995" max="9995" width="13.5703125" style="4" customWidth="1"/>
    <col min="9996" max="9996" width="14.140625" style="4" customWidth="1"/>
    <col min="9997" max="9997" width="4.42578125" style="4" customWidth="1"/>
    <col min="9998" max="9998" width="2.28515625" style="4" customWidth="1"/>
    <col min="9999" max="10001" width="8.5703125" style="4" bestFit="1" customWidth="1"/>
    <col min="10002" max="10002" width="13.28515625" style="4" customWidth="1"/>
    <col min="10003" max="10003" width="12" style="4" customWidth="1"/>
    <col min="10004" max="10004" width="12.5703125" style="4" customWidth="1"/>
    <col min="10005" max="10012" width="9.140625" style="4"/>
    <col min="10013" max="10013" width="12.5703125" style="4" customWidth="1"/>
    <col min="10014" max="10240" width="9.140625" style="4"/>
    <col min="10241" max="10241" width="7.7109375" style="4" customWidth="1"/>
    <col min="10242" max="10242" width="2" style="4" customWidth="1"/>
    <col min="10243" max="10243" width="1.5703125" style="4" customWidth="1"/>
    <col min="10244" max="10244" width="5.5703125" style="4" customWidth="1"/>
    <col min="10245" max="10246" width="13" style="4" customWidth="1"/>
    <col min="10247" max="10247" width="12" style="4" customWidth="1"/>
    <col min="10248" max="10248" width="16.42578125" style="4" customWidth="1"/>
    <col min="10249" max="10250" width="13" style="4" customWidth="1"/>
    <col min="10251" max="10251" width="13.5703125" style="4" customWidth="1"/>
    <col min="10252" max="10252" width="14.140625" style="4" customWidth="1"/>
    <col min="10253" max="10253" width="4.42578125" style="4" customWidth="1"/>
    <col min="10254" max="10254" width="2.28515625" style="4" customWidth="1"/>
    <col min="10255" max="10257" width="8.5703125" style="4" bestFit="1" customWidth="1"/>
    <col min="10258" max="10258" width="13.28515625" style="4" customWidth="1"/>
    <col min="10259" max="10259" width="12" style="4" customWidth="1"/>
    <col min="10260" max="10260" width="12.5703125" style="4" customWidth="1"/>
    <col min="10261" max="10268" width="9.140625" style="4"/>
    <col min="10269" max="10269" width="12.5703125" style="4" customWidth="1"/>
    <col min="10270" max="10496" width="9.140625" style="4"/>
    <col min="10497" max="10497" width="7.7109375" style="4" customWidth="1"/>
    <col min="10498" max="10498" width="2" style="4" customWidth="1"/>
    <col min="10499" max="10499" width="1.5703125" style="4" customWidth="1"/>
    <col min="10500" max="10500" width="5.5703125" style="4" customWidth="1"/>
    <col min="10501" max="10502" width="13" style="4" customWidth="1"/>
    <col min="10503" max="10503" width="12" style="4" customWidth="1"/>
    <col min="10504" max="10504" width="16.42578125" style="4" customWidth="1"/>
    <col min="10505" max="10506" width="13" style="4" customWidth="1"/>
    <col min="10507" max="10507" width="13.5703125" style="4" customWidth="1"/>
    <col min="10508" max="10508" width="14.140625" style="4" customWidth="1"/>
    <col min="10509" max="10509" width="4.42578125" style="4" customWidth="1"/>
    <col min="10510" max="10510" width="2.28515625" style="4" customWidth="1"/>
    <col min="10511" max="10513" width="8.5703125" style="4" bestFit="1" customWidth="1"/>
    <col min="10514" max="10514" width="13.28515625" style="4" customWidth="1"/>
    <col min="10515" max="10515" width="12" style="4" customWidth="1"/>
    <col min="10516" max="10516" width="12.5703125" style="4" customWidth="1"/>
    <col min="10517" max="10524" width="9.140625" style="4"/>
    <col min="10525" max="10525" width="12.5703125" style="4" customWidth="1"/>
    <col min="10526" max="10752" width="9.140625" style="4"/>
    <col min="10753" max="10753" width="7.7109375" style="4" customWidth="1"/>
    <col min="10754" max="10754" width="2" style="4" customWidth="1"/>
    <col min="10755" max="10755" width="1.5703125" style="4" customWidth="1"/>
    <col min="10756" max="10756" width="5.5703125" style="4" customWidth="1"/>
    <col min="10757" max="10758" width="13" style="4" customWidth="1"/>
    <col min="10759" max="10759" width="12" style="4" customWidth="1"/>
    <col min="10760" max="10760" width="16.42578125" style="4" customWidth="1"/>
    <col min="10761" max="10762" width="13" style="4" customWidth="1"/>
    <col min="10763" max="10763" width="13.5703125" style="4" customWidth="1"/>
    <col min="10764" max="10764" width="14.140625" style="4" customWidth="1"/>
    <col min="10765" max="10765" width="4.42578125" style="4" customWidth="1"/>
    <col min="10766" max="10766" width="2.28515625" style="4" customWidth="1"/>
    <col min="10767" max="10769" width="8.5703125" style="4" bestFit="1" customWidth="1"/>
    <col min="10770" max="10770" width="13.28515625" style="4" customWidth="1"/>
    <col min="10771" max="10771" width="12" style="4" customWidth="1"/>
    <col min="10772" max="10772" width="12.5703125" style="4" customWidth="1"/>
    <col min="10773" max="10780" width="9.140625" style="4"/>
    <col min="10781" max="10781" width="12.5703125" style="4" customWidth="1"/>
    <col min="10782" max="11008" width="9.140625" style="4"/>
    <col min="11009" max="11009" width="7.7109375" style="4" customWidth="1"/>
    <col min="11010" max="11010" width="2" style="4" customWidth="1"/>
    <col min="11011" max="11011" width="1.5703125" style="4" customWidth="1"/>
    <col min="11012" max="11012" width="5.5703125" style="4" customWidth="1"/>
    <col min="11013" max="11014" width="13" style="4" customWidth="1"/>
    <col min="11015" max="11015" width="12" style="4" customWidth="1"/>
    <col min="11016" max="11016" width="16.42578125" style="4" customWidth="1"/>
    <col min="11017" max="11018" width="13" style="4" customWidth="1"/>
    <col min="11019" max="11019" width="13.5703125" style="4" customWidth="1"/>
    <col min="11020" max="11020" width="14.140625" style="4" customWidth="1"/>
    <col min="11021" max="11021" width="4.42578125" style="4" customWidth="1"/>
    <col min="11022" max="11022" width="2.28515625" style="4" customWidth="1"/>
    <col min="11023" max="11025" width="8.5703125" style="4" bestFit="1" customWidth="1"/>
    <col min="11026" max="11026" width="13.28515625" style="4" customWidth="1"/>
    <col min="11027" max="11027" width="12" style="4" customWidth="1"/>
    <col min="11028" max="11028" width="12.5703125" style="4" customWidth="1"/>
    <col min="11029" max="11036" width="9.140625" style="4"/>
    <col min="11037" max="11037" width="12.5703125" style="4" customWidth="1"/>
    <col min="11038" max="11264" width="9.140625" style="4"/>
    <col min="11265" max="11265" width="7.7109375" style="4" customWidth="1"/>
    <col min="11266" max="11266" width="2" style="4" customWidth="1"/>
    <col min="11267" max="11267" width="1.5703125" style="4" customWidth="1"/>
    <col min="11268" max="11268" width="5.5703125" style="4" customWidth="1"/>
    <col min="11269" max="11270" width="13" style="4" customWidth="1"/>
    <col min="11271" max="11271" width="12" style="4" customWidth="1"/>
    <col min="11272" max="11272" width="16.42578125" style="4" customWidth="1"/>
    <col min="11273" max="11274" width="13" style="4" customWidth="1"/>
    <col min="11275" max="11275" width="13.5703125" style="4" customWidth="1"/>
    <col min="11276" max="11276" width="14.140625" style="4" customWidth="1"/>
    <col min="11277" max="11277" width="4.42578125" style="4" customWidth="1"/>
    <col min="11278" max="11278" width="2.28515625" style="4" customWidth="1"/>
    <col min="11279" max="11281" width="8.5703125" style="4" bestFit="1" customWidth="1"/>
    <col min="11282" max="11282" width="13.28515625" style="4" customWidth="1"/>
    <col min="11283" max="11283" width="12" style="4" customWidth="1"/>
    <col min="11284" max="11284" width="12.5703125" style="4" customWidth="1"/>
    <col min="11285" max="11292" width="9.140625" style="4"/>
    <col min="11293" max="11293" width="12.5703125" style="4" customWidth="1"/>
    <col min="11294" max="11520" width="9.140625" style="4"/>
    <col min="11521" max="11521" width="7.7109375" style="4" customWidth="1"/>
    <col min="11522" max="11522" width="2" style="4" customWidth="1"/>
    <col min="11523" max="11523" width="1.5703125" style="4" customWidth="1"/>
    <col min="11524" max="11524" width="5.5703125" style="4" customWidth="1"/>
    <col min="11525" max="11526" width="13" style="4" customWidth="1"/>
    <col min="11527" max="11527" width="12" style="4" customWidth="1"/>
    <col min="11528" max="11528" width="16.42578125" style="4" customWidth="1"/>
    <col min="11529" max="11530" width="13" style="4" customWidth="1"/>
    <col min="11531" max="11531" width="13.5703125" style="4" customWidth="1"/>
    <col min="11532" max="11532" width="14.140625" style="4" customWidth="1"/>
    <col min="11533" max="11533" width="4.42578125" style="4" customWidth="1"/>
    <col min="11534" max="11534" width="2.28515625" style="4" customWidth="1"/>
    <col min="11535" max="11537" width="8.5703125" style="4" bestFit="1" customWidth="1"/>
    <col min="11538" max="11538" width="13.28515625" style="4" customWidth="1"/>
    <col min="11539" max="11539" width="12" style="4" customWidth="1"/>
    <col min="11540" max="11540" width="12.5703125" style="4" customWidth="1"/>
    <col min="11541" max="11548" width="9.140625" style="4"/>
    <col min="11549" max="11549" width="12.5703125" style="4" customWidth="1"/>
    <col min="11550" max="11776" width="9.140625" style="4"/>
    <col min="11777" max="11777" width="7.7109375" style="4" customWidth="1"/>
    <col min="11778" max="11778" width="2" style="4" customWidth="1"/>
    <col min="11779" max="11779" width="1.5703125" style="4" customWidth="1"/>
    <col min="11780" max="11780" width="5.5703125" style="4" customWidth="1"/>
    <col min="11781" max="11782" width="13" style="4" customWidth="1"/>
    <col min="11783" max="11783" width="12" style="4" customWidth="1"/>
    <col min="11784" max="11784" width="16.42578125" style="4" customWidth="1"/>
    <col min="11785" max="11786" width="13" style="4" customWidth="1"/>
    <col min="11787" max="11787" width="13.5703125" style="4" customWidth="1"/>
    <col min="11788" max="11788" width="14.140625" style="4" customWidth="1"/>
    <col min="11789" max="11789" width="4.42578125" style="4" customWidth="1"/>
    <col min="11790" max="11790" width="2.28515625" style="4" customWidth="1"/>
    <col min="11791" max="11793" width="8.5703125" style="4" bestFit="1" customWidth="1"/>
    <col min="11794" max="11794" width="13.28515625" style="4" customWidth="1"/>
    <col min="11795" max="11795" width="12" style="4" customWidth="1"/>
    <col min="11796" max="11796" width="12.5703125" style="4" customWidth="1"/>
    <col min="11797" max="11804" width="9.140625" style="4"/>
    <col min="11805" max="11805" width="12.5703125" style="4" customWidth="1"/>
    <col min="11806" max="12032" width="9.140625" style="4"/>
    <col min="12033" max="12033" width="7.7109375" style="4" customWidth="1"/>
    <col min="12034" max="12034" width="2" style="4" customWidth="1"/>
    <col min="12035" max="12035" width="1.5703125" style="4" customWidth="1"/>
    <col min="12036" max="12036" width="5.5703125" style="4" customWidth="1"/>
    <col min="12037" max="12038" width="13" style="4" customWidth="1"/>
    <col min="12039" max="12039" width="12" style="4" customWidth="1"/>
    <col min="12040" max="12040" width="16.42578125" style="4" customWidth="1"/>
    <col min="12041" max="12042" width="13" style="4" customWidth="1"/>
    <col min="12043" max="12043" width="13.5703125" style="4" customWidth="1"/>
    <col min="12044" max="12044" width="14.140625" style="4" customWidth="1"/>
    <col min="12045" max="12045" width="4.42578125" style="4" customWidth="1"/>
    <col min="12046" max="12046" width="2.28515625" style="4" customWidth="1"/>
    <col min="12047" max="12049" width="8.5703125" style="4" bestFit="1" customWidth="1"/>
    <col min="12050" max="12050" width="13.28515625" style="4" customWidth="1"/>
    <col min="12051" max="12051" width="12" style="4" customWidth="1"/>
    <col min="12052" max="12052" width="12.5703125" style="4" customWidth="1"/>
    <col min="12053" max="12060" width="9.140625" style="4"/>
    <col min="12061" max="12061" width="12.5703125" style="4" customWidth="1"/>
    <col min="12062" max="12288" width="9.140625" style="4"/>
    <col min="12289" max="12289" width="7.7109375" style="4" customWidth="1"/>
    <col min="12290" max="12290" width="2" style="4" customWidth="1"/>
    <col min="12291" max="12291" width="1.5703125" style="4" customWidth="1"/>
    <col min="12292" max="12292" width="5.5703125" style="4" customWidth="1"/>
    <col min="12293" max="12294" width="13" style="4" customWidth="1"/>
    <col min="12295" max="12295" width="12" style="4" customWidth="1"/>
    <col min="12296" max="12296" width="16.42578125" style="4" customWidth="1"/>
    <col min="12297" max="12298" width="13" style="4" customWidth="1"/>
    <col min="12299" max="12299" width="13.5703125" style="4" customWidth="1"/>
    <col min="12300" max="12300" width="14.140625" style="4" customWidth="1"/>
    <col min="12301" max="12301" width="4.42578125" style="4" customWidth="1"/>
    <col min="12302" max="12302" width="2.28515625" style="4" customWidth="1"/>
    <col min="12303" max="12305" width="8.5703125" style="4" bestFit="1" customWidth="1"/>
    <col min="12306" max="12306" width="13.28515625" style="4" customWidth="1"/>
    <col min="12307" max="12307" width="12" style="4" customWidth="1"/>
    <col min="12308" max="12308" width="12.5703125" style="4" customWidth="1"/>
    <col min="12309" max="12316" width="9.140625" style="4"/>
    <col min="12317" max="12317" width="12.5703125" style="4" customWidth="1"/>
    <col min="12318" max="12544" width="9.140625" style="4"/>
    <col min="12545" max="12545" width="7.7109375" style="4" customWidth="1"/>
    <col min="12546" max="12546" width="2" style="4" customWidth="1"/>
    <col min="12547" max="12547" width="1.5703125" style="4" customWidth="1"/>
    <col min="12548" max="12548" width="5.5703125" style="4" customWidth="1"/>
    <col min="12549" max="12550" width="13" style="4" customWidth="1"/>
    <col min="12551" max="12551" width="12" style="4" customWidth="1"/>
    <col min="12552" max="12552" width="16.42578125" style="4" customWidth="1"/>
    <col min="12553" max="12554" width="13" style="4" customWidth="1"/>
    <col min="12555" max="12555" width="13.5703125" style="4" customWidth="1"/>
    <col min="12556" max="12556" width="14.140625" style="4" customWidth="1"/>
    <col min="12557" max="12557" width="4.42578125" style="4" customWidth="1"/>
    <col min="12558" max="12558" width="2.28515625" style="4" customWidth="1"/>
    <col min="12559" max="12561" width="8.5703125" style="4" bestFit="1" customWidth="1"/>
    <col min="12562" max="12562" width="13.28515625" style="4" customWidth="1"/>
    <col min="12563" max="12563" width="12" style="4" customWidth="1"/>
    <col min="12564" max="12564" width="12.5703125" style="4" customWidth="1"/>
    <col min="12565" max="12572" width="9.140625" style="4"/>
    <col min="12573" max="12573" width="12.5703125" style="4" customWidth="1"/>
    <col min="12574" max="12800" width="9.140625" style="4"/>
    <col min="12801" max="12801" width="7.7109375" style="4" customWidth="1"/>
    <col min="12802" max="12802" width="2" style="4" customWidth="1"/>
    <col min="12803" max="12803" width="1.5703125" style="4" customWidth="1"/>
    <col min="12804" max="12804" width="5.5703125" style="4" customWidth="1"/>
    <col min="12805" max="12806" width="13" style="4" customWidth="1"/>
    <col min="12807" max="12807" width="12" style="4" customWidth="1"/>
    <col min="12808" max="12808" width="16.42578125" style="4" customWidth="1"/>
    <col min="12809" max="12810" width="13" style="4" customWidth="1"/>
    <col min="12811" max="12811" width="13.5703125" style="4" customWidth="1"/>
    <col min="12812" max="12812" width="14.140625" style="4" customWidth="1"/>
    <col min="12813" max="12813" width="4.42578125" style="4" customWidth="1"/>
    <col min="12814" max="12814" width="2.28515625" style="4" customWidth="1"/>
    <col min="12815" max="12817" width="8.5703125" style="4" bestFit="1" customWidth="1"/>
    <col min="12818" max="12818" width="13.28515625" style="4" customWidth="1"/>
    <col min="12819" max="12819" width="12" style="4" customWidth="1"/>
    <col min="12820" max="12820" width="12.5703125" style="4" customWidth="1"/>
    <col min="12821" max="12828" width="9.140625" style="4"/>
    <col min="12829" max="12829" width="12.5703125" style="4" customWidth="1"/>
    <col min="12830" max="13056" width="9.140625" style="4"/>
    <col min="13057" max="13057" width="7.7109375" style="4" customWidth="1"/>
    <col min="13058" max="13058" width="2" style="4" customWidth="1"/>
    <col min="13059" max="13059" width="1.5703125" style="4" customWidth="1"/>
    <col min="13060" max="13060" width="5.5703125" style="4" customWidth="1"/>
    <col min="13061" max="13062" width="13" style="4" customWidth="1"/>
    <col min="13063" max="13063" width="12" style="4" customWidth="1"/>
    <col min="13064" max="13064" width="16.42578125" style="4" customWidth="1"/>
    <col min="13065" max="13066" width="13" style="4" customWidth="1"/>
    <col min="13067" max="13067" width="13.5703125" style="4" customWidth="1"/>
    <col min="13068" max="13068" width="14.140625" style="4" customWidth="1"/>
    <col min="13069" max="13069" width="4.42578125" style="4" customWidth="1"/>
    <col min="13070" max="13070" width="2.28515625" style="4" customWidth="1"/>
    <col min="13071" max="13073" width="8.5703125" style="4" bestFit="1" customWidth="1"/>
    <col min="13074" max="13074" width="13.28515625" style="4" customWidth="1"/>
    <col min="13075" max="13075" width="12" style="4" customWidth="1"/>
    <col min="13076" max="13076" width="12.5703125" style="4" customWidth="1"/>
    <col min="13077" max="13084" width="9.140625" style="4"/>
    <col min="13085" max="13085" width="12.5703125" style="4" customWidth="1"/>
    <col min="13086" max="13312" width="9.140625" style="4"/>
    <col min="13313" max="13313" width="7.7109375" style="4" customWidth="1"/>
    <col min="13314" max="13314" width="2" style="4" customWidth="1"/>
    <col min="13315" max="13315" width="1.5703125" style="4" customWidth="1"/>
    <col min="13316" max="13316" width="5.5703125" style="4" customWidth="1"/>
    <col min="13317" max="13318" width="13" style="4" customWidth="1"/>
    <col min="13319" max="13319" width="12" style="4" customWidth="1"/>
    <col min="13320" max="13320" width="16.42578125" style="4" customWidth="1"/>
    <col min="13321" max="13322" width="13" style="4" customWidth="1"/>
    <col min="13323" max="13323" width="13.5703125" style="4" customWidth="1"/>
    <col min="13324" max="13324" width="14.140625" style="4" customWidth="1"/>
    <col min="13325" max="13325" width="4.42578125" style="4" customWidth="1"/>
    <col min="13326" max="13326" width="2.28515625" style="4" customWidth="1"/>
    <col min="13327" max="13329" width="8.5703125" style="4" bestFit="1" customWidth="1"/>
    <col min="13330" max="13330" width="13.28515625" style="4" customWidth="1"/>
    <col min="13331" max="13331" width="12" style="4" customWidth="1"/>
    <col min="13332" max="13332" width="12.5703125" style="4" customWidth="1"/>
    <col min="13333" max="13340" width="9.140625" style="4"/>
    <col min="13341" max="13341" width="12.5703125" style="4" customWidth="1"/>
    <col min="13342" max="13568" width="9.140625" style="4"/>
    <col min="13569" max="13569" width="7.7109375" style="4" customWidth="1"/>
    <col min="13570" max="13570" width="2" style="4" customWidth="1"/>
    <col min="13571" max="13571" width="1.5703125" style="4" customWidth="1"/>
    <col min="13572" max="13572" width="5.5703125" style="4" customWidth="1"/>
    <col min="13573" max="13574" width="13" style="4" customWidth="1"/>
    <col min="13575" max="13575" width="12" style="4" customWidth="1"/>
    <col min="13576" max="13576" width="16.42578125" style="4" customWidth="1"/>
    <col min="13577" max="13578" width="13" style="4" customWidth="1"/>
    <col min="13579" max="13579" width="13.5703125" style="4" customWidth="1"/>
    <col min="13580" max="13580" width="14.140625" style="4" customWidth="1"/>
    <col min="13581" max="13581" width="4.42578125" style="4" customWidth="1"/>
    <col min="13582" max="13582" width="2.28515625" style="4" customWidth="1"/>
    <col min="13583" max="13585" width="8.5703125" style="4" bestFit="1" customWidth="1"/>
    <col min="13586" max="13586" width="13.28515625" style="4" customWidth="1"/>
    <col min="13587" max="13587" width="12" style="4" customWidth="1"/>
    <col min="13588" max="13588" width="12.5703125" style="4" customWidth="1"/>
    <col min="13589" max="13596" width="9.140625" style="4"/>
    <col min="13597" max="13597" width="12.5703125" style="4" customWidth="1"/>
    <col min="13598" max="13824" width="9.140625" style="4"/>
    <col min="13825" max="13825" width="7.7109375" style="4" customWidth="1"/>
    <col min="13826" max="13826" width="2" style="4" customWidth="1"/>
    <col min="13827" max="13827" width="1.5703125" style="4" customWidth="1"/>
    <col min="13828" max="13828" width="5.5703125" style="4" customWidth="1"/>
    <col min="13829" max="13830" width="13" style="4" customWidth="1"/>
    <col min="13831" max="13831" width="12" style="4" customWidth="1"/>
    <col min="13832" max="13832" width="16.42578125" style="4" customWidth="1"/>
    <col min="13833" max="13834" width="13" style="4" customWidth="1"/>
    <col min="13835" max="13835" width="13.5703125" style="4" customWidth="1"/>
    <col min="13836" max="13836" width="14.140625" style="4" customWidth="1"/>
    <col min="13837" max="13837" width="4.42578125" style="4" customWidth="1"/>
    <col min="13838" max="13838" width="2.28515625" style="4" customWidth="1"/>
    <col min="13839" max="13841" width="8.5703125" style="4" bestFit="1" customWidth="1"/>
    <col min="13842" max="13842" width="13.28515625" style="4" customWidth="1"/>
    <col min="13843" max="13843" width="12" style="4" customWidth="1"/>
    <col min="13844" max="13844" width="12.5703125" style="4" customWidth="1"/>
    <col min="13845" max="13852" width="9.140625" style="4"/>
    <col min="13853" max="13853" width="12.5703125" style="4" customWidth="1"/>
    <col min="13854" max="14080" width="9.140625" style="4"/>
    <col min="14081" max="14081" width="7.7109375" style="4" customWidth="1"/>
    <col min="14082" max="14082" width="2" style="4" customWidth="1"/>
    <col min="14083" max="14083" width="1.5703125" style="4" customWidth="1"/>
    <col min="14084" max="14084" width="5.5703125" style="4" customWidth="1"/>
    <col min="14085" max="14086" width="13" style="4" customWidth="1"/>
    <col min="14087" max="14087" width="12" style="4" customWidth="1"/>
    <col min="14088" max="14088" width="16.42578125" style="4" customWidth="1"/>
    <col min="14089" max="14090" width="13" style="4" customWidth="1"/>
    <col min="14091" max="14091" width="13.5703125" style="4" customWidth="1"/>
    <col min="14092" max="14092" width="14.140625" style="4" customWidth="1"/>
    <col min="14093" max="14093" width="4.42578125" style="4" customWidth="1"/>
    <col min="14094" max="14094" width="2.28515625" style="4" customWidth="1"/>
    <col min="14095" max="14097" width="8.5703125" style="4" bestFit="1" customWidth="1"/>
    <col min="14098" max="14098" width="13.28515625" style="4" customWidth="1"/>
    <col min="14099" max="14099" width="12" style="4" customWidth="1"/>
    <col min="14100" max="14100" width="12.5703125" style="4" customWidth="1"/>
    <col min="14101" max="14108" width="9.140625" style="4"/>
    <col min="14109" max="14109" width="12.5703125" style="4" customWidth="1"/>
    <col min="14110" max="14336" width="9.140625" style="4"/>
    <col min="14337" max="14337" width="7.7109375" style="4" customWidth="1"/>
    <col min="14338" max="14338" width="2" style="4" customWidth="1"/>
    <col min="14339" max="14339" width="1.5703125" style="4" customWidth="1"/>
    <col min="14340" max="14340" width="5.5703125" style="4" customWidth="1"/>
    <col min="14341" max="14342" width="13" style="4" customWidth="1"/>
    <col min="14343" max="14343" width="12" style="4" customWidth="1"/>
    <col min="14344" max="14344" width="16.42578125" style="4" customWidth="1"/>
    <col min="14345" max="14346" width="13" style="4" customWidth="1"/>
    <col min="14347" max="14347" width="13.5703125" style="4" customWidth="1"/>
    <col min="14348" max="14348" width="14.140625" style="4" customWidth="1"/>
    <col min="14349" max="14349" width="4.42578125" style="4" customWidth="1"/>
    <col min="14350" max="14350" width="2.28515625" style="4" customWidth="1"/>
    <col min="14351" max="14353" width="8.5703125" style="4" bestFit="1" customWidth="1"/>
    <col min="14354" max="14354" width="13.28515625" style="4" customWidth="1"/>
    <col min="14355" max="14355" width="12" style="4" customWidth="1"/>
    <col min="14356" max="14356" width="12.5703125" style="4" customWidth="1"/>
    <col min="14357" max="14364" width="9.140625" style="4"/>
    <col min="14365" max="14365" width="12.5703125" style="4" customWidth="1"/>
    <col min="14366" max="14592" width="9.140625" style="4"/>
    <col min="14593" max="14593" width="7.7109375" style="4" customWidth="1"/>
    <col min="14594" max="14594" width="2" style="4" customWidth="1"/>
    <col min="14595" max="14595" width="1.5703125" style="4" customWidth="1"/>
    <col min="14596" max="14596" width="5.5703125" style="4" customWidth="1"/>
    <col min="14597" max="14598" width="13" style="4" customWidth="1"/>
    <col min="14599" max="14599" width="12" style="4" customWidth="1"/>
    <col min="14600" max="14600" width="16.42578125" style="4" customWidth="1"/>
    <col min="14601" max="14602" width="13" style="4" customWidth="1"/>
    <col min="14603" max="14603" width="13.5703125" style="4" customWidth="1"/>
    <col min="14604" max="14604" width="14.140625" style="4" customWidth="1"/>
    <col min="14605" max="14605" width="4.42578125" style="4" customWidth="1"/>
    <col min="14606" max="14606" width="2.28515625" style="4" customWidth="1"/>
    <col min="14607" max="14609" width="8.5703125" style="4" bestFit="1" customWidth="1"/>
    <col min="14610" max="14610" width="13.28515625" style="4" customWidth="1"/>
    <col min="14611" max="14611" width="12" style="4" customWidth="1"/>
    <col min="14612" max="14612" width="12.5703125" style="4" customWidth="1"/>
    <col min="14613" max="14620" width="9.140625" style="4"/>
    <col min="14621" max="14621" width="12.5703125" style="4" customWidth="1"/>
    <col min="14622" max="14848" width="9.140625" style="4"/>
    <col min="14849" max="14849" width="7.7109375" style="4" customWidth="1"/>
    <col min="14850" max="14850" width="2" style="4" customWidth="1"/>
    <col min="14851" max="14851" width="1.5703125" style="4" customWidth="1"/>
    <col min="14852" max="14852" width="5.5703125" style="4" customWidth="1"/>
    <col min="14853" max="14854" width="13" style="4" customWidth="1"/>
    <col min="14855" max="14855" width="12" style="4" customWidth="1"/>
    <col min="14856" max="14856" width="16.42578125" style="4" customWidth="1"/>
    <col min="14857" max="14858" width="13" style="4" customWidth="1"/>
    <col min="14859" max="14859" width="13.5703125" style="4" customWidth="1"/>
    <col min="14860" max="14860" width="14.140625" style="4" customWidth="1"/>
    <col min="14861" max="14861" width="4.42578125" style="4" customWidth="1"/>
    <col min="14862" max="14862" width="2.28515625" style="4" customWidth="1"/>
    <col min="14863" max="14865" width="8.5703125" style="4" bestFit="1" customWidth="1"/>
    <col min="14866" max="14866" width="13.28515625" style="4" customWidth="1"/>
    <col min="14867" max="14867" width="12" style="4" customWidth="1"/>
    <col min="14868" max="14868" width="12.5703125" style="4" customWidth="1"/>
    <col min="14869" max="14876" width="9.140625" style="4"/>
    <col min="14877" max="14877" width="12.5703125" style="4" customWidth="1"/>
    <col min="14878" max="15104" width="9.140625" style="4"/>
    <col min="15105" max="15105" width="7.7109375" style="4" customWidth="1"/>
    <col min="15106" max="15106" width="2" style="4" customWidth="1"/>
    <col min="15107" max="15107" width="1.5703125" style="4" customWidth="1"/>
    <col min="15108" max="15108" width="5.5703125" style="4" customWidth="1"/>
    <col min="15109" max="15110" width="13" style="4" customWidth="1"/>
    <col min="15111" max="15111" width="12" style="4" customWidth="1"/>
    <col min="15112" max="15112" width="16.42578125" style="4" customWidth="1"/>
    <col min="15113" max="15114" width="13" style="4" customWidth="1"/>
    <col min="15115" max="15115" width="13.5703125" style="4" customWidth="1"/>
    <col min="15116" max="15116" width="14.140625" style="4" customWidth="1"/>
    <col min="15117" max="15117" width="4.42578125" style="4" customWidth="1"/>
    <col min="15118" max="15118" width="2.28515625" style="4" customWidth="1"/>
    <col min="15119" max="15121" width="8.5703125" style="4" bestFit="1" customWidth="1"/>
    <col min="15122" max="15122" width="13.28515625" style="4" customWidth="1"/>
    <col min="15123" max="15123" width="12" style="4" customWidth="1"/>
    <col min="15124" max="15124" width="12.5703125" style="4" customWidth="1"/>
    <col min="15125" max="15132" width="9.140625" style="4"/>
    <col min="15133" max="15133" width="12.5703125" style="4" customWidth="1"/>
    <col min="15134" max="15360" width="9.140625" style="4"/>
    <col min="15361" max="15361" width="7.7109375" style="4" customWidth="1"/>
    <col min="15362" max="15362" width="2" style="4" customWidth="1"/>
    <col min="15363" max="15363" width="1.5703125" style="4" customWidth="1"/>
    <col min="15364" max="15364" width="5.5703125" style="4" customWidth="1"/>
    <col min="15365" max="15366" width="13" style="4" customWidth="1"/>
    <col min="15367" max="15367" width="12" style="4" customWidth="1"/>
    <col min="15368" max="15368" width="16.42578125" style="4" customWidth="1"/>
    <col min="15369" max="15370" width="13" style="4" customWidth="1"/>
    <col min="15371" max="15371" width="13.5703125" style="4" customWidth="1"/>
    <col min="15372" max="15372" width="14.140625" style="4" customWidth="1"/>
    <col min="15373" max="15373" width="4.42578125" style="4" customWidth="1"/>
    <col min="15374" max="15374" width="2.28515625" style="4" customWidth="1"/>
    <col min="15375" max="15377" width="8.5703125" style="4" bestFit="1" customWidth="1"/>
    <col min="15378" max="15378" width="13.28515625" style="4" customWidth="1"/>
    <col min="15379" max="15379" width="12" style="4" customWidth="1"/>
    <col min="15380" max="15380" width="12.5703125" style="4" customWidth="1"/>
    <col min="15381" max="15388" width="9.140625" style="4"/>
    <col min="15389" max="15389" width="12.5703125" style="4" customWidth="1"/>
    <col min="15390" max="15616" width="9.140625" style="4"/>
    <col min="15617" max="15617" width="7.7109375" style="4" customWidth="1"/>
    <col min="15618" max="15618" width="2" style="4" customWidth="1"/>
    <col min="15619" max="15619" width="1.5703125" style="4" customWidth="1"/>
    <col min="15620" max="15620" width="5.5703125" style="4" customWidth="1"/>
    <col min="15621" max="15622" width="13" style="4" customWidth="1"/>
    <col min="15623" max="15623" width="12" style="4" customWidth="1"/>
    <col min="15624" max="15624" width="16.42578125" style="4" customWidth="1"/>
    <col min="15625" max="15626" width="13" style="4" customWidth="1"/>
    <col min="15627" max="15627" width="13.5703125" style="4" customWidth="1"/>
    <col min="15628" max="15628" width="14.140625" style="4" customWidth="1"/>
    <col min="15629" max="15629" width="4.42578125" style="4" customWidth="1"/>
    <col min="15630" max="15630" width="2.28515625" style="4" customWidth="1"/>
    <col min="15631" max="15633" width="8.5703125" style="4" bestFit="1" customWidth="1"/>
    <col min="15634" max="15634" width="13.28515625" style="4" customWidth="1"/>
    <col min="15635" max="15635" width="12" style="4" customWidth="1"/>
    <col min="15636" max="15636" width="12.5703125" style="4" customWidth="1"/>
    <col min="15637" max="15644" width="9.140625" style="4"/>
    <col min="15645" max="15645" width="12.5703125" style="4" customWidth="1"/>
    <col min="15646" max="15872" width="9.140625" style="4"/>
    <col min="15873" max="15873" width="7.7109375" style="4" customWidth="1"/>
    <col min="15874" max="15874" width="2" style="4" customWidth="1"/>
    <col min="15875" max="15875" width="1.5703125" style="4" customWidth="1"/>
    <col min="15876" max="15876" width="5.5703125" style="4" customWidth="1"/>
    <col min="15877" max="15878" width="13" style="4" customWidth="1"/>
    <col min="15879" max="15879" width="12" style="4" customWidth="1"/>
    <col min="15880" max="15880" width="16.42578125" style="4" customWidth="1"/>
    <col min="15881" max="15882" width="13" style="4" customWidth="1"/>
    <col min="15883" max="15883" width="13.5703125" style="4" customWidth="1"/>
    <col min="15884" max="15884" width="14.140625" style="4" customWidth="1"/>
    <col min="15885" max="15885" width="4.42578125" style="4" customWidth="1"/>
    <col min="15886" max="15886" width="2.28515625" style="4" customWidth="1"/>
    <col min="15887" max="15889" width="8.5703125" style="4" bestFit="1" customWidth="1"/>
    <col min="15890" max="15890" width="13.28515625" style="4" customWidth="1"/>
    <col min="15891" max="15891" width="12" style="4" customWidth="1"/>
    <col min="15892" max="15892" width="12.5703125" style="4" customWidth="1"/>
    <col min="15893" max="15900" width="9.140625" style="4"/>
    <col min="15901" max="15901" width="12.5703125" style="4" customWidth="1"/>
    <col min="15902" max="16128" width="9.140625" style="4"/>
    <col min="16129" max="16129" width="7.7109375" style="4" customWidth="1"/>
    <col min="16130" max="16130" width="2" style="4" customWidth="1"/>
    <col min="16131" max="16131" width="1.5703125" style="4" customWidth="1"/>
    <col min="16132" max="16132" width="5.5703125" style="4" customWidth="1"/>
    <col min="16133" max="16134" width="13" style="4" customWidth="1"/>
    <col min="16135" max="16135" width="12" style="4" customWidth="1"/>
    <col min="16136" max="16136" width="16.42578125" style="4" customWidth="1"/>
    <col min="16137" max="16138" width="13" style="4" customWidth="1"/>
    <col min="16139" max="16139" width="13.5703125" style="4" customWidth="1"/>
    <col min="16140" max="16140" width="14.140625" style="4" customWidth="1"/>
    <col min="16141" max="16141" width="4.42578125" style="4" customWidth="1"/>
    <col min="16142" max="16142" width="2.28515625" style="4" customWidth="1"/>
    <col min="16143" max="16145" width="8.5703125" style="4" bestFit="1" customWidth="1"/>
    <col min="16146" max="16146" width="13.28515625" style="4" customWidth="1"/>
    <col min="16147" max="16147" width="12" style="4" customWidth="1"/>
    <col min="16148" max="16148" width="12.5703125" style="4" customWidth="1"/>
    <col min="16149" max="16156" width="9.140625" style="4"/>
    <col min="16157" max="16157" width="12.5703125" style="4" customWidth="1"/>
    <col min="16158" max="16384" width="9.140625" style="4"/>
  </cols>
  <sheetData>
    <row r="1" spans="1:20" s="284" customFormat="1" ht="17.25" customHeight="1" x14ac:dyDescent="0.25">
      <c r="A1" s="2" t="s">
        <v>439</v>
      </c>
      <c r="B1"/>
      <c r="C1"/>
      <c r="D1"/>
      <c r="E1"/>
      <c r="F1"/>
      <c r="G1"/>
      <c r="H1"/>
      <c r="I1"/>
    </row>
    <row r="2" spans="1:20" s="284" customFormat="1" ht="17.25" customHeight="1" thickBot="1" x14ac:dyDescent="0.3">
      <c r="A2"/>
      <c r="B2"/>
      <c r="C2"/>
      <c r="D2"/>
      <c r="E2"/>
      <c r="F2" s="51" t="s">
        <v>344</v>
      </c>
      <c r="G2"/>
      <c r="H2"/>
      <c r="I2"/>
      <c r="P2" s="205" t="s">
        <v>476</v>
      </c>
      <c r="Q2"/>
      <c r="R2"/>
      <c r="S2"/>
      <c r="T2"/>
    </row>
    <row r="3" spans="1:20" s="284" customFormat="1" ht="26.25" x14ac:dyDescent="0.25">
      <c r="B3" s="691" t="s">
        <v>406</v>
      </c>
      <c r="C3" s="692"/>
      <c r="D3" s="692"/>
      <c r="E3" s="692"/>
      <c r="F3" s="692"/>
      <c r="G3" s="692"/>
      <c r="H3" s="692"/>
      <c r="I3" s="692"/>
      <c r="J3" s="692"/>
      <c r="K3" s="692"/>
      <c r="L3" s="692"/>
      <c r="M3" s="692"/>
      <c r="N3" s="693"/>
      <c r="P3" s="688">
        <f>VLOOKUP($P$2,'FRC Motors'!$A$4:$Q$22,17,FALSE)</f>
        <v>0</v>
      </c>
      <c r="Q3" s="689"/>
      <c r="R3" s="689"/>
      <c r="S3" s="689"/>
      <c r="T3" s="690"/>
    </row>
    <row r="4" spans="1:20" s="284" customFormat="1" ht="11.25" customHeight="1" thickBot="1" x14ac:dyDescent="0.3">
      <c r="B4" s="285"/>
      <c r="N4" s="286"/>
    </row>
    <row r="5" spans="1:20" s="284" customFormat="1" ht="20.25" x14ac:dyDescent="0.25">
      <c r="B5" s="285"/>
      <c r="C5" s="681" t="s">
        <v>407</v>
      </c>
      <c r="D5" s="682"/>
      <c r="E5" s="682"/>
      <c r="F5" s="682"/>
      <c r="G5" s="682"/>
      <c r="H5" s="682"/>
      <c r="I5" s="682"/>
      <c r="J5" s="682"/>
      <c r="K5" s="682"/>
      <c r="L5" s="682"/>
      <c r="M5" s="683"/>
      <c r="N5" s="286"/>
    </row>
    <row r="6" spans="1:20" s="284" customFormat="1" ht="9" customHeight="1" x14ac:dyDescent="0.25">
      <c r="B6" s="285"/>
      <c r="C6" s="287"/>
      <c r="D6" s="288"/>
      <c r="E6" s="288"/>
      <c r="F6" s="288"/>
      <c r="G6" s="288"/>
      <c r="H6" s="288"/>
      <c r="I6" s="288"/>
      <c r="J6" s="288"/>
      <c r="K6" s="288"/>
      <c r="L6" s="288"/>
      <c r="M6" s="289"/>
      <c r="N6" s="286"/>
    </row>
    <row r="7" spans="1:20" s="284" customFormat="1" ht="9" customHeight="1" x14ac:dyDescent="0.2">
      <c r="B7" s="285"/>
      <c r="C7" s="287"/>
      <c r="D7" s="288"/>
      <c r="E7" s="290" t="s">
        <v>298</v>
      </c>
      <c r="F7" s="288"/>
      <c r="G7" s="288"/>
      <c r="H7" s="288"/>
      <c r="I7" s="288"/>
      <c r="J7" s="288"/>
      <c r="K7" s="288"/>
      <c r="L7" s="288"/>
      <c r="M7" s="289"/>
      <c r="N7" s="286"/>
      <c r="P7" s="163"/>
      <c r="Q7" s="163"/>
      <c r="R7" s="163"/>
      <c r="S7" s="163"/>
      <c r="T7" s="163"/>
    </row>
    <row r="8" spans="1:20" s="154" customFormat="1" ht="45.75" thickBot="1" x14ac:dyDescent="0.3">
      <c r="B8" s="155"/>
      <c r="C8" s="155"/>
      <c r="E8" s="283" t="s">
        <v>408</v>
      </c>
      <c r="F8" s="283" t="s">
        <v>299</v>
      </c>
      <c r="G8" s="283" t="s">
        <v>300</v>
      </c>
      <c r="H8" s="283" t="s">
        <v>301</v>
      </c>
      <c r="I8" s="283" t="s">
        <v>302</v>
      </c>
      <c r="J8" s="283" t="s">
        <v>303</v>
      </c>
      <c r="M8" s="157"/>
      <c r="N8" s="157"/>
      <c r="P8" s="81" t="s">
        <v>180</v>
      </c>
      <c r="Q8" s="77">
        <f>VLOOKUP($P$2,'FRC Motors'!$A$4:$Q$22,4,FALSE)</f>
        <v>340.11</v>
      </c>
      <c r="R8" s="78" t="s">
        <v>181</v>
      </c>
      <c r="S8" s="79">
        <f>Q8*0.00134</f>
        <v>0.45574740000000002</v>
      </c>
      <c r="T8" s="80" t="s">
        <v>189</v>
      </c>
    </row>
    <row r="9" spans="1:20" s="159" customFormat="1" ht="15.75" x14ac:dyDescent="0.25">
      <c r="B9" s="160"/>
      <c r="C9" s="160"/>
      <c r="E9" s="171">
        <v>12</v>
      </c>
      <c r="F9" s="201">
        <f>S12</f>
        <v>12</v>
      </c>
      <c r="G9" s="202">
        <f>Q13</f>
        <v>5310</v>
      </c>
      <c r="H9" s="203">
        <f>S20</f>
        <v>2.4291416666666668</v>
      </c>
      <c r="I9" s="201">
        <f>Q19</f>
        <v>133</v>
      </c>
      <c r="J9" s="201">
        <f>Q12</f>
        <v>2.7</v>
      </c>
      <c r="M9" s="291"/>
      <c r="N9" s="291"/>
      <c r="P9" s="4"/>
      <c r="Q9" s="4"/>
      <c r="R9" s="4"/>
      <c r="S9" s="4"/>
      <c r="T9" s="4"/>
    </row>
    <row r="10" spans="1:20" s="292" customFormat="1" ht="17.25" hidden="1" customHeight="1" x14ac:dyDescent="0.25">
      <c r="B10" s="293"/>
      <c r="C10" s="293"/>
      <c r="F10" s="294" t="s">
        <v>409</v>
      </c>
      <c r="G10" s="295">
        <f>G9*(E9/F9)</f>
        <v>5310</v>
      </c>
      <c r="H10" s="295">
        <f>(H9*F14)*(E9/F9)</f>
        <v>4.8582833333333335</v>
      </c>
      <c r="I10" s="295">
        <f>(I9*F14)*(E9/F9)</f>
        <v>266</v>
      </c>
      <c r="J10" s="295">
        <f>(J9*F14)*(E9/F9)</f>
        <v>5.4</v>
      </c>
      <c r="M10" s="296"/>
      <c r="N10" s="296"/>
      <c r="P10" s="4"/>
      <c r="Q10" s="4"/>
      <c r="R10" s="4"/>
      <c r="S10" s="4"/>
      <c r="T10" s="4"/>
    </row>
    <row r="11" spans="1:20" ht="9" customHeight="1" x14ac:dyDescent="0.25">
      <c r="B11" s="151"/>
      <c r="C11" s="151"/>
      <c r="F11" s="297"/>
      <c r="G11" s="159"/>
      <c r="H11" s="159"/>
      <c r="I11" s="159"/>
      <c r="J11" s="159"/>
      <c r="M11" s="153"/>
      <c r="N11" s="153"/>
    </row>
    <row r="12" spans="1:20" ht="12" customHeight="1" x14ac:dyDescent="0.25">
      <c r="B12" s="151"/>
      <c r="C12" s="151"/>
      <c r="E12" s="152" t="s">
        <v>410</v>
      </c>
      <c r="F12" s="297"/>
      <c r="G12" s="159"/>
      <c r="H12" s="159"/>
      <c r="I12" s="159"/>
      <c r="J12" s="159"/>
      <c r="M12" s="153"/>
      <c r="N12" s="153"/>
      <c r="P12" s="82" t="s">
        <v>182</v>
      </c>
      <c r="Q12" s="83">
        <f>VLOOKUP($P$2,'FRC Motors'!$A$4:$Q$22,9,FALSE)</f>
        <v>2.7</v>
      </c>
      <c r="R12" s="84" t="s">
        <v>329</v>
      </c>
      <c r="S12" s="83">
        <f>VLOOKUP($P$2,'FRC Motors'!$A$4:$Q$22,11,FALSE)</f>
        <v>12</v>
      </c>
      <c r="T12" s="85" t="s">
        <v>330</v>
      </c>
    </row>
    <row r="13" spans="1:20" ht="49.5" customHeight="1" thickBot="1" x14ac:dyDescent="0.3">
      <c r="B13" s="151"/>
      <c r="C13" s="151"/>
      <c r="E13" s="283" t="s">
        <v>411</v>
      </c>
      <c r="F13" s="283" t="s">
        <v>412</v>
      </c>
      <c r="G13" s="283" t="s">
        <v>413</v>
      </c>
      <c r="H13" s="283" t="s">
        <v>414</v>
      </c>
      <c r="I13" s="283" t="s">
        <v>415</v>
      </c>
      <c r="J13" s="283" t="s">
        <v>416</v>
      </c>
      <c r="K13" s="283" t="s">
        <v>417</v>
      </c>
      <c r="L13" s="283" t="s">
        <v>418</v>
      </c>
      <c r="M13" s="153"/>
      <c r="N13" s="153"/>
      <c r="P13" s="86" t="s">
        <v>183</v>
      </c>
      <c r="Q13" s="87">
        <f>VLOOKUP($P$2,'FRC Motors'!$A$4:$Q$22,8,FALSE)</f>
        <v>5310</v>
      </c>
      <c r="R13" s="88" t="s">
        <v>91</v>
      </c>
      <c r="S13" s="87">
        <f>Q13*2*PI()/60</f>
        <v>556.06189968539343</v>
      </c>
      <c r="T13" s="89" t="s">
        <v>187</v>
      </c>
    </row>
    <row r="14" spans="1:20" s="298" customFormat="1" ht="20.25" customHeight="1" x14ac:dyDescent="0.25">
      <c r="B14" s="299"/>
      <c r="C14" s="299"/>
      <c r="E14" s="182">
        <v>2</v>
      </c>
      <c r="F14" s="182">
        <v>2</v>
      </c>
      <c r="G14" s="182">
        <v>6</v>
      </c>
      <c r="H14" s="182">
        <v>1</v>
      </c>
      <c r="I14" s="182">
        <f>140</f>
        <v>140</v>
      </c>
      <c r="J14" s="300">
        <v>1</v>
      </c>
      <c r="K14" s="300">
        <v>0.81</v>
      </c>
      <c r="L14" s="300">
        <v>0.9</v>
      </c>
      <c r="M14" s="301"/>
      <c r="N14" s="301"/>
    </row>
    <row r="15" spans="1:20" s="298" customFormat="1" ht="9" customHeight="1" x14ac:dyDescent="0.25">
      <c r="B15" s="299"/>
      <c r="C15" s="299"/>
      <c r="E15" s="302"/>
      <c r="F15" s="302"/>
      <c r="M15" s="301"/>
      <c r="N15" s="301"/>
    </row>
    <row r="16" spans="1:20" ht="9" customHeight="1" thickBot="1" x14ac:dyDescent="0.3">
      <c r="B16" s="151"/>
      <c r="C16" s="194"/>
      <c r="D16" s="195"/>
      <c r="E16" s="195"/>
      <c r="F16" s="195"/>
      <c r="G16" s="195"/>
      <c r="H16" s="195"/>
      <c r="I16" s="195"/>
      <c r="J16" s="195"/>
      <c r="K16" s="195"/>
      <c r="L16" s="195"/>
      <c r="M16" s="196"/>
      <c r="N16" s="153"/>
    </row>
    <row r="17" spans="2:27" s="303" customFormat="1" ht="63" customHeight="1" x14ac:dyDescent="0.25">
      <c r="B17" s="304"/>
      <c r="E17" s="305" t="s">
        <v>419</v>
      </c>
      <c r="F17" s="305" t="s">
        <v>420</v>
      </c>
      <c r="G17" s="305"/>
      <c r="H17" s="305" t="s">
        <v>421</v>
      </c>
      <c r="I17" s="305" t="s">
        <v>422</v>
      </c>
      <c r="J17" s="305" t="s">
        <v>423</v>
      </c>
      <c r="K17" s="305" t="s">
        <v>424</v>
      </c>
      <c r="L17" s="305" t="s">
        <v>425</v>
      </c>
      <c r="M17" s="305"/>
      <c r="N17" s="296"/>
      <c r="O17" s="303" t="s">
        <v>326</v>
      </c>
      <c r="P17" s="306">
        <f>G23*O18</f>
        <v>0.16666666666666666</v>
      </c>
      <c r="Q17" s="306">
        <f>G25*P18</f>
        <v>0.16666666666666666</v>
      </c>
    </row>
    <row r="18" spans="2:27" s="307" customFormat="1" ht="15.75" customHeight="1" thickBot="1" x14ac:dyDescent="0.3">
      <c r="B18" s="308"/>
      <c r="E18" s="307">
        <f>G14*0.0254/2</f>
        <v>7.619999999999999E-2</v>
      </c>
      <c r="F18" s="307">
        <f>E18*2*PI()</f>
        <v>0.47877872040708441</v>
      </c>
      <c r="H18" s="309">
        <f>(I14)*J14*H14</f>
        <v>140</v>
      </c>
      <c r="I18" s="307">
        <f>H18/E14</f>
        <v>70</v>
      </c>
      <c r="J18" s="307">
        <f>I18*4.44822161526</f>
        <v>311.37551306819995</v>
      </c>
      <c r="K18" s="307">
        <f>J18*E18</f>
        <v>23.726814095796833</v>
      </c>
      <c r="L18" s="307">
        <f>K18/L14</f>
        <v>26.363126773107592</v>
      </c>
      <c r="N18" s="296"/>
      <c r="O18" s="306">
        <f>G22</f>
        <v>0.16666666666666666</v>
      </c>
      <c r="P18" s="306">
        <f>G24*P17</f>
        <v>0.16666666666666666</v>
      </c>
      <c r="Q18" s="306">
        <f>G26*Q17</f>
        <v>0.16666666666666666</v>
      </c>
    </row>
    <row r="19" spans="2:27" ht="20.25" x14ac:dyDescent="0.25">
      <c r="B19" s="151"/>
      <c r="C19" s="681" t="s">
        <v>426</v>
      </c>
      <c r="D19" s="682"/>
      <c r="E19" s="682"/>
      <c r="F19" s="682"/>
      <c r="G19" s="682"/>
      <c r="H19" s="682"/>
      <c r="I19" s="682"/>
      <c r="J19" s="682"/>
      <c r="K19" s="682"/>
      <c r="L19" s="682"/>
      <c r="M19" s="683"/>
      <c r="N19" s="153"/>
      <c r="P19" s="73" t="s">
        <v>184</v>
      </c>
      <c r="Q19" s="74">
        <f>VLOOKUP($P$2,'FRC Motors'!$A$4:$Q$22,10,FALSE)</f>
        <v>133</v>
      </c>
      <c r="R19" s="75"/>
      <c r="S19" s="75"/>
      <c r="T19" s="76"/>
    </row>
    <row r="20" spans="2:27" s="166" customFormat="1" ht="35.25" customHeight="1" x14ac:dyDescent="0.25">
      <c r="B20" s="312"/>
      <c r="C20" s="312"/>
      <c r="E20" s="694" t="s">
        <v>427</v>
      </c>
      <c r="F20" s="695"/>
      <c r="G20" s="695"/>
      <c r="I20" s="694"/>
      <c r="J20" s="694"/>
      <c r="L20" s="313"/>
      <c r="M20" s="314"/>
      <c r="N20" s="167"/>
      <c r="P20" s="86" t="s">
        <v>185</v>
      </c>
      <c r="Q20" s="149">
        <f>VLOOKUP($P$2,'FRC Motors'!$A$4:$Q$22,6,FALSE)</f>
        <v>1.7916666666666667</v>
      </c>
      <c r="R20" s="150" t="s">
        <v>92</v>
      </c>
      <c r="S20" s="149">
        <f>VLOOKUP($P$2,'FRC Motors'!$A$4:$Q$22,7,FALSE)</f>
        <v>2.4291416666666668</v>
      </c>
      <c r="T20" s="91" t="s">
        <v>186</v>
      </c>
    </row>
    <row r="21" spans="2:27" s="169" customFormat="1" ht="30.75" thickBot="1" x14ac:dyDescent="0.3">
      <c r="B21" s="315"/>
      <c r="C21" s="315"/>
      <c r="E21" s="283" t="s">
        <v>428</v>
      </c>
      <c r="F21" s="283" t="s">
        <v>429</v>
      </c>
      <c r="G21" s="283" t="s">
        <v>49</v>
      </c>
      <c r="I21" s="696" t="s">
        <v>307</v>
      </c>
      <c r="J21" s="696"/>
      <c r="L21" s="316"/>
      <c r="M21" s="317"/>
      <c r="N21" s="318"/>
    </row>
    <row r="22" spans="2:27" s="161" customFormat="1" ht="18" x14ac:dyDescent="0.25">
      <c r="B22" s="319"/>
      <c r="C22" s="319"/>
      <c r="D22" s="320" t="s">
        <v>155</v>
      </c>
      <c r="E22" s="171">
        <v>1</v>
      </c>
      <c r="F22" s="171">
        <v>6</v>
      </c>
      <c r="G22" s="321">
        <f>E22/F22</f>
        <v>0.16666666666666666</v>
      </c>
      <c r="H22" s="322"/>
      <c r="I22" s="323">
        <f>Q18</f>
        <v>0.16666666666666666</v>
      </c>
      <c r="J22" s="324">
        <f>1/I22</f>
        <v>6</v>
      </c>
      <c r="L22" s="154"/>
      <c r="M22" s="157"/>
      <c r="N22" s="162"/>
      <c r="Q22" s="169"/>
      <c r="R22" s="169"/>
      <c r="S22" s="169"/>
      <c r="T22" s="169"/>
      <c r="U22" s="169"/>
      <c r="V22" s="169"/>
      <c r="W22" s="169"/>
      <c r="X22" s="169"/>
      <c r="Y22" s="169"/>
      <c r="Z22" s="169"/>
      <c r="AA22" s="169"/>
    </row>
    <row r="23" spans="2:27" ht="15.75" customHeight="1" x14ac:dyDescent="0.25">
      <c r="B23" s="151"/>
      <c r="C23" s="151"/>
      <c r="D23" s="320" t="s">
        <v>156</v>
      </c>
      <c r="E23" s="176">
        <v>1</v>
      </c>
      <c r="F23" s="176">
        <v>1</v>
      </c>
      <c r="G23" s="325">
        <f>E23/F23</f>
        <v>1</v>
      </c>
      <c r="I23" s="326"/>
      <c r="J23" s="327"/>
      <c r="K23" s="328"/>
      <c r="L23" s="329"/>
      <c r="M23" s="330"/>
      <c r="N23" s="153"/>
      <c r="P23" s="161"/>
      <c r="Q23" s="169"/>
      <c r="R23" s="169"/>
      <c r="S23" s="169"/>
      <c r="T23" s="169"/>
      <c r="U23" s="169"/>
      <c r="V23" s="169"/>
      <c r="W23" s="169"/>
      <c r="X23" s="169"/>
      <c r="Y23" s="169"/>
      <c r="Z23" s="169"/>
      <c r="AA23" s="169"/>
    </row>
    <row r="24" spans="2:27" ht="15.75" x14ac:dyDescent="0.25">
      <c r="B24" s="151"/>
      <c r="C24" s="151"/>
      <c r="D24" s="320" t="s">
        <v>157</v>
      </c>
      <c r="E24" s="176">
        <v>1</v>
      </c>
      <c r="F24" s="176">
        <v>1</v>
      </c>
      <c r="G24" s="325">
        <f>E24/F24</f>
        <v>1</v>
      </c>
      <c r="H24" s="166"/>
      <c r="I24" s="331"/>
      <c r="J24" s="331"/>
      <c r="K24" s="331"/>
      <c r="M24" s="153"/>
      <c r="N24" s="153"/>
      <c r="P24" s="161"/>
      <c r="Q24" s="169"/>
      <c r="R24" s="169"/>
      <c r="S24" s="169"/>
      <c r="T24" s="169"/>
      <c r="U24" s="169"/>
      <c r="V24" s="169"/>
      <c r="W24" s="169"/>
      <c r="X24" s="169"/>
      <c r="Y24" s="169"/>
      <c r="Z24" s="169"/>
      <c r="AA24" s="169"/>
    </row>
    <row r="25" spans="2:27" ht="15.75" x14ac:dyDescent="0.25">
      <c r="B25" s="151"/>
      <c r="C25" s="151"/>
      <c r="D25" s="320" t="s">
        <v>158</v>
      </c>
      <c r="E25" s="176">
        <v>1</v>
      </c>
      <c r="F25" s="176">
        <v>1</v>
      </c>
      <c r="G25" s="325">
        <f>E25/F25</f>
        <v>1</v>
      </c>
      <c r="H25" s="166"/>
      <c r="I25" s="331"/>
      <c r="J25" s="331"/>
      <c r="K25" s="331"/>
      <c r="M25" s="153"/>
      <c r="N25" s="153"/>
      <c r="P25" s="161"/>
      <c r="Q25" s="169"/>
      <c r="R25" s="169"/>
      <c r="S25" s="169"/>
      <c r="T25" s="169"/>
      <c r="U25" s="169"/>
      <c r="V25" s="169"/>
      <c r="W25" s="169"/>
      <c r="X25" s="169"/>
      <c r="Y25" s="169"/>
      <c r="Z25" s="169"/>
      <c r="AA25" s="169"/>
    </row>
    <row r="26" spans="2:27" ht="15.75" x14ac:dyDescent="0.25">
      <c r="B26" s="151"/>
      <c r="C26" s="151"/>
      <c r="D26" s="320" t="s">
        <v>159</v>
      </c>
      <c r="E26" s="176">
        <v>1</v>
      </c>
      <c r="F26" s="176">
        <v>1</v>
      </c>
      <c r="G26" s="325">
        <f>E26/F26</f>
        <v>1</v>
      </c>
      <c r="H26" s="166"/>
      <c r="I26" s="331"/>
      <c r="J26" s="331"/>
      <c r="K26" s="331"/>
      <c r="M26" s="153"/>
      <c r="N26" s="153"/>
      <c r="P26" s="320"/>
      <c r="Q26" s="169"/>
      <c r="R26" s="169"/>
      <c r="S26" s="169"/>
      <c r="T26" s="169"/>
      <c r="U26" s="169"/>
      <c r="V26" s="169"/>
      <c r="W26" s="169"/>
      <c r="X26" s="169"/>
      <c r="Y26" s="169"/>
      <c r="Z26" s="169"/>
      <c r="AA26" s="169"/>
    </row>
    <row r="27" spans="2:27" ht="9" customHeight="1" thickBot="1" x14ac:dyDescent="0.3">
      <c r="B27" s="151"/>
      <c r="C27" s="194"/>
      <c r="D27" s="195"/>
      <c r="E27" s="332"/>
      <c r="F27" s="333"/>
      <c r="G27" s="333"/>
      <c r="H27" s="334"/>
      <c r="I27" s="335"/>
      <c r="J27" s="336"/>
      <c r="K27" s="337"/>
      <c r="L27" s="338"/>
      <c r="M27" s="339"/>
      <c r="N27" s="153"/>
      <c r="Q27" s="169"/>
      <c r="R27" s="169"/>
      <c r="S27" s="169"/>
      <c r="T27" s="169"/>
      <c r="U27" s="169"/>
      <c r="V27" s="169"/>
      <c r="W27" s="169"/>
      <c r="X27" s="169"/>
      <c r="Y27" s="169"/>
      <c r="Z27" s="169"/>
      <c r="AA27" s="169"/>
    </row>
    <row r="28" spans="2:27" ht="21.75" customHeight="1" thickBot="1" x14ac:dyDescent="0.3">
      <c r="B28" s="151"/>
      <c r="E28" s="340"/>
      <c r="F28" s="341"/>
      <c r="G28" s="341"/>
      <c r="H28" s="180"/>
      <c r="I28" s="342"/>
      <c r="J28" s="343"/>
      <c r="K28" s="344"/>
      <c r="L28" s="345"/>
      <c r="M28" s="345"/>
      <c r="N28" s="153"/>
      <c r="Q28" s="169"/>
      <c r="R28" s="169"/>
      <c r="S28" s="169"/>
      <c r="T28" s="169"/>
      <c r="U28" s="169"/>
      <c r="V28" s="169"/>
      <c r="W28" s="169"/>
      <c r="X28" s="169"/>
      <c r="Y28" s="169"/>
      <c r="Z28" s="169"/>
      <c r="AA28" s="169"/>
    </row>
    <row r="29" spans="2:27" ht="9" customHeight="1" x14ac:dyDescent="0.25">
      <c r="B29" s="151"/>
      <c r="C29" s="681" t="s">
        <v>430</v>
      </c>
      <c r="D29" s="682"/>
      <c r="E29" s="682"/>
      <c r="F29" s="682"/>
      <c r="G29" s="682"/>
      <c r="H29" s="682"/>
      <c r="I29" s="682"/>
      <c r="J29" s="682"/>
      <c r="K29" s="682"/>
      <c r="L29" s="682"/>
      <c r="M29" s="683"/>
      <c r="N29" s="346"/>
      <c r="Q29" s="169"/>
      <c r="R29" s="169"/>
      <c r="S29" s="169"/>
      <c r="T29" s="169"/>
      <c r="U29" s="169"/>
      <c r="V29" s="169"/>
      <c r="W29" s="169"/>
      <c r="X29" s="169"/>
      <c r="Y29" s="169"/>
      <c r="Z29" s="169"/>
      <c r="AA29" s="169"/>
    </row>
    <row r="30" spans="2:27" ht="12.75" customHeight="1" x14ac:dyDescent="0.25">
      <c r="B30" s="151"/>
      <c r="C30" s="684"/>
      <c r="D30" s="685"/>
      <c r="E30" s="685"/>
      <c r="F30" s="685"/>
      <c r="G30" s="685"/>
      <c r="H30" s="685"/>
      <c r="I30" s="685"/>
      <c r="J30" s="685"/>
      <c r="K30" s="685"/>
      <c r="L30" s="685"/>
      <c r="M30" s="686"/>
      <c r="N30" s="346"/>
      <c r="Q30" s="169"/>
      <c r="R30" s="169"/>
      <c r="S30" s="169"/>
      <c r="T30" s="169"/>
      <c r="U30" s="169"/>
      <c r="V30" s="169"/>
      <c r="W30" s="169"/>
      <c r="X30" s="169"/>
      <c r="Y30" s="169"/>
      <c r="Z30" s="169"/>
      <c r="AA30" s="169"/>
    </row>
    <row r="31" spans="2:27" s="166" customFormat="1" ht="9" customHeight="1" x14ac:dyDescent="0.25">
      <c r="B31" s="312"/>
      <c r="C31" s="312"/>
      <c r="E31" s="165"/>
      <c r="J31" s="347"/>
      <c r="K31" s="347"/>
      <c r="L31" s="347"/>
      <c r="M31" s="348"/>
      <c r="N31" s="346"/>
      <c r="Q31" s="169"/>
      <c r="R31" s="169"/>
      <c r="S31" s="169"/>
      <c r="T31" s="169"/>
      <c r="U31" s="169"/>
      <c r="V31" s="169"/>
      <c r="W31" s="169"/>
      <c r="X31" s="169"/>
      <c r="Y31" s="169"/>
      <c r="Z31" s="169"/>
      <c r="AA31" s="169"/>
    </row>
    <row r="32" spans="2:27" s="166" customFormat="1" ht="18.75" customHeight="1" thickBot="1" x14ac:dyDescent="0.3">
      <c r="B32" s="312"/>
      <c r="C32" s="312"/>
      <c r="D32" s="697" t="s">
        <v>431</v>
      </c>
      <c r="E32" s="698"/>
      <c r="F32" s="698"/>
      <c r="G32" s="698"/>
      <c r="H32" s="349"/>
      <c r="I32" s="687" t="s">
        <v>432</v>
      </c>
      <c r="J32" s="687"/>
      <c r="K32" s="687"/>
      <c r="L32" s="687"/>
      <c r="M32" s="350"/>
      <c r="N32" s="346"/>
      <c r="Q32" s="169"/>
      <c r="R32" s="169"/>
      <c r="S32" s="169"/>
      <c r="T32" s="169"/>
      <c r="U32" s="169"/>
      <c r="V32" s="169"/>
      <c r="W32" s="169"/>
      <c r="X32" s="169"/>
      <c r="Y32" s="169"/>
      <c r="Z32" s="169"/>
      <c r="AA32" s="169"/>
    </row>
    <row r="33" spans="2:27" s="154" customFormat="1" ht="60.75" thickBot="1" x14ac:dyDescent="0.3">
      <c r="B33" s="155"/>
      <c r="C33" s="155"/>
      <c r="D33" s="424" t="s">
        <v>491</v>
      </c>
      <c r="E33" s="424" t="s">
        <v>492</v>
      </c>
      <c r="F33" s="351" t="s">
        <v>751</v>
      </c>
      <c r="G33" s="352" t="s">
        <v>434</v>
      </c>
      <c r="H33" s="353">
        <f>J22</f>
        <v>6</v>
      </c>
      <c r="I33" s="354" t="s">
        <v>435</v>
      </c>
      <c r="J33" s="354" t="s">
        <v>436</v>
      </c>
      <c r="K33" s="354" t="s">
        <v>437</v>
      </c>
      <c r="L33" s="354" t="s">
        <v>438</v>
      </c>
      <c r="M33" s="355"/>
      <c r="N33" s="157"/>
      <c r="Q33" s="169"/>
      <c r="R33" s="169"/>
      <c r="S33" s="169"/>
      <c r="T33" s="169"/>
      <c r="U33" s="169"/>
      <c r="V33" s="169"/>
      <c r="W33" s="169"/>
      <c r="X33" s="169"/>
      <c r="Y33" s="169"/>
      <c r="Z33" s="169"/>
      <c r="AA33" s="169"/>
    </row>
    <row r="34" spans="2:27" s="310" customFormat="1" ht="21" thickBot="1" x14ac:dyDescent="0.3">
      <c r="B34" s="311"/>
      <c r="C34" s="311"/>
      <c r="D34" s="356">
        <f>E34/K14</f>
        <v>23.16924582022472</v>
      </c>
      <c r="E34" s="356">
        <f>F34*F18/(0.3048*60)</f>
        <v>18.767089114382024</v>
      </c>
      <c r="F34" s="357">
        <f>G10*I22*K14</f>
        <v>716.85</v>
      </c>
      <c r="G34" s="358">
        <f>H10/I22*L14</f>
        <v>26.234730000000003</v>
      </c>
      <c r="H34" s="359"/>
      <c r="I34" s="358">
        <f>IF((G34/(4.44822161526*E18)*2)&gt;(H14*I14*J14),(H14*I14*J14),(G34/(4.44822161526*E18)*2))</f>
        <v>140</v>
      </c>
      <c r="J34" s="360">
        <f>(L18/J22)/F14</f>
        <v>2.1969272310922991</v>
      </c>
      <c r="K34" s="360">
        <f>((((I10/F14)-(J10/F14))/(H10/F14))*J34)+(J10/F14)</f>
        <v>120.54393728017507</v>
      </c>
      <c r="L34" s="360">
        <f>K34*F14*E14</f>
        <v>482.17574912070029</v>
      </c>
      <c r="M34" s="361"/>
      <c r="N34" s="362"/>
      <c r="P34" s="310">
        <f>(H14*I14*J14)</f>
        <v>140</v>
      </c>
      <c r="Q34" s="169">
        <f>(G34/(4.44822161526*E18)*2)</f>
        <v>154.79795075608746</v>
      </c>
      <c r="R34" s="169"/>
      <c r="S34" s="169"/>
      <c r="T34" s="169"/>
      <c r="U34" s="169"/>
      <c r="V34" s="169"/>
      <c r="W34" s="169"/>
      <c r="X34" s="169"/>
      <c r="Y34" s="169"/>
      <c r="Z34" s="169"/>
      <c r="AA34" s="169"/>
    </row>
    <row r="35" spans="2:27" ht="7.5" customHeight="1" thickBot="1" x14ac:dyDescent="0.3">
      <c r="B35" s="151"/>
      <c r="C35" s="194"/>
      <c r="D35" s="195"/>
      <c r="E35" s="363"/>
      <c r="F35" s="195"/>
      <c r="G35" s="195"/>
      <c r="H35" s="195"/>
      <c r="I35" s="195"/>
      <c r="J35" s="195"/>
      <c r="K35" s="195"/>
      <c r="L35" s="195"/>
      <c r="M35" s="196"/>
      <c r="N35" s="153"/>
      <c r="Q35" s="169"/>
      <c r="R35" s="169"/>
      <c r="S35" s="169"/>
      <c r="T35" s="169"/>
      <c r="U35" s="169"/>
      <c r="V35" s="169"/>
      <c r="W35" s="169"/>
      <c r="X35" s="169"/>
      <c r="Y35" s="169"/>
      <c r="Z35" s="169"/>
      <c r="AA35" s="169"/>
    </row>
    <row r="36" spans="2:27" ht="10.5" customHeight="1" thickBot="1" x14ac:dyDescent="0.3">
      <c r="B36" s="194"/>
      <c r="C36" s="195"/>
      <c r="D36" s="195"/>
      <c r="E36" s="195"/>
      <c r="F36" s="195"/>
      <c r="G36" s="195"/>
      <c r="H36" s="195"/>
      <c r="I36" s="195"/>
      <c r="J36" s="195"/>
      <c r="K36" s="195"/>
      <c r="L36" s="195"/>
      <c r="M36" s="195"/>
      <c r="N36" s="196"/>
      <c r="Q36" s="169"/>
      <c r="R36" s="169"/>
      <c r="S36" s="169"/>
      <c r="T36" s="169"/>
      <c r="U36" s="169"/>
      <c r="V36" s="169"/>
      <c r="W36" s="169"/>
      <c r="X36" s="169"/>
      <c r="Y36" s="169"/>
      <c r="Z36" s="169"/>
      <c r="AA36" s="169"/>
    </row>
    <row r="37" spans="2:27" x14ac:dyDescent="0.25">
      <c r="Q37" s="169">
        <f>G34*0.738</f>
        <v>19.36123074</v>
      </c>
      <c r="R37" s="169"/>
      <c r="S37" s="169"/>
      <c r="T37" s="169"/>
      <c r="U37" s="169"/>
      <c r="V37" s="169"/>
      <c r="W37" s="169"/>
      <c r="X37" s="169"/>
      <c r="Y37" s="169"/>
      <c r="Z37" s="169"/>
      <c r="AA37" s="169"/>
    </row>
    <row r="38" spans="2:27" ht="15.75" x14ac:dyDescent="0.25">
      <c r="E38" s="364"/>
      <c r="Q38" s="169">
        <f>Q37/0.5</f>
        <v>38.72246148</v>
      </c>
      <c r="R38" s="169"/>
      <c r="S38" s="169"/>
      <c r="T38" s="169"/>
      <c r="U38" s="169"/>
      <c r="V38" s="169"/>
      <c r="W38" s="169"/>
      <c r="X38" s="169"/>
      <c r="Y38" s="169"/>
      <c r="Z38" s="169"/>
      <c r="AA38" s="169"/>
    </row>
    <row r="39" spans="2:27" x14ac:dyDescent="0.25">
      <c r="E39" s="169"/>
      <c r="Q39" s="169">
        <f>Q38*4</f>
        <v>154.88984592</v>
      </c>
      <c r="R39" s="169"/>
      <c r="S39" s="169"/>
      <c r="T39" s="169"/>
      <c r="U39" s="169"/>
      <c r="V39" s="169"/>
      <c r="W39" s="169"/>
      <c r="X39" s="169"/>
      <c r="Y39" s="169"/>
      <c r="Z39" s="169"/>
      <c r="AA39" s="169"/>
    </row>
    <row r="40" spans="2:27" x14ac:dyDescent="0.25">
      <c r="E40" s="302"/>
    </row>
  </sheetData>
  <mergeCells count="10">
    <mergeCell ref="C29:M30"/>
    <mergeCell ref="I32:L32"/>
    <mergeCell ref="P3:T3"/>
    <mergeCell ref="B3:N3"/>
    <mergeCell ref="C5:M5"/>
    <mergeCell ref="C19:M19"/>
    <mergeCell ref="E20:G20"/>
    <mergeCell ref="I20:J20"/>
    <mergeCell ref="I21:J21"/>
    <mergeCell ref="D32:G32"/>
  </mergeCells>
  <dataValidations disablePrompts="1" count="1">
    <dataValidation type="list" allowBlank="1" showInputMessage="1" showErrorMessage="1" sqref="P2">
      <formula1>motor_list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5169" r:id="rId3" name="Button 1">
              <controlPr defaultSize="0" print="0" autoFill="0" autoPict="0" macro="[0]!TOC">
                <anchor moveWithCells="1" sizeWithCells="1">
                  <from>
                    <xdr:col>7</xdr:col>
                    <xdr:colOff>161925</xdr:colOff>
                    <xdr:row>0</xdr:row>
                    <xdr:rowOff>47625</xdr:rowOff>
                  </from>
                  <to>
                    <xdr:col>8</xdr:col>
                    <xdr:colOff>200025</xdr:colOff>
                    <xdr:row>1</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V66"/>
  <sheetViews>
    <sheetView showGridLines="0" zoomScale="90" zoomScaleNormal="90" workbookViewId="0">
      <pane ySplit="2" topLeftCell="A9" activePane="bottomLeft" state="frozen"/>
      <selection pane="bottomLeft" activeCell="R22" sqref="R22"/>
    </sheetView>
  </sheetViews>
  <sheetFormatPr defaultRowHeight="15" x14ac:dyDescent="0.25"/>
  <cols>
    <col min="1" max="1" width="6.7109375" style="4" customWidth="1"/>
    <col min="2" max="2" width="2" style="4" customWidth="1"/>
    <col min="3" max="3" width="3.140625" style="4" customWidth="1"/>
    <col min="4" max="4" width="10.28515625" style="4" customWidth="1"/>
    <col min="5" max="6" width="13" style="4" customWidth="1"/>
    <col min="7" max="7" width="17.5703125" style="4" customWidth="1"/>
    <col min="8" max="8" width="14.140625" style="4" customWidth="1"/>
    <col min="9" max="10" width="13" style="4" customWidth="1"/>
    <col min="11" max="11" width="13.5703125" style="4" customWidth="1"/>
    <col min="12" max="12" width="13" style="4" customWidth="1"/>
    <col min="13" max="13" width="3.28515625" style="4" customWidth="1"/>
    <col min="14" max="14" width="2.140625" style="4" customWidth="1"/>
    <col min="15" max="15" width="1" style="4" customWidth="1"/>
    <col min="16" max="16" width="13.42578125" style="4" hidden="1" customWidth="1"/>
    <col min="17" max="17" width="14.7109375" style="4" hidden="1" customWidth="1"/>
    <col min="18" max="18" width="16.140625" style="4" customWidth="1"/>
    <col min="19" max="19" width="13" style="4" customWidth="1"/>
    <col min="20" max="20" width="14.85546875" style="4" customWidth="1"/>
    <col min="21" max="21" width="8.42578125" style="4" customWidth="1"/>
    <col min="22" max="22" width="13.5703125" style="4" bestFit="1" customWidth="1"/>
    <col min="23" max="256" width="9.140625" style="4"/>
    <col min="257" max="257" width="6.7109375" style="4" customWidth="1"/>
    <col min="258" max="258" width="2" style="4" customWidth="1"/>
    <col min="259" max="259" width="3.140625" style="4" customWidth="1"/>
    <col min="260" max="260" width="10.28515625" style="4" customWidth="1"/>
    <col min="261" max="262" width="13" style="4" customWidth="1"/>
    <col min="263" max="263" width="17.5703125" style="4" customWidth="1"/>
    <col min="264" max="264" width="14.140625" style="4" customWidth="1"/>
    <col min="265" max="266" width="13" style="4" customWidth="1"/>
    <col min="267" max="267" width="13.5703125" style="4" customWidth="1"/>
    <col min="268" max="268" width="13" style="4" customWidth="1"/>
    <col min="269" max="269" width="3.28515625" style="4" customWidth="1"/>
    <col min="270" max="270" width="2.140625" style="4" customWidth="1"/>
    <col min="271" max="271" width="1" style="4" customWidth="1"/>
    <col min="272" max="273" width="0" style="4" hidden="1" customWidth="1"/>
    <col min="274" max="274" width="6.7109375" style="4" customWidth="1"/>
    <col min="275" max="277" width="9.140625" style="4"/>
    <col min="278" max="278" width="13.5703125" style="4" bestFit="1" customWidth="1"/>
    <col min="279" max="512" width="9.140625" style="4"/>
    <col min="513" max="513" width="6.7109375" style="4" customWidth="1"/>
    <col min="514" max="514" width="2" style="4" customWidth="1"/>
    <col min="515" max="515" width="3.140625" style="4" customWidth="1"/>
    <col min="516" max="516" width="10.28515625" style="4" customWidth="1"/>
    <col min="517" max="518" width="13" style="4" customWidth="1"/>
    <col min="519" max="519" width="17.5703125" style="4" customWidth="1"/>
    <col min="520" max="520" width="14.140625" style="4" customWidth="1"/>
    <col min="521" max="522" width="13" style="4" customWidth="1"/>
    <col min="523" max="523" width="13.5703125" style="4" customWidth="1"/>
    <col min="524" max="524" width="13" style="4" customWidth="1"/>
    <col min="525" max="525" width="3.28515625" style="4" customWidth="1"/>
    <col min="526" max="526" width="2.140625" style="4" customWidth="1"/>
    <col min="527" max="527" width="1" style="4" customWidth="1"/>
    <col min="528" max="529" width="0" style="4" hidden="1" customWidth="1"/>
    <col min="530" max="530" width="6.7109375" style="4" customWidth="1"/>
    <col min="531" max="533" width="9.140625" style="4"/>
    <col min="534" max="534" width="13.5703125" style="4" bestFit="1" customWidth="1"/>
    <col min="535" max="768" width="9.140625" style="4"/>
    <col min="769" max="769" width="6.7109375" style="4" customWidth="1"/>
    <col min="770" max="770" width="2" style="4" customWidth="1"/>
    <col min="771" max="771" width="3.140625" style="4" customWidth="1"/>
    <col min="772" max="772" width="10.28515625" style="4" customWidth="1"/>
    <col min="773" max="774" width="13" style="4" customWidth="1"/>
    <col min="775" max="775" width="17.5703125" style="4" customWidth="1"/>
    <col min="776" max="776" width="14.140625" style="4" customWidth="1"/>
    <col min="777" max="778" width="13" style="4" customWidth="1"/>
    <col min="779" max="779" width="13.5703125" style="4" customWidth="1"/>
    <col min="780" max="780" width="13" style="4" customWidth="1"/>
    <col min="781" max="781" width="3.28515625" style="4" customWidth="1"/>
    <col min="782" max="782" width="2.140625" style="4" customWidth="1"/>
    <col min="783" max="783" width="1" style="4" customWidth="1"/>
    <col min="784" max="785" width="0" style="4" hidden="1" customWidth="1"/>
    <col min="786" max="786" width="6.7109375" style="4" customWidth="1"/>
    <col min="787" max="789" width="9.140625" style="4"/>
    <col min="790" max="790" width="13.5703125" style="4" bestFit="1" customWidth="1"/>
    <col min="791" max="1024" width="9.140625" style="4"/>
    <col min="1025" max="1025" width="6.7109375" style="4" customWidth="1"/>
    <col min="1026" max="1026" width="2" style="4" customWidth="1"/>
    <col min="1027" max="1027" width="3.140625" style="4" customWidth="1"/>
    <col min="1028" max="1028" width="10.28515625" style="4" customWidth="1"/>
    <col min="1029" max="1030" width="13" style="4" customWidth="1"/>
    <col min="1031" max="1031" width="17.5703125" style="4" customWidth="1"/>
    <col min="1032" max="1032" width="14.140625" style="4" customWidth="1"/>
    <col min="1033" max="1034" width="13" style="4" customWidth="1"/>
    <col min="1035" max="1035" width="13.5703125" style="4" customWidth="1"/>
    <col min="1036" max="1036" width="13" style="4" customWidth="1"/>
    <col min="1037" max="1037" width="3.28515625" style="4" customWidth="1"/>
    <col min="1038" max="1038" width="2.140625" style="4" customWidth="1"/>
    <col min="1039" max="1039" width="1" style="4" customWidth="1"/>
    <col min="1040" max="1041" width="0" style="4" hidden="1" customWidth="1"/>
    <col min="1042" max="1042" width="6.7109375" style="4" customWidth="1"/>
    <col min="1043" max="1045" width="9.140625" style="4"/>
    <col min="1046" max="1046" width="13.5703125" style="4" bestFit="1" customWidth="1"/>
    <col min="1047" max="1280" width="9.140625" style="4"/>
    <col min="1281" max="1281" width="6.7109375" style="4" customWidth="1"/>
    <col min="1282" max="1282" width="2" style="4" customWidth="1"/>
    <col min="1283" max="1283" width="3.140625" style="4" customWidth="1"/>
    <col min="1284" max="1284" width="10.28515625" style="4" customWidth="1"/>
    <col min="1285" max="1286" width="13" style="4" customWidth="1"/>
    <col min="1287" max="1287" width="17.5703125" style="4" customWidth="1"/>
    <col min="1288" max="1288" width="14.140625" style="4" customWidth="1"/>
    <col min="1289" max="1290" width="13" style="4" customWidth="1"/>
    <col min="1291" max="1291" width="13.5703125" style="4" customWidth="1"/>
    <col min="1292" max="1292" width="13" style="4" customWidth="1"/>
    <col min="1293" max="1293" width="3.28515625" style="4" customWidth="1"/>
    <col min="1294" max="1294" width="2.140625" style="4" customWidth="1"/>
    <col min="1295" max="1295" width="1" style="4" customWidth="1"/>
    <col min="1296" max="1297" width="0" style="4" hidden="1" customWidth="1"/>
    <col min="1298" max="1298" width="6.7109375" style="4" customWidth="1"/>
    <col min="1299" max="1301" width="9.140625" style="4"/>
    <col min="1302" max="1302" width="13.5703125" style="4" bestFit="1" customWidth="1"/>
    <col min="1303" max="1536" width="9.140625" style="4"/>
    <col min="1537" max="1537" width="6.7109375" style="4" customWidth="1"/>
    <col min="1538" max="1538" width="2" style="4" customWidth="1"/>
    <col min="1539" max="1539" width="3.140625" style="4" customWidth="1"/>
    <col min="1540" max="1540" width="10.28515625" style="4" customWidth="1"/>
    <col min="1541" max="1542" width="13" style="4" customWidth="1"/>
    <col min="1543" max="1543" width="17.5703125" style="4" customWidth="1"/>
    <col min="1544" max="1544" width="14.140625" style="4" customWidth="1"/>
    <col min="1545" max="1546" width="13" style="4" customWidth="1"/>
    <col min="1547" max="1547" width="13.5703125" style="4" customWidth="1"/>
    <col min="1548" max="1548" width="13" style="4" customWidth="1"/>
    <col min="1549" max="1549" width="3.28515625" style="4" customWidth="1"/>
    <col min="1550" max="1550" width="2.140625" style="4" customWidth="1"/>
    <col min="1551" max="1551" width="1" style="4" customWidth="1"/>
    <col min="1552" max="1553" width="0" style="4" hidden="1" customWidth="1"/>
    <col min="1554" max="1554" width="6.7109375" style="4" customWidth="1"/>
    <col min="1555" max="1557" width="9.140625" style="4"/>
    <col min="1558" max="1558" width="13.5703125" style="4" bestFit="1" customWidth="1"/>
    <col min="1559" max="1792" width="9.140625" style="4"/>
    <col min="1793" max="1793" width="6.7109375" style="4" customWidth="1"/>
    <col min="1794" max="1794" width="2" style="4" customWidth="1"/>
    <col min="1795" max="1795" width="3.140625" style="4" customWidth="1"/>
    <col min="1796" max="1796" width="10.28515625" style="4" customWidth="1"/>
    <col min="1797" max="1798" width="13" style="4" customWidth="1"/>
    <col min="1799" max="1799" width="17.5703125" style="4" customWidth="1"/>
    <col min="1800" max="1800" width="14.140625" style="4" customWidth="1"/>
    <col min="1801" max="1802" width="13" style="4" customWidth="1"/>
    <col min="1803" max="1803" width="13.5703125" style="4" customWidth="1"/>
    <col min="1804" max="1804" width="13" style="4" customWidth="1"/>
    <col min="1805" max="1805" width="3.28515625" style="4" customWidth="1"/>
    <col min="1806" max="1806" width="2.140625" style="4" customWidth="1"/>
    <col min="1807" max="1807" width="1" style="4" customWidth="1"/>
    <col min="1808" max="1809" width="0" style="4" hidden="1" customWidth="1"/>
    <col min="1810" max="1810" width="6.7109375" style="4" customWidth="1"/>
    <col min="1811" max="1813" width="9.140625" style="4"/>
    <col min="1814" max="1814" width="13.5703125" style="4" bestFit="1" customWidth="1"/>
    <col min="1815" max="2048" width="9.140625" style="4"/>
    <col min="2049" max="2049" width="6.7109375" style="4" customWidth="1"/>
    <col min="2050" max="2050" width="2" style="4" customWidth="1"/>
    <col min="2051" max="2051" width="3.140625" style="4" customWidth="1"/>
    <col min="2052" max="2052" width="10.28515625" style="4" customWidth="1"/>
    <col min="2053" max="2054" width="13" style="4" customWidth="1"/>
    <col min="2055" max="2055" width="17.5703125" style="4" customWidth="1"/>
    <col min="2056" max="2056" width="14.140625" style="4" customWidth="1"/>
    <col min="2057" max="2058" width="13" style="4" customWidth="1"/>
    <col min="2059" max="2059" width="13.5703125" style="4" customWidth="1"/>
    <col min="2060" max="2060" width="13" style="4" customWidth="1"/>
    <col min="2061" max="2061" width="3.28515625" style="4" customWidth="1"/>
    <col min="2062" max="2062" width="2.140625" style="4" customWidth="1"/>
    <col min="2063" max="2063" width="1" style="4" customWidth="1"/>
    <col min="2064" max="2065" width="0" style="4" hidden="1" customWidth="1"/>
    <col min="2066" max="2066" width="6.7109375" style="4" customWidth="1"/>
    <col min="2067" max="2069" width="9.140625" style="4"/>
    <col min="2070" max="2070" width="13.5703125" style="4" bestFit="1" customWidth="1"/>
    <col min="2071" max="2304" width="9.140625" style="4"/>
    <col min="2305" max="2305" width="6.7109375" style="4" customWidth="1"/>
    <col min="2306" max="2306" width="2" style="4" customWidth="1"/>
    <col min="2307" max="2307" width="3.140625" style="4" customWidth="1"/>
    <col min="2308" max="2308" width="10.28515625" style="4" customWidth="1"/>
    <col min="2309" max="2310" width="13" style="4" customWidth="1"/>
    <col min="2311" max="2311" width="17.5703125" style="4" customWidth="1"/>
    <col min="2312" max="2312" width="14.140625" style="4" customWidth="1"/>
    <col min="2313" max="2314" width="13" style="4" customWidth="1"/>
    <col min="2315" max="2315" width="13.5703125" style="4" customWidth="1"/>
    <col min="2316" max="2316" width="13" style="4" customWidth="1"/>
    <col min="2317" max="2317" width="3.28515625" style="4" customWidth="1"/>
    <col min="2318" max="2318" width="2.140625" style="4" customWidth="1"/>
    <col min="2319" max="2319" width="1" style="4" customWidth="1"/>
    <col min="2320" max="2321" width="0" style="4" hidden="1" customWidth="1"/>
    <col min="2322" max="2322" width="6.7109375" style="4" customWidth="1"/>
    <col min="2323" max="2325" width="9.140625" style="4"/>
    <col min="2326" max="2326" width="13.5703125" style="4" bestFit="1" customWidth="1"/>
    <col min="2327" max="2560" width="9.140625" style="4"/>
    <col min="2561" max="2561" width="6.7109375" style="4" customWidth="1"/>
    <col min="2562" max="2562" width="2" style="4" customWidth="1"/>
    <col min="2563" max="2563" width="3.140625" style="4" customWidth="1"/>
    <col min="2564" max="2564" width="10.28515625" style="4" customWidth="1"/>
    <col min="2565" max="2566" width="13" style="4" customWidth="1"/>
    <col min="2567" max="2567" width="17.5703125" style="4" customWidth="1"/>
    <col min="2568" max="2568" width="14.140625" style="4" customWidth="1"/>
    <col min="2569" max="2570" width="13" style="4" customWidth="1"/>
    <col min="2571" max="2571" width="13.5703125" style="4" customWidth="1"/>
    <col min="2572" max="2572" width="13" style="4" customWidth="1"/>
    <col min="2573" max="2573" width="3.28515625" style="4" customWidth="1"/>
    <col min="2574" max="2574" width="2.140625" style="4" customWidth="1"/>
    <col min="2575" max="2575" width="1" style="4" customWidth="1"/>
    <col min="2576" max="2577" width="0" style="4" hidden="1" customWidth="1"/>
    <col min="2578" max="2578" width="6.7109375" style="4" customWidth="1"/>
    <col min="2579" max="2581" width="9.140625" style="4"/>
    <col min="2582" max="2582" width="13.5703125" style="4" bestFit="1" customWidth="1"/>
    <col min="2583" max="2816" width="9.140625" style="4"/>
    <col min="2817" max="2817" width="6.7109375" style="4" customWidth="1"/>
    <col min="2818" max="2818" width="2" style="4" customWidth="1"/>
    <col min="2819" max="2819" width="3.140625" style="4" customWidth="1"/>
    <col min="2820" max="2820" width="10.28515625" style="4" customWidth="1"/>
    <col min="2821" max="2822" width="13" style="4" customWidth="1"/>
    <col min="2823" max="2823" width="17.5703125" style="4" customWidth="1"/>
    <col min="2824" max="2824" width="14.140625" style="4" customWidth="1"/>
    <col min="2825" max="2826" width="13" style="4" customWidth="1"/>
    <col min="2827" max="2827" width="13.5703125" style="4" customWidth="1"/>
    <col min="2828" max="2828" width="13" style="4" customWidth="1"/>
    <col min="2829" max="2829" width="3.28515625" style="4" customWidth="1"/>
    <col min="2830" max="2830" width="2.140625" style="4" customWidth="1"/>
    <col min="2831" max="2831" width="1" style="4" customWidth="1"/>
    <col min="2832" max="2833" width="0" style="4" hidden="1" customWidth="1"/>
    <col min="2834" max="2834" width="6.7109375" style="4" customWidth="1"/>
    <col min="2835" max="2837" width="9.140625" style="4"/>
    <col min="2838" max="2838" width="13.5703125" style="4" bestFit="1" customWidth="1"/>
    <col min="2839" max="3072" width="9.140625" style="4"/>
    <col min="3073" max="3073" width="6.7109375" style="4" customWidth="1"/>
    <col min="3074" max="3074" width="2" style="4" customWidth="1"/>
    <col min="3075" max="3075" width="3.140625" style="4" customWidth="1"/>
    <col min="3076" max="3076" width="10.28515625" style="4" customWidth="1"/>
    <col min="3077" max="3078" width="13" style="4" customWidth="1"/>
    <col min="3079" max="3079" width="17.5703125" style="4" customWidth="1"/>
    <col min="3080" max="3080" width="14.140625" style="4" customWidth="1"/>
    <col min="3081" max="3082" width="13" style="4" customWidth="1"/>
    <col min="3083" max="3083" width="13.5703125" style="4" customWidth="1"/>
    <col min="3084" max="3084" width="13" style="4" customWidth="1"/>
    <col min="3085" max="3085" width="3.28515625" style="4" customWidth="1"/>
    <col min="3086" max="3086" width="2.140625" style="4" customWidth="1"/>
    <col min="3087" max="3087" width="1" style="4" customWidth="1"/>
    <col min="3088" max="3089" width="0" style="4" hidden="1" customWidth="1"/>
    <col min="3090" max="3090" width="6.7109375" style="4" customWidth="1"/>
    <col min="3091" max="3093" width="9.140625" style="4"/>
    <col min="3094" max="3094" width="13.5703125" style="4" bestFit="1" customWidth="1"/>
    <col min="3095" max="3328" width="9.140625" style="4"/>
    <col min="3329" max="3329" width="6.7109375" style="4" customWidth="1"/>
    <col min="3330" max="3330" width="2" style="4" customWidth="1"/>
    <col min="3331" max="3331" width="3.140625" style="4" customWidth="1"/>
    <col min="3332" max="3332" width="10.28515625" style="4" customWidth="1"/>
    <col min="3333" max="3334" width="13" style="4" customWidth="1"/>
    <col min="3335" max="3335" width="17.5703125" style="4" customWidth="1"/>
    <col min="3336" max="3336" width="14.140625" style="4" customWidth="1"/>
    <col min="3337" max="3338" width="13" style="4" customWidth="1"/>
    <col min="3339" max="3339" width="13.5703125" style="4" customWidth="1"/>
    <col min="3340" max="3340" width="13" style="4" customWidth="1"/>
    <col min="3341" max="3341" width="3.28515625" style="4" customWidth="1"/>
    <col min="3342" max="3342" width="2.140625" style="4" customWidth="1"/>
    <col min="3343" max="3343" width="1" style="4" customWidth="1"/>
    <col min="3344" max="3345" width="0" style="4" hidden="1" customWidth="1"/>
    <col min="3346" max="3346" width="6.7109375" style="4" customWidth="1"/>
    <col min="3347" max="3349" width="9.140625" style="4"/>
    <col min="3350" max="3350" width="13.5703125" style="4" bestFit="1" customWidth="1"/>
    <col min="3351" max="3584" width="9.140625" style="4"/>
    <col min="3585" max="3585" width="6.7109375" style="4" customWidth="1"/>
    <col min="3586" max="3586" width="2" style="4" customWidth="1"/>
    <col min="3587" max="3587" width="3.140625" style="4" customWidth="1"/>
    <col min="3588" max="3588" width="10.28515625" style="4" customWidth="1"/>
    <col min="3589" max="3590" width="13" style="4" customWidth="1"/>
    <col min="3591" max="3591" width="17.5703125" style="4" customWidth="1"/>
    <col min="3592" max="3592" width="14.140625" style="4" customWidth="1"/>
    <col min="3593" max="3594" width="13" style="4" customWidth="1"/>
    <col min="3595" max="3595" width="13.5703125" style="4" customWidth="1"/>
    <col min="3596" max="3596" width="13" style="4" customWidth="1"/>
    <col min="3597" max="3597" width="3.28515625" style="4" customWidth="1"/>
    <col min="3598" max="3598" width="2.140625" style="4" customWidth="1"/>
    <col min="3599" max="3599" width="1" style="4" customWidth="1"/>
    <col min="3600" max="3601" width="0" style="4" hidden="1" customWidth="1"/>
    <col min="3602" max="3602" width="6.7109375" style="4" customWidth="1"/>
    <col min="3603" max="3605" width="9.140625" style="4"/>
    <col min="3606" max="3606" width="13.5703125" style="4" bestFit="1" customWidth="1"/>
    <col min="3607" max="3840" width="9.140625" style="4"/>
    <col min="3841" max="3841" width="6.7109375" style="4" customWidth="1"/>
    <col min="3842" max="3842" width="2" style="4" customWidth="1"/>
    <col min="3843" max="3843" width="3.140625" style="4" customWidth="1"/>
    <col min="3844" max="3844" width="10.28515625" style="4" customWidth="1"/>
    <col min="3845" max="3846" width="13" style="4" customWidth="1"/>
    <col min="3847" max="3847" width="17.5703125" style="4" customWidth="1"/>
    <col min="3848" max="3848" width="14.140625" style="4" customWidth="1"/>
    <col min="3849" max="3850" width="13" style="4" customWidth="1"/>
    <col min="3851" max="3851" width="13.5703125" style="4" customWidth="1"/>
    <col min="3852" max="3852" width="13" style="4" customWidth="1"/>
    <col min="3853" max="3853" width="3.28515625" style="4" customWidth="1"/>
    <col min="3854" max="3854" width="2.140625" style="4" customWidth="1"/>
    <col min="3855" max="3855" width="1" style="4" customWidth="1"/>
    <col min="3856" max="3857" width="0" style="4" hidden="1" customWidth="1"/>
    <col min="3858" max="3858" width="6.7109375" style="4" customWidth="1"/>
    <col min="3859" max="3861" width="9.140625" style="4"/>
    <col min="3862" max="3862" width="13.5703125" style="4" bestFit="1" customWidth="1"/>
    <col min="3863" max="4096" width="9.140625" style="4"/>
    <col min="4097" max="4097" width="6.7109375" style="4" customWidth="1"/>
    <col min="4098" max="4098" width="2" style="4" customWidth="1"/>
    <col min="4099" max="4099" width="3.140625" style="4" customWidth="1"/>
    <col min="4100" max="4100" width="10.28515625" style="4" customWidth="1"/>
    <col min="4101" max="4102" width="13" style="4" customWidth="1"/>
    <col min="4103" max="4103" width="17.5703125" style="4" customWidth="1"/>
    <col min="4104" max="4104" width="14.140625" style="4" customWidth="1"/>
    <col min="4105" max="4106" width="13" style="4" customWidth="1"/>
    <col min="4107" max="4107" width="13.5703125" style="4" customWidth="1"/>
    <col min="4108" max="4108" width="13" style="4" customWidth="1"/>
    <col min="4109" max="4109" width="3.28515625" style="4" customWidth="1"/>
    <col min="4110" max="4110" width="2.140625" style="4" customWidth="1"/>
    <col min="4111" max="4111" width="1" style="4" customWidth="1"/>
    <col min="4112" max="4113" width="0" style="4" hidden="1" customWidth="1"/>
    <col min="4114" max="4114" width="6.7109375" style="4" customWidth="1"/>
    <col min="4115" max="4117" width="9.140625" style="4"/>
    <col min="4118" max="4118" width="13.5703125" style="4" bestFit="1" customWidth="1"/>
    <col min="4119" max="4352" width="9.140625" style="4"/>
    <col min="4353" max="4353" width="6.7109375" style="4" customWidth="1"/>
    <col min="4354" max="4354" width="2" style="4" customWidth="1"/>
    <col min="4355" max="4355" width="3.140625" style="4" customWidth="1"/>
    <col min="4356" max="4356" width="10.28515625" style="4" customWidth="1"/>
    <col min="4357" max="4358" width="13" style="4" customWidth="1"/>
    <col min="4359" max="4359" width="17.5703125" style="4" customWidth="1"/>
    <col min="4360" max="4360" width="14.140625" style="4" customWidth="1"/>
    <col min="4361" max="4362" width="13" style="4" customWidth="1"/>
    <col min="4363" max="4363" width="13.5703125" style="4" customWidth="1"/>
    <col min="4364" max="4364" width="13" style="4" customWidth="1"/>
    <col min="4365" max="4365" width="3.28515625" style="4" customWidth="1"/>
    <col min="4366" max="4366" width="2.140625" style="4" customWidth="1"/>
    <col min="4367" max="4367" width="1" style="4" customWidth="1"/>
    <col min="4368" max="4369" width="0" style="4" hidden="1" customWidth="1"/>
    <col min="4370" max="4370" width="6.7109375" style="4" customWidth="1"/>
    <col min="4371" max="4373" width="9.140625" style="4"/>
    <col min="4374" max="4374" width="13.5703125" style="4" bestFit="1" customWidth="1"/>
    <col min="4375" max="4608" width="9.140625" style="4"/>
    <col min="4609" max="4609" width="6.7109375" style="4" customWidth="1"/>
    <col min="4610" max="4610" width="2" style="4" customWidth="1"/>
    <col min="4611" max="4611" width="3.140625" style="4" customWidth="1"/>
    <col min="4612" max="4612" width="10.28515625" style="4" customWidth="1"/>
    <col min="4613" max="4614" width="13" style="4" customWidth="1"/>
    <col min="4615" max="4615" width="17.5703125" style="4" customWidth="1"/>
    <col min="4616" max="4616" width="14.140625" style="4" customWidth="1"/>
    <col min="4617" max="4618" width="13" style="4" customWidth="1"/>
    <col min="4619" max="4619" width="13.5703125" style="4" customWidth="1"/>
    <col min="4620" max="4620" width="13" style="4" customWidth="1"/>
    <col min="4621" max="4621" width="3.28515625" style="4" customWidth="1"/>
    <col min="4622" max="4622" width="2.140625" style="4" customWidth="1"/>
    <col min="4623" max="4623" width="1" style="4" customWidth="1"/>
    <col min="4624" max="4625" width="0" style="4" hidden="1" customWidth="1"/>
    <col min="4626" max="4626" width="6.7109375" style="4" customWidth="1"/>
    <col min="4627" max="4629" width="9.140625" style="4"/>
    <col min="4630" max="4630" width="13.5703125" style="4" bestFit="1" customWidth="1"/>
    <col min="4631" max="4864" width="9.140625" style="4"/>
    <col min="4865" max="4865" width="6.7109375" style="4" customWidth="1"/>
    <col min="4866" max="4866" width="2" style="4" customWidth="1"/>
    <col min="4867" max="4867" width="3.140625" style="4" customWidth="1"/>
    <col min="4868" max="4868" width="10.28515625" style="4" customWidth="1"/>
    <col min="4869" max="4870" width="13" style="4" customWidth="1"/>
    <col min="4871" max="4871" width="17.5703125" style="4" customWidth="1"/>
    <col min="4872" max="4872" width="14.140625" style="4" customWidth="1"/>
    <col min="4873" max="4874" width="13" style="4" customWidth="1"/>
    <col min="4875" max="4875" width="13.5703125" style="4" customWidth="1"/>
    <col min="4876" max="4876" width="13" style="4" customWidth="1"/>
    <col min="4877" max="4877" width="3.28515625" style="4" customWidth="1"/>
    <col min="4878" max="4878" width="2.140625" style="4" customWidth="1"/>
    <col min="4879" max="4879" width="1" style="4" customWidth="1"/>
    <col min="4880" max="4881" width="0" style="4" hidden="1" customWidth="1"/>
    <col min="4882" max="4882" width="6.7109375" style="4" customWidth="1"/>
    <col min="4883" max="4885" width="9.140625" style="4"/>
    <col min="4886" max="4886" width="13.5703125" style="4" bestFit="1" customWidth="1"/>
    <col min="4887" max="5120" width="9.140625" style="4"/>
    <col min="5121" max="5121" width="6.7109375" style="4" customWidth="1"/>
    <col min="5122" max="5122" width="2" style="4" customWidth="1"/>
    <col min="5123" max="5123" width="3.140625" style="4" customWidth="1"/>
    <col min="5124" max="5124" width="10.28515625" style="4" customWidth="1"/>
    <col min="5125" max="5126" width="13" style="4" customWidth="1"/>
    <col min="5127" max="5127" width="17.5703125" style="4" customWidth="1"/>
    <col min="5128" max="5128" width="14.140625" style="4" customWidth="1"/>
    <col min="5129" max="5130" width="13" style="4" customWidth="1"/>
    <col min="5131" max="5131" width="13.5703125" style="4" customWidth="1"/>
    <col min="5132" max="5132" width="13" style="4" customWidth="1"/>
    <col min="5133" max="5133" width="3.28515625" style="4" customWidth="1"/>
    <col min="5134" max="5134" width="2.140625" style="4" customWidth="1"/>
    <col min="5135" max="5135" width="1" style="4" customWidth="1"/>
    <col min="5136" max="5137" width="0" style="4" hidden="1" customWidth="1"/>
    <col min="5138" max="5138" width="6.7109375" style="4" customWidth="1"/>
    <col min="5139" max="5141" width="9.140625" style="4"/>
    <col min="5142" max="5142" width="13.5703125" style="4" bestFit="1" customWidth="1"/>
    <col min="5143" max="5376" width="9.140625" style="4"/>
    <col min="5377" max="5377" width="6.7109375" style="4" customWidth="1"/>
    <col min="5378" max="5378" width="2" style="4" customWidth="1"/>
    <col min="5379" max="5379" width="3.140625" style="4" customWidth="1"/>
    <col min="5380" max="5380" width="10.28515625" style="4" customWidth="1"/>
    <col min="5381" max="5382" width="13" style="4" customWidth="1"/>
    <col min="5383" max="5383" width="17.5703125" style="4" customWidth="1"/>
    <col min="5384" max="5384" width="14.140625" style="4" customWidth="1"/>
    <col min="5385" max="5386" width="13" style="4" customWidth="1"/>
    <col min="5387" max="5387" width="13.5703125" style="4" customWidth="1"/>
    <col min="5388" max="5388" width="13" style="4" customWidth="1"/>
    <col min="5389" max="5389" width="3.28515625" style="4" customWidth="1"/>
    <col min="5390" max="5390" width="2.140625" style="4" customWidth="1"/>
    <col min="5391" max="5391" width="1" style="4" customWidth="1"/>
    <col min="5392" max="5393" width="0" style="4" hidden="1" customWidth="1"/>
    <col min="5394" max="5394" width="6.7109375" style="4" customWidth="1"/>
    <col min="5395" max="5397" width="9.140625" style="4"/>
    <col min="5398" max="5398" width="13.5703125" style="4" bestFit="1" customWidth="1"/>
    <col min="5399" max="5632" width="9.140625" style="4"/>
    <col min="5633" max="5633" width="6.7109375" style="4" customWidth="1"/>
    <col min="5634" max="5634" width="2" style="4" customWidth="1"/>
    <col min="5635" max="5635" width="3.140625" style="4" customWidth="1"/>
    <col min="5636" max="5636" width="10.28515625" style="4" customWidth="1"/>
    <col min="5637" max="5638" width="13" style="4" customWidth="1"/>
    <col min="5639" max="5639" width="17.5703125" style="4" customWidth="1"/>
    <col min="5640" max="5640" width="14.140625" style="4" customWidth="1"/>
    <col min="5641" max="5642" width="13" style="4" customWidth="1"/>
    <col min="5643" max="5643" width="13.5703125" style="4" customWidth="1"/>
    <col min="5644" max="5644" width="13" style="4" customWidth="1"/>
    <col min="5645" max="5645" width="3.28515625" style="4" customWidth="1"/>
    <col min="5646" max="5646" width="2.140625" style="4" customWidth="1"/>
    <col min="5647" max="5647" width="1" style="4" customWidth="1"/>
    <col min="5648" max="5649" width="0" style="4" hidden="1" customWidth="1"/>
    <col min="5650" max="5650" width="6.7109375" style="4" customWidth="1"/>
    <col min="5651" max="5653" width="9.140625" style="4"/>
    <col min="5654" max="5654" width="13.5703125" style="4" bestFit="1" customWidth="1"/>
    <col min="5655" max="5888" width="9.140625" style="4"/>
    <col min="5889" max="5889" width="6.7109375" style="4" customWidth="1"/>
    <col min="5890" max="5890" width="2" style="4" customWidth="1"/>
    <col min="5891" max="5891" width="3.140625" style="4" customWidth="1"/>
    <col min="5892" max="5892" width="10.28515625" style="4" customWidth="1"/>
    <col min="5893" max="5894" width="13" style="4" customWidth="1"/>
    <col min="5895" max="5895" width="17.5703125" style="4" customWidth="1"/>
    <col min="5896" max="5896" width="14.140625" style="4" customWidth="1"/>
    <col min="5897" max="5898" width="13" style="4" customWidth="1"/>
    <col min="5899" max="5899" width="13.5703125" style="4" customWidth="1"/>
    <col min="5900" max="5900" width="13" style="4" customWidth="1"/>
    <col min="5901" max="5901" width="3.28515625" style="4" customWidth="1"/>
    <col min="5902" max="5902" width="2.140625" style="4" customWidth="1"/>
    <col min="5903" max="5903" width="1" style="4" customWidth="1"/>
    <col min="5904" max="5905" width="0" style="4" hidden="1" customWidth="1"/>
    <col min="5906" max="5906" width="6.7109375" style="4" customWidth="1"/>
    <col min="5907" max="5909" width="9.140625" style="4"/>
    <col min="5910" max="5910" width="13.5703125" style="4" bestFit="1" customWidth="1"/>
    <col min="5911" max="6144" width="9.140625" style="4"/>
    <col min="6145" max="6145" width="6.7109375" style="4" customWidth="1"/>
    <col min="6146" max="6146" width="2" style="4" customWidth="1"/>
    <col min="6147" max="6147" width="3.140625" style="4" customWidth="1"/>
    <col min="6148" max="6148" width="10.28515625" style="4" customWidth="1"/>
    <col min="6149" max="6150" width="13" style="4" customWidth="1"/>
    <col min="6151" max="6151" width="17.5703125" style="4" customWidth="1"/>
    <col min="6152" max="6152" width="14.140625" style="4" customWidth="1"/>
    <col min="6153" max="6154" width="13" style="4" customWidth="1"/>
    <col min="6155" max="6155" width="13.5703125" style="4" customWidth="1"/>
    <col min="6156" max="6156" width="13" style="4" customWidth="1"/>
    <col min="6157" max="6157" width="3.28515625" style="4" customWidth="1"/>
    <col min="6158" max="6158" width="2.140625" style="4" customWidth="1"/>
    <col min="6159" max="6159" width="1" style="4" customWidth="1"/>
    <col min="6160" max="6161" width="0" style="4" hidden="1" customWidth="1"/>
    <col min="6162" max="6162" width="6.7109375" style="4" customWidth="1"/>
    <col min="6163" max="6165" width="9.140625" style="4"/>
    <col min="6166" max="6166" width="13.5703125" style="4" bestFit="1" customWidth="1"/>
    <col min="6167" max="6400" width="9.140625" style="4"/>
    <col min="6401" max="6401" width="6.7109375" style="4" customWidth="1"/>
    <col min="6402" max="6402" width="2" style="4" customWidth="1"/>
    <col min="6403" max="6403" width="3.140625" style="4" customWidth="1"/>
    <col min="6404" max="6404" width="10.28515625" style="4" customWidth="1"/>
    <col min="6405" max="6406" width="13" style="4" customWidth="1"/>
    <col min="6407" max="6407" width="17.5703125" style="4" customWidth="1"/>
    <col min="6408" max="6408" width="14.140625" style="4" customWidth="1"/>
    <col min="6409" max="6410" width="13" style="4" customWidth="1"/>
    <col min="6411" max="6411" width="13.5703125" style="4" customWidth="1"/>
    <col min="6412" max="6412" width="13" style="4" customWidth="1"/>
    <col min="6413" max="6413" width="3.28515625" style="4" customWidth="1"/>
    <col min="6414" max="6414" width="2.140625" style="4" customWidth="1"/>
    <col min="6415" max="6415" width="1" style="4" customWidth="1"/>
    <col min="6416" max="6417" width="0" style="4" hidden="1" customWidth="1"/>
    <col min="6418" max="6418" width="6.7109375" style="4" customWidth="1"/>
    <col min="6419" max="6421" width="9.140625" style="4"/>
    <col min="6422" max="6422" width="13.5703125" style="4" bestFit="1" customWidth="1"/>
    <col min="6423" max="6656" width="9.140625" style="4"/>
    <col min="6657" max="6657" width="6.7109375" style="4" customWidth="1"/>
    <col min="6658" max="6658" width="2" style="4" customWidth="1"/>
    <col min="6659" max="6659" width="3.140625" style="4" customWidth="1"/>
    <col min="6660" max="6660" width="10.28515625" style="4" customWidth="1"/>
    <col min="6661" max="6662" width="13" style="4" customWidth="1"/>
    <col min="6663" max="6663" width="17.5703125" style="4" customWidth="1"/>
    <col min="6664" max="6664" width="14.140625" style="4" customWidth="1"/>
    <col min="6665" max="6666" width="13" style="4" customWidth="1"/>
    <col min="6667" max="6667" width="13.5703125" style="4" customWidth="1"/>
    <col min="6668" max="6668" width="13" style="4" customWidth="1"/>
    <col min="6669" max="6669" width="3.28515625" style="4" customWidth="1"/>
    <col min="6670" max="6670" width="2.140625" style="4" customWidth="1"/>
    <col min="6671" max="6671" width="1" style="4" customWidth="1"/>
    <col min="6672" max="6673" width="0" style="4" hidden="1" customWidth="1"/>
    <col min="6674" max="6674" width="6.7109375" style="4" customWidth="1"/>
    <col min="6675" max="6677" width="9.140625" style="4"/>
    <col min="6678" max="6678" width="13.5703125" style="4" bestFit="1" customWidth="1"/>
    <col min="6679" max="6912" width="9.140625" style="4"/>
    <col min="6913" max="6913" width="6.7109375" style="4" customWidth="1"/>
    <col min="6914" max="6914" width="2" style="4" customWidth="1"/>
    <col min="6915" max="6915" width="3.140625" style="4" customWidth="1"/>
    <col min="6916" max="6916" width="10.28515625" style="4" customWidth="1"/>
    <col min="6917" max="6918" width="13" style="4" customWidth="1"/>
    <col min="6919" max="6919" width="17.5703125" style="4" customWidth="1"/>
    <col min="6920" max="6920" width="14.140625" style="4" customWidth="1"/>
    <col min="6921" max="6922" width="13" style="4" customWidth="1"/>
    <col min="6923" max="6923" width="13.5703125" style="4" customWidth="1"/>
    <col min="6924" max="6924" width="13" style="4" customWidth="1"/>
    <col min="6925" max="6925" width="3.28515625" style="4" customWidth="1"/>
    <col min="6926" max="6926" width="2.140625" style="4" customWidth="1"/>
    <col min="6927" max="6927" width="1" style="4" customWidth="1"/>
    <col min="6928" max="6929" width="0" style="4" hidden="1" customWidth="1"/>
    <col min="6930" max="6930" width="6.7109375" style="4" customWidth="1"/>
    <col min="6931" max="6933" width="9.140625" style="4"/>
    <col min="6934" max="6934" width="13.5703125" style="4" bestFit="1" customWidth="1"/>
    <col min="6935" max="7168" width="9.140625" style="4"/>
    <col min="7169" max="7169" width="6.7109375" style="4" customWidth="1"/>
    <col min="7170" max="7170" width="2" style="4" customWidth="1"/>
    <col min="7171" max="7171" width="3.140625" style="4" customWidth="1"/>
    <col min="7172" max="7172" width="10.28515625" style="4" customWidth="1"/>
    <col min="7173" max="7174" width="13" style="4" customWidth="1"/>
    <col min="7175" max="7175" width="17.5703125" style="4" customWidth="1"/>
    <col min="7176" max="7176" width="14.140625" style="4" customWidth="1"/>
    <col min="7177" max="7178" width="13" style="4" customWidth="1"/>
    <col min="7179" max="7179" width="13.5703125" style="4" customWidth="1"/>
    <col min="7180" max="7180" width="13" style="4" customWidth="1"/>
    <col min="7181" max="7181" width="3.28515625" style="4" customWidth="1"/>
    <col min="7182" max="7182" width="2.140625" style="4" customWidth="1"/>
    <col min="7183" max="7183" width="1" style="4" customWidth="1"/>
    <col min="7184" max="7185" width="0" style="4" hidden="1" customWidth="1"/>
    <col min="7186" max="7186" width="6.7109375" style="4" customWidth="1"/>
    <col min="7187" max="7189" width="9.140625" style="4"/>
    <col min="7190" max="7190" width="13.5703125" style="4" bestFit="1" customWidth="1"/>
    <col min="7191" max="7424" width="9.140625" style="4"/>
    <col min="7425" max="7425" width="6.7109375" style="4" customWidth="1"/>
    <col min="7426" max="7426" width="2" style="4" customWidth="1"/>
    <col min="7427" max="7427" width="3.140625" style="4" customWidth="1"/>
    <col min="7428" max="7428" width="10.28515625" style="4" customWidth="1"/>
    <col min="7429" max="7430" width="13" style="4" customWidth="1"/>
    <col min="7431" max="7431" width="17.5703125" style="4" customWidth="1"/>
    <col min="7432" max="7432" width="14.140625" style="4" customWidth="1"/>
    <col min="7433" max="7434" width="13" style="4" customWidth="1"/>
    <col min="7435" max="7435" width="13.5703125" style="4" customWidth="1"/>
    <col min="7436" max="7436" width="13" style="4" customWidth="1"/>
    <col min="7437" max="7437" width="3.28515625" style="4" customWidth="1"/>
    <col min="7438" max="7438" width="2.140625" style="4" customWidth="1"/>
    <col min="7439" max="7439" width="1" style="4" customWidth="1"/>
    <col min="7440" max="7441" width="0" style="4" hidden="1" customWidth="1"/>
    <col min="7442" max="7442" width="6.7109375" style="4" customWidth="1"/>
    <col min="7443" max="7445" width="9.140625" style="4"/>
    <col min="7446" max="7446" width="13.5703125" style="4" bestFit="1" customWidth="1"/>
    <col min="7447" max="7680" width="9.140625" style="4"/>
    <col min="7681" max="7681" width="6.7109375" style="4" customWidth="1"/>
    <col min="7682" max="7682" width="2" style="4" customWidth="1"/>
    <col min="7683" max="7683" width="3.140625" style="4" customWidth="1"/>
    <col min="7684" max="7684" width="10.28515625" style="4" customWidth="1"/>
    <col min="7685" max="7686" width="13" style="4" customWidth="1"/>
    <col min="7687" max="7687" width="17.5703125" style="4" customWidth="1"/>
    <col min="7688" max="7688" width="14.140625" style="4" customWidth="1"/>
    <col min="7689" max="7690" width="13" style="4" customWidth="1"/>
    <col min="7691" max="7691" width="13.5703125" style="4" customWidth="1"/>
    <col min="7692" max="7692" width="13" style="4" customWidth="1"/>
    <col min="7693" max="7693" width="3.28515625" style="4" customWidth="1"/>
    <col min="7694" max="7694" width="2.140625" style="4" customWidth="1"/>
    <col min="7695" max="7695" width="1" style="4" customWidth="1"/>
    <col min="7696" max="7697" width="0" style="4" hidden="1" customWidth="1"/>
    <col min="7698" max="7698" width="6.7109375" style="4" customWidth="1"/>
    <col min="7699" max="7701" width="9.140625" style="4"/>
    <col min="7702" max="7702" width="13.5703125" style="4" bestFit="1" customWidth="1"/>
    <col min="7703" max="7936" width="9.140625" style="4"/>
    <col min="7937" max="7937" width="6.7109375" style="4" customWidth="1"/>
    <col min="7938" max="7938" width="2" style="4" customWidth="1"/>
    <col min="7939" max="7939" width="3.140625" style="4" customWidth="1"/>
    <col min="7940" max="7940" width="10.28515625" style="4" customWidth="1"/>
    <col min="7941" max="7942" width="13" style="4" customWidth="1"/>
    <col min="7943" max="7943" width="17.5703125" style="4" customWidth="1"/>
    <col min="7944" max="7944" width="14.140625" style="4" customWidth="1"/>
    <col min="7945" max="7946" width="13" style="4" customWidth="1"/>
    <col min="7947" max="7947" width="13.5703125" style="4" customWidth="1"/>
    <col min="7948" max="7948" width="13" style="4" customWidth="1"/>
    <col min="7949" max="7949" width="3.28515625" style="4" customWidth="1"/>
    <col min="7950" max="7950" width="2.140625" style="4" customWidth="1"/>
    <col min="7951" max="7951" width="1" style="4" customWidth="1"/>
    <col min="7952" max="7953" width="0" style="4" hidden="1" customWidth="1"/>
    <col min="7954" max="7954" width="6.7109375" style="4" customWidth="1"/>
    <col min="7955" max="7957" width="9.140625" style="4"/>
    <col min="7958" max="7958" width="13.5703125" style="4" bestFit="1" customWidth="1"/>
    <col min="7959" max="8192" width="9.140625" style="4"/>
    <col min="8193" max="8193" width="6.7109375" style="4" customWidth="1"/>
    <col min="8194" max="8194" width="2" style="4" customWidth="1"/>
    <col min="8195" max="8195" width="3.140625" style="4" customWidth="1"/>
    <col min="8196" max="8196" width="10.28515625" style="4" customWidth="1"/>
    <col min="8197" max="8198" width="13" style="4" customWidth="1"/>
    <col min="8199" max="8199" width="17.5703125" style="4" customWidth="1"/>
    <col min="8200" max="8200" width="14.140625" style="4" customWidth="1"/>
    <col min="8201" max="8202" width="13" style="4" customWidth="1"/>
    <col min="8203" max="8203" width="13.5703125" style="4" customWidth="1"/>
    <col min="8204" max="8204" width="13" style="4" customWidth="1"/>
    <col min="8205" max="8205" width="3.28515625" style="4" customWidth="1"/>
    <col min="8206" max="8206" width="2.140625" style="4" customWidth="1"/>
    <col min="8207" max="8207" width="1" style="4" customWidth="1"/>
    <col min="8208" max="8209" width="0" style="4" hidden="1" customWidth="1"/>
    <col min="8210" max="8210" width="6.7109375" style="4" customWidth="1"/>
    <col min="8211" max="8213" width="9.140625" style="4"/>
    <col min="8214" max="8214" width="13.5703125" style="4" bestFit="1" customWidth="1"/>
    <col min="8215" max="8448" width="9.140625" style="4"/>
    <col min="8449" max="8449" width="6.7109375" style="4" customWidth="1"/>
    <col min="8450" max="8450" width="2" style="4" customWidth="1"/>
    <col min="8451" max="8451" width="3.140625" style="4" customWidth="1"/>
    <col min="8452" max="8452" width="10.28515625" style="4" customWidth="1"/>
    <col min="8453" max="8454" width="13" style="4" customWidth="1"/>
    <col min="8455" max="8455" width="17.5703125" style="4" customWidth="1"/>
    <col min="8456" max="8456" width="14.140625" style="4" customWidth="1"/>
    <col min="8457" max="8458" width="13" style="4" customWidth="1"/>
    <col min="8459" max="8459" width="13.5703125" style="4" customWidth="1"/>
    <col min="8460" max="8460" width="13" style="4" customWidth="1"/>
    <col min="8461" max="8461" width="3.28515625" style="4" customWidth="1"/>
    <col min="8462" max="8462" width="2.140625" style="4" customWidth="1"/>
    <col min="8463" max="8463" width="1" style="4" customWidth="1"/>
    <col min="8464" max="8465" width="0" style="4" hidden="1" customWidth="1"/>
    <col min="8466" max="8466" width="6.7109375" style="4" customWidth="1"/>
    <col min="8467" max="8469" width="9.140625" style="4"/>
    <col min="8470" max="8470" width="13.5703125" style="4" bestFit="1" customWidth="1"/>
    <col min="8471" max="8704" width="9.140625" style="4"/>
    <col min="8705" max="8705" width="6.7109375" style="4" customWidth="1"/>
    <col min="8706" max="8706" width="2" style="4" customWidth="1"/>
    <col min="8707" max="8707" width="3.140625" style="4" customWidth="1"/>
    <col min="8708" max="8708" width="10.28515625" style="4" customWidth="1"/>
    <col min="8709" max="8710" width="13" style="4" customWidth="1"/>
    <col min="8711" max="8711" width="17.5703125" style="4" customWidth="1"/>
    <col min="8712" max="8712" width="14.140625" style="4" customWidth="1"/>
    <col min="8713" max="8714" width="13" style="4" customWidth="1"/>
    <col min="8715" max="8715" width="13.5703125" style="4" customWidth="1"/>
    <col min="8716" max="8716" width="13" style="4" customWidth="1"/>
    <col min="8717" max="8717" width="3.28515625" style="4" customWidth="1"/>
    <col min="8718" max="8718" width="2.140625" style="4" customWidth="1"/>
    <col min="8719" max="8719" width="1" style="4" customWidth="1"/>
    <col min="8720" max="8721" width="0" style="4" hidden="1" customWidth="1"/>
    <col min="8722" max="8722" width="6.7109375" style="4" customWidth="1"/>
    <col min="8723" max="8725" width="9.140625" style="4"/>
    <col min="8726" max="8726" width="13.5703125" style="4" bestFit="1" customWidth="1"/>
    <col min="8727" max="8960" width="9.140625" style="4"/>
    <col min="8961" max="8961" width="6.7109375" style="4" customWidth="1"/>
    <col min="8962" max="8962" width="2" style="4" customWidth="1"/>
    <col min="8963" max="8963" width="3.140625" style="4" customWidth="1"/>
    <col min="8964" max="8964" width="10.28515625" style="4" customWidth="1"/>
    <col min="8965" max="8966" width="13" style="4" customWidth="1"/>
    <col min="8967" max="8967" width="17.5703125" style="4" customWidth="1"/>
    <col min="8968" max="8968" width="14.140625" style="4" customWidth="1"/>
    <col min="8969" max="8970" width="13" style="4" customWidth="1"/>
    <col min="8971" max="8971" width="13.5703125" style="4" customWidth="1"/>
    <col min="8972" max="8972" width="13" style="4" customWidth="1"/>
    <col min="8973" max="8973" width="3.28515625" style="4" customWidth="1"/>
    <col min="8974" max="8974" width="2.140625" style="4" customWidth="1"/>
    <col min="8975" max="8975" width="1" style="4" customWidth="1"/>
    <col min="8976" max="8977" width="0" style="4" hidden="1" customWidth="1"/>
    <col min="8978" max="8978" width="6.7109375" style="4" customWidth="1"/>
    <col min="8979" max="8981" width="9.140625" style="4"/>
    <col min="8982" max="8982" width="13.5703125" style="4" bestFit="1" customWidth="1"/>
    <col min="8983" max="9216" width="9.140625" style="4"/>
    <col min="9217" max="9217" width="6.7109375" style="4" customWidth="1"/>
    <col min="9218" max="9218" width="2" style="4" customWidth="1"/>
    <col min="9219" max="9219" width="3.140625" style="4" customWidth="1"/>
    <col min="9220" max="9220" width="10.28515625" style="4" customWidth="1"/>
    <col min="9221" max="9222" width="13" style="4" customWidth="1"/>
    <col min="9223" max="9223" width="17.5703125" style="4" customWidth="1"/>
    <col min="9224" max="9224" width="14.140625" style="4" customWidth="1"/>
    <col min="9225" max="9226" width="13" style="4" customWidth="1"/>
    <col min="9227" max="9227" width="13.5703125" style="4" customWidth="1"/>
    <col min="9228" max="9228" width="13" style="4" customWidth="1"/>
    <col min="9229" max="9229" width="3.28515625" style="4" customWidth="1"/>
    <col min="9230" max="9230" width="2.140625" style="4" customWidth="1"/>
    <col min="9231" max="9231" width="1" style="4" customWidth="1"/>
    <col min="9232" max="9233" width="0" style="4" hidden="1" customWidth="1"/>
    <col min="9234" max="9234" width="6.7109375" style="4" customWidth="1"/>
    <col min="9235" max="9237" width="9.140625" style="4"/>
    <col min="9238" max="9238" width="13.5703125" style="4" bestFit="1" customWidth="1"/>
    <col min="9239" max="9472" width="9.140625" style="4"/>
    <col min="9473" max="9473" width="6.7109375" style="4" customWidth="1"/>
    <col min="9474" max="9474" width="2" style="4" customWidth="1"/>
    <col min="9475" max="9475" width="3.140625" style="4" customWidth="1"/>
    <col min="9476" max="9476" width="10.28515625" style="4" customWidth="1"/>
    <col min="9477" max="9478" width="13" style="4" customWidth="1"/>
    <col min="9479" max="9479" width="17.5703125" style="4" customWidth="1"/>
    <col min="9480" max="9480" width="14.140625" style="4" customWidth="1"/>
    <col min="9481" max="9482" width="13" style="4" customWidth="1"/>
    <col min="9483" max="9483" width="13.5703125" style="4" customWidth="1"/>
    <col min="9484" max="9484" width="13" style="4" customWidth="1"/>
    <col min="9485" max="9485" width="3.28515625" style="4" customWidth="1"/>
    <col min="9486" max="9486" width="2.140625" style="4" customWidth="1"/>
    <col min="9487" max="9487" width="1" style="4" customWidth="1"/>
    <col min="9488" max="9489" width="0" style="4" hidden="1" customWidth="1"/>
    <col min="9490" max="9490" width="6.7109375" style="4" customWidth="1"/>
    <col min="9491" max="9493" width="9.140625" style="4"/>
    <col min="9494" max="9494" width="13.5703125" style="4" bestFit="1" customWidth="1"/>
    <col min="9495" max="9728" width="9.140625" style="4"/>
    <col min="9729" max="9729" width="6.7109375" style="4" customWidth="1"/>
    <col min="9730" max="9730" width="2" style="4" customWidth="1"/>
    <col min="9731" max="9731" width="3.140625" style="4" customWidth="1"/>
    <col min="9732" max="9732" width="10.28515625" style="4" customWidth="1"/>
    <col min="9733" max="9734" width="13" style="4" customWidth="1"/>
    <col min="9735" max="9735" width="17.5703125" style="4" customWidth="1"/>
    <col min="9736" max="9736" width="14.140625" style="4" customWidth="1"/>
    <col min="9737" max="9738" width="13" style="4" customWidth="1"/>
    <col min="9739" max="9739" width="13.5703125" style="4" customWidth="1"/>
    <col min="9740" max="9740" width="13" style="4" customWidth="1"/>
    <col min="9741" max="9741" width="3.28515625" style="4" customWidth="1"/>
    <col min="9742" max="9742" width="2.140625" style="4" customWidth="1"/>
    <col min="9743" max="9743" width="1" style="4" customWidth="1"/>
    <col min="9744" max="9745" width="0" style="4" hidden="1" customWidth="1"/>
    <col min="9746" max="9746" width="6.7109375" style="4" customWidth="1"/>
    <col min="9747" max="9749" width="9.140625" style="4"/>
    <col min="9750" max="9750" width="13.5703125" style="4" bestFit="1" customWidth="1"/>
    <col min="9751" max="9984" width="9.140625" style="4"/>
    <col min="9985" max="9985" width="6.7109375" style="4" customWidth="1"/>
    <col min="9986" max="9986" width="2" style="4" customWidth="1"/>
    <col min="9987" max="9987" width="3.140625" style="4" customWidth="1"/>
    <col min="9988" max="9988" width="10.28515625" style="4" customWidth="1"/>
    <col min="9989" max="9990" width="13" style="4" customWidth="1"/>
    <col min="9991" max="9991" width="17.5703125" style="4" customWidth="1"/>
    <col min="9992" max="9992" width="14.140625" style="4" customWidth="1"/>
    <col min="9993" max="9994" width="13" style="4" customWidth="1"/>
    <col min="9995" max="9995" width="13.5703125" style="4" customWidth="1"/>
    <col min="9996" max="9996" width="13" style="4" customWidth="1"/>
    <col min="9997" max="9997" width="3.28515625" style="4" customWidth="1"/>
    <col min="9998" max="9998" width="2.140625" style="4" customWidth="1"/>
    <col min="9999" max="9999" width="1" style="4" customWidth="1"/>
    <col min="10000" max="10001" width="0" style="4" hidden="1" customWidth="1"/>
    <col min="10002" max="10002" width="6.7109375" style="4" customWidth="1"/>
    <col min="10003" max="10005" width="9.140625" style="4"/>
    <col min="10006" max="10006" width="13.5703125" style="4" bestFit="1" customWidth="1"/>
    <col min="10007" max="10240" width="9.140625" style="4"/>
    <col min="10241" max="10241" width="6.7109375" style="4" customWidth="1"/>
    <col min="10242" max="10242" width="2" style="4" customWidth="1"/>
    <col min="10243" max="10243" width="3.140625" style="4" customWidth="1"/>
    <col min="10244" max="10244" width="10.28515625" style="4" customWidth="1"/>
    <col min="10245" max="10246" width="13" style="4" customWidth="1"/>
    <col min="10247" max="10247" width="17.5703125" style="4" customWidth="1"/>
    <col min="10248" max="10248" width="14.140625" style="4" customWidth="1"/>
    <col min="10249" max="10250" width="13" style="4" customWidth="1"/>
    <col min="10251" max="10251" width="13.5703125" style="4" customWidth="1"/>
    <col min="10252" max="10252" width="13" style="4" customWidth="1"/>
    <col min="10253" max="10253" width="3.28515625" style="4" customWidth="1"/>
    <col min="10254" max="10254" width="2.140625" style="4" customWidth="1"/>
    <col min="10255" max="10255" width="1" style="4" customWidth="1"/>
    <col min="10256" max="10257" width="0" style="4" hidden="1" customWidth="1"/>
    <col min="10258" max="10258" width="6.7109375" style="4" customWidth="1"/>
    <col min="10259" max="10261" width="9.140625" style="4"/>
    <col min="10262" max="10262" width="13.5703125" style="4" bestFit="1" customWidth="1"/>
    <col min="10263" max="10496" width="9.140625" style="4"/>
    <col min="10497" max="10497" width="6.7109375" style="4" customWidth="1"/>
    <col min="10498" max="10498" width="2" style="4" customWidth="1"/>
    <col min="10499" max="10499" width="3.140625" style="4" customWidth="1"/>
    <col min="10500" max="10500" width="10.28515625" style="4" customWidth="1"/>
    <col min="10501" max="10502" width="13" style="4" customWidth="1"/>
    <col min="10503" max="10503" width="17.5703125" style="4" customWidth="1"/>
    <col min="10504" max="10504" width="14.140625" style="4" customWidth="1"/>
    <col min="10505" max="10506" width="13" style="4" customWidth="1"/>
    <col min="10507" max="10507" width="13.5703125" style="4" customWidth="1"/>
    <col min="10508" max="10508" width="13" style="4" customWidth="1"/>
    <col min="10509" max="10509" width="3.28515625" style="4" customWidth="1"/>
    <col min="10510" max="10510" width="2.140625" style="4" customWidth="1"/>
    <col min="10511" max="10511" width="1" style="4" customWidth="1"/>
    <col min="10512" max="10513" width="0" style="4" hidden="1" customWidth="1"/>
    <col min="10514" max="10514" width="6.7109375" style="4" customWidth="1"/>
    <col min="10515" max="10517" width="9.140625" style="4"/>
    <col min="10518" max="10518" width="13.5703125" style="4" bestFit="1" customWidth="1"/>
    <col min="10519" max="10752" width="9.140625" style="4"/>
    <col min="10753" max="10753" width="6.7109375" style="4" customWidth="1"/>
    <col min="10754" max="10754" width="2" style="4" customWidth="1"/>
    <col min="10755" max="10755" width="3.140625" style="4" customWidth="1"/>
    <col min="10756" max="10756" width="10.28515625" style="4" customWidth="1"/>
    <col min="10757" max="10758" width="13" style="4" customWidth="1"/>
    <col min="10759" max="10759" width="17.5703125" style="4" customWidth="1"/>
    <col min="10760" max="10760" width="14.140625" style="4" customWidth="1"/>
    <col min="10761" max="10762" width="13" style="4" customWidth="1"/>
    <col min="10763" max="10763" width="13.5703125" style="4" customWidth="1"/>
    <col min="10764" max="10764" width="13" style="4" customWidth="1"/>
    <col min="10765" max="10765" width="3.28515625" style="4" customWidth="1"/>
    <col min="10766" max="10766" width="2.140625" style="4" customWidth="1"/>
    <col min="10767" max="10767" width="1" style="4" customWidth="1"/>
    <col min="10768" max="10769" width="0" style="4" hidden="1" customWidth="1"/>
    <col min="10770" max="10770" width="6.7109375" style="4" customWidth="1"/>
    <col min="10771" max="10773" width="9.140625" style="4"/>
    <col min="10774" max="10774" width="13.5703125" style="4" bestFit="1" customWidth="1"/>
    <col min="10775" max="11008" width="9.140625" style="4"/>
    <col min="11009" max="11009" width="6.7109375" style="4" customWidth="1"/>
    <col min="11010" max="11010" width="2" style="4" customWidth="1"/>
    <col min="11011" max="11011" width="3.140625" style="4" customWidth="1"/>
    <col min="11012" max="11012" width="10.28515625" style="4" customWidth="1"/>
    <col min="11013" max="11014" width="13" style="4" customWidth="1"/>
    <col min="11015" max="11015" width="17.5703125" style="4" customWidth="1"/>
    <col min="11016" max="11016" width="14.140625" style="4" customWidth="1"/>
    <col min="11017" max="11018" width="13" style="4" customWidth="1"/>
    <col min="11019" max="11019" width="13.5703125" style="4" customWidth="1"/>
    <col min="11020" max="11020" width="13" style="4" customWidth="1"/>
    <col min="11021" max="11021" width="3.28515625" style="4" customWidth="1"/>
    <col min="11022" max="11022" width="2.140625" style="4" customWidth="1"/>
    <col min="11023" max="11023" width="1" style="4" customWidth="1"/>
    <col min="11024" max="11025" width="0" style="4" hidden="1" customWidth="1"/>
    <col min="11026" max="11026" width="6.7109375" style="4" customWidth="1"/>
    <col min="11027" max="11029" width="9.140625" style="4"/>
    <col min="11030" max="11030" width="13.5703125" style="4" bestFit="1" customWidth="1"/>
    <col min="11031" max="11264" width="9.140625" style="4"/>
    <col min="11265" max="11265" width="6.7109375" style="4" customWidth="1"/>
    <col min="11266" max="11266" width="2" style="4" customWidth="1"/>
    <col min="11267" max="11267" width="3.140625" style="4" customWidth="1"/>
    <col min="11268" max="11268" width="10.28515625" style="4" customWidth="1"/>
    <col min="11269" max="11270" width="13" style="4" customWidth="1"/>
    <col min="11271" max="11271" width="17.5703125" style="4" customWidth="1"/>
    <col min="11272" max="11272" width="14.140625" style="4" customWidth="1"/>
    <col min="11273" max="11274" width="13" style="4" customWidth="1"/>
    <col min="11275" max="11275" width="13.5703125" style="4" customWidth="1"/>
    <col min="11276" max="11276" width="13" style="4" customWidth="1"/>
    <col min="11277" max="11277" width="3.28515625" style="4" customWidth="1"/>
    <col min="11278" max="11278" width="2.140625" style="4" customWidth="1"/>
    <col min="11279" max="11279" width="1" style="4" customWidth="1"/>
    <col min="11280" max="11281" width="0" style="4" hidden="1" customWidth="1"/>
    <col min="11282" max="11282" width="6.7109375" style="4" customWidth="1"/>
    <col min="11283" max="11285" width="9.140625" style="4"/>
    <col min="11286" max="11286" width="13.5703125" style="4" bestFit="1" customWidth="1"/>
    <col min="11287" max="11520" width="9.140625" style="4"/>
    <col min="11521" max="11521" width="6.7109375" style="4" customWidth="1"/>
    <col min="11522" max="11522" width="2" style="4" customWidth="1"/>
    <col min="11523" max="11523" width="3.140625" style="4" customWidth="1"/>
    <col min="11524" max="11524" width="10.28515625" style="4" customWidth="1"/>
    <col min="11525" max="11526" width="13" style="4" customWidth="1"/>
    <col min="11527" max="11527" width="17.5703125" style="4" customWidth="1"/>
    <col min="11528" max="11528" width="14.140625" style="4" customWidth="1"/>
    <col min="11529" max="11530" width="13" style="4" customWidth="1"/>
    <col min="11531" max="11531" width="13.5703125" style="4" customWidth="1"/>
    <col min="11532" max="11532" width="13" style="4" customWidth="1"/>
    <col min="11533" max="11533" width="3.28515625" style="4" customWidth="1"/>
    <col min="11534" max="11534" width="2.140625" style="4" customWidth="1"/>
    <col min="11535" max="11535" width="1" style="4" customWidth="1"/>
    <col min="11536" max="11537" width="0" style="4" hidden="1" customWidth="1"/>
    <col min="11538" max="11538" width="6.7109375" style="4" customWidth="1"/>
    <col min="11539" max="11541" width="9.140625" style="4"/>
    <col min="11542" max="11542" width="13.5703125" style="4" bestFit="1" customWidth="1"/>
    <col min="11543" max="11776" width="9.140625" style="4"/>
    <col min="11777" max="11777" width="6.7109375" style="4" customWidth="1"/>
    <col min="11778" max="11778" width="2" style="4" customWidth="1"/>
    <col min="11779" max="11779" width="3.140625" style="4" customWidth="1"/>
    <col min="11780" max="11780" width="10.28515625" style="4" customWidth="1"/>
    <col min="11781" max="11782" width="13" style="4" customWidth="1"/>
    <col min="11783" max="11783" width="17.5703125" style="4" customWidth="1"/>
    <col min="11784" max="11784" width="14.140625" style="4" customWidth="1"/>
    <col min="11785" max="11786" width="13" style="4" customWidth="1"/>
    <col min="11787" max="11787" width="13.5703125" style="4" customWidth="1"/>
    <col min="11788" max="11788" width="13" style="4" customWidth="1"/>
    <col min="11789" max="11789" width="3.28515625" style="4" customWidth="1"/>
    <col min="11790" max="11790" width="2.140625" style="4" customWidth="1"/>
    <col min="11791" max="11791" width="1" style="4" customWidth="1"/>
    <col min="11792" max="11793" width="0" style="4" hidden="1" customWidth="1"/>
    <col min="11794" max="11794" width="6.7109375" style="4" customWidth="1"/>
    <col min="11795" max="11797" width="9.140625" style="4"/>
    <col min="11798" max="11798" width="13.5703125" style="4" bestFit="1" customWidth="1"/>
    <col min="11799" max="12032" width="9.140625" style="4"/>
    <col min="12033" max="12033" width="6.7109375" style="4" customWidth="1"/>
    <col min="12034" max="12034" width="2" style="4" customWidth="1"/>
    <col min="12035" max="12035" width="3.140625" style="4" customWidth="1"/>
    <col min="12036" max="12036" width="10.28515625" style="4" customWidth="1"/>
    <col min="12037" max="12038" width="13" style="4" customWidth="1"/>
    <col min="12039" max="12039" width="17.5703125" style="4" customWidth="1"/>
    <col min="12040" max="12040" width="14.140625" style="4" customWidth="1"/>
    <col min="12041" max="12042" width="13" style="4" customWidth="1"/>
    <col min="12043" max="12043" width="13.5703125" style="4" customWidth="1"/>
    <col min="12044" max="12044" width="13" style="4" customWidth="1"/>
    <col min="12045" max="12045" width="3.28515625" style="4" customWidth="1"/>
    <col min="12046" max="12046" width="2.140625" style="4" customWidth="1"/>
    <col min="12047" max="12047" width="1" style="4" customWidth="1"/>
    <col min="12048" max="12049" width="0" style="4" hidden="1" customWidth="1"/>
    <col min="12050" max="12050" width="6.7109375" style="4" customWidth="1"/>
    <col min="12051" max="12053" width="9.140625" style="4"/>
    <col min="12054" max="12054" width="13.5703125" style="4" bestFit="1" customWidth="1"/>
    <col min="12055" max="12288" width="9.140625" style="4"/>
    <col min="12289" max="12289" width="6.7109375" style="4" customWidth="1"/>
    <col min="12290" max="12290" width="2" style="4" customWidth="1"/>
    <col min="12291" max="12291" width="3.140625" style="4" customWidth="1"/>
    <col min="12292" max="12292" width="10.28515625" style="4" customWidth="1"/>
    <col min="12293" max="12294" width="13" style="4" customWidth="1"/>
    <col min="12295" max="12295" width="17.5703125" style="4" customWidth="1"/>
    <col min="12296" max="12296" width="14.140625" style="4" customWidth="1"/>
    <col min="12297" max="12298" width="13" style="4" customWidth="1"/>
    <col min="12299" max="12299" width="13.5703125" style="4" customWidth="1"/>
    <col min="12300" max="12300" width="13" style="4" customWidth="1"/>
    <col min="12301" max="12301" width="3.28515625" style="4" customWidth="1"/>
    <col min="12302" max="12302" width="2.140625" style="4" customWidth="1"/>
    <col min="12303" max="12303" width="1" style="4" customWidth="1"/>
    <col min="12304" max="12305" width="0" style="4" hidden="1" customWidth="1"/>
    <col min="12306" max="12306" width="6.7109375" style="4" customWidth="1"/>
    <col min="12307" max="12309" width="9.140625" style="4"/>
    <col min="12310" max="12310" width="13.5703125" style="4" bestFit="1" customWidth="1"/>
    <col min="12311" max="12544" width="9.140625" style="4"/>
    <col min="12545" max="12545" width="6.7109375" style="4" customWidth="1"/>
    <col min="12546" max="12546" width="2" style="4" customWidth="1"/>
    <col min="12547" max="12547" width="3.140625" style="4" customWidth="1"/>
    <col min="12548" max="12548" width="10.28515625" style="4" customWidth="1"/>
    <col min="12549" max="12550" width="13" style="4" customWidth="1"/>
    <col min="12551" max="12551" width="17.5703125" style="4" customWidth="1"/>
    <col min="12552" max="12552" width="14.140625" style="4" customWidth="1"/>
    <col min="12553" max="12554" width="13" style="4" customWidth="1"/>
    <col min="12555" max="12555" width="13.5703125" style="4" customWidth="1"/>
    <col min="12556" max="12556" width="13" style="4" customWidth="1"/>
    <col min="12557" max="12557" width="3.28515625" style="4" customWidth="1"/>
    <col min="12558" max="12558" width="2.140625" style="4" customWidth="1"/>
    <col min="12559" max="12559" width="1" style="4" customWidth="1"/>
    <col min="12560" max="12561" width="0" style="4" hidden="1" customWidth="1"/>
    <col min="12562" max="12562" width="6.7109375" style="4" customWidth="1"/>
    <col min="12563" max="12565" width="9.140625" style="4"/>
    <col min="12566" max="12566" width="13.5703125" style="4" bestFit="1" customWidth="1"/>
    <col min="12567" max="12800" width="9.140625" style="4"/>
    <col min="12801" max="12801" width="6.7109375" style="4" customWidth="1"/>
    <col min="12802" max="12802" width="2" style="4" customWidth="1"/>
    <col min="12803" max="12803" width="3.140625" style="4" customWidth="1"/>
    <col min="12804" max="12804" width="10.28515625" style="4" customWidth="1"/>
    <col min="12805" max="12806" width="13" style="4" customWidth="1"/>
    <col min="12807" max="12807" width="17.5703125" style="4" customWidth="1"/>
    <col min="12808" max="12808" width="14.140625" style="4" customWidth="1"/>
    <col min="12809" max="12810" width="13" style="4" customWidth="1"/>
    <col min="12811" max="12811" width="13.5703125" style="4" customWidth="1"/>
    <col min="12812" max="12812" width="13" style="4" customWidth="1"/>
    <col min="12813" max="12813" width="3.28515625" style="4" customWidth="1"/>
    <col min="12814" max="12814" width="2.140625" style="4" customWidth="1"/>
    <col min="12815" max="12815" width="1" style="4" customWidth="1"/>
    <col min="12816" max="12817" width="0" style="4" hidden="1" customWidth="1"/>
    <col min="12818" max="12818" width="6.7109375" style="4" customWidth="1"/>
    <col min="12819" max="12821" width="9.140625" style="4"/>
    <col min="12822" max="12822" width="13.5703125" style="4" bestFit="1" customWidth="1"/>
    <col min="12823" max="13056" width="9.140625" style="4"/>
    <col min="13057" max="13057" width="6.7109375" style="4" customWidth="1"/>
    <col min="13058" max="13058" width="2" style="4" customWidth="1"/>
    <col min="13059" max="13059" width="3.140625" style="4" customWidth="1"/>
    <col min="13060" max="13060" width="10.28515625" style="4" customWidth="1"/>
    <col min="13061" max="13062" width="13" style="4" customWidth="1"/>
    <col min="13063" max="13063" width="17.5703125" style="4" customWidth="1"/>
    <col min="13064" max="13064" width="14.140625" style="4" customWidth="1"/>
    <col min="13065" max="13066" width="13" style="4" customWidth="1"/>
    <col min="13067" max="13067" width="13.5703125" style="4" customWidth="1"/>
    <col min="13068" max="13068" width="13" style="4" customWidth="1"/>
    <col min="13069" max="13069" width="3.28515625" style="4" customWidth="1"/>
    <col min="13070" max="13070" width="2.140625" style="4" customWidth="1"/>
    <col min="13071" max="13071" width="1" style="4" customWidth="1"/>
    <col min="13072" max="13073" width="0" style="4" hidden="1" customWidth="1"/>
    <col min="13074" max="13074" width="6.7109375" style="4" customWidth="1"/>
    <col min="13075" max="13077" width="9.140625" style="4"/>
    <col min="13078" max="13078" width="13.5703125" style="4" bestFit="1" customWidth="1"/>
    <col min="13079" max="13312" width="9.140625" style="4"/>
    <col min="13313" max="13313" width="6.7109375" style="4" customWidth="1"/>
    <col min="13314" max="13314" width="2" style="4" customWidth="1"/>
    <col min="13315" max="13315" width="3.140625" style="4" customWidth="1"/>
    <col min="13316" max="13316" width="10.28515625" style="4" customWidth="1"/>
    <col min="13317" max="13318" width="13" style="4" customWidth="1"/>
    <col min="13319" max="13319" width="17.5703125" style="4" customWidth="1"/>
    <col min="13320" max="13320" width="14.140625" style="4" customWidth="1"/>
    <col min="13321" max="13322" width="13" style="4" customWidth="1"/>
    <col min="13323" max="13323" width="13.5703125" style="4" customWidth="1"/>
    <col min="13324" max="13324" width="13" style="4" customWidth="1"/>
    <col min="13325" max="13325" width="3.28515625" style="4" customWidth="1"/>
    <col min="13326" max="13326" width="2.140625" style="4" customWidth="1"/>
    <col min="13327" max="13327" width="1" style="4" customWidth="1"/>
    <col min="13328" max="13329" width="0" style="4" hidden="1" customWidth="1"/>
    <col min="13330" max="13330" width="6.7109375" style="4" customWidth="1"/>
    <col min="13331" max="13333" width="9.140625" style="4"/>
    <col min="13334" max="13334" width="13.5703125" style="4" bestFit="1" customWidth="1"/>
    <col min="13335" max="13568" width="9.140625" style="4"/>
    <col min="13569" max="13569" width="6.7109375" style="4" customWidth="1"/>
    <col min="13570" max="13570" width="2" style="4" customWidth="1"/>
    <col min="13571" max="13571" width="3.140625" style="4" customWidth="1"/>
    <col min="13572" max="13572" width="10.28515625" style="4" customWidth="1"/>
    <col min="13573" max="13574" width="13" style="4" customWidth="1"/>
    <col min="13575" max="13575" width="17.5703125" style="4" customWidth="1"/>
    <col min="13576" max="13576" width="14.140625" style="4" customWidth="1"/>
    <col min="13577" max="13578" width="13" style="4" customWidth="1"/>
    <col min="13579" max="13579" width="13.5703125" style="4" customWidth="1"/>
    <col min="13580" max="13580" width="13" style="4" customWidth="1"/>
    <col min="13581" max="13581" width="3.28515625" style="4" customWidth="1"/>
    <col min="13582" max="13582" width="2.140625" style="4" customWidth="1"/>
    <col min="13583" max="13583" width="1" style="4" customWidth="1"/>
    <col min="13584" max="13585" width="0" style="4" hidden="1" customWidth="1"/>
    <col min="13586" max="13586" width="6.7109375" style="4" customWidth="1"/>
    <col min="13587" max="13589" width="9.140625" style="4"/>
    <col min="13590" max="13590" width="13.5703125" style="4" bestFit="1" customWidth="1"/>
    <col min="13591" max="13824" width="9.140625" style="4"/>
    <col min="13825" max="13825" width="6.7109375" style="4" customWidth="1"/>
    <col min="13826" max="13826" width="2" style="4" customWidth="1"/>
    <col min="13827" max="13827" width="3.140625" style="4" customWidth="1"/>
    <col min="13828" max="13828" width="10.28515625" style="4" customWidth="1"/>
    <col min="13829" max="13830" width="13" style="4" customWidth="1"/>
    <col min="13831" max="13831" width="17.5703125" style="4" customWidth="1"/>
    <col min="13832" max="13832" width="14.140625" style="4" customWidth="1"/>
    <col min="13833" max="13834" width="13" style="4" customWidth="1"/>
    <col min="13835" max="13835" width="13.5703125" style="4" customWidth="1"/>
    <col min="13836" max="13836" width="13" style="4" customWidth="1"/>
    <col min="13837" max="13837" width="3.28515625" style="4" customWidth="1"/>
    <col min="13838" max="13838" width="2.140625" style="4" customWidth="1"/>
    <col min="13839" max="13839" width="1" style="4" customWidth="1"/>
    <col min="13840" max="13841" width="0" style="4" hidden="1" customWidth="1"/>
    <col min="13842" max="13842" width="6.7109375" style="4" customWidth="1"/>
    <col min="13843" max="13845" width="9.140625" style="4"/>
    <col min="13846" max="13846" width="13.5703125" style="4" bestFit="1" customWidth="1"/>
    <col min="13847" max="14080" width="9.140625" style="4"/>
    <col min="14081" max="14081" width="6.7109375" style="4" customWidth="1"/>
    <col min="14082" max="14082" width="2" style="4" customWidth="1"/>
    <col min="14083" max="14083" width="3.140625" style="4" customWidth="1"/>
    <col min="14084" max="14084" width="10.28515625" style="4" customWidth="1"/>
    <col min="14085" max="14086" width="13" style="4" customWidth="1"/>
    <col min="14087" max="14087" width="17.5703125" style="4" customWidth="1"/>
    <col min="14088" max="14088" width="14.140625" style="4" customWidth="1"/>
    <col min="14089" max="14090" width="13" style="4" customWidth="1"/>
    <col min="14091" max="14091" width="13.5703125" style="4" customWidth="1"/>
    <col min="14092" max="14092" width="13" style="4" customWidth="1"/>
    <col min="14093" max="14093" width="3.28515625" style="4" customWidth="1"/>
    <col min="14094" max="14094" width="2.140625" style="4" customWidth="1"/>
    <col min="14095" max="14095" width="1" style="4" customWidth="1"/>
    <col min="14096" max="14097" width="0" style="4" hidden="1" customWidth="1"/>
    <col min="14098" max="14098" width="6.7109375" style="4" customWidth="1"/>
    <col min="14099" max="14101" width="9.140625" style="4"/>
    <col min="14102" max="14102" width="13.5703125" style="4" bestFit="1" customWidth="1"/>
    <col min="14103" max="14336" width="9.140625" style="4"/>
    <col min="14337" max="14337" width="6.7109375" style="4" customWidth="1"/>
    <col min="14338" max="14338" width="2" style="4" customWidth="1"/>
    <col min="14339" max="14339" width="3.140625" style="4" customWidth="1"/>
    <col min="14340" max="14340" width="10.28515625" style="4" customWidth="1"/>
    <col min="14341" max="14342" width="13" style="4" customWidth="1"/>
    <col min="14343" max="14343" width="17.5703125" style="4" customWidth="1"/>
    <col min="14344" max="14344" width="14.140625" style="4" customWidth="1"/>
    <col min="14345" max="14346" width="13" style="4" customWidth="1"/>
    <col min="14347" max="14347" width="13.5703125" style="4" customWidth="1"/>
    <col min="14348" max="14348" width="13" style="4" customWidth="1"/>
    <col min="14349" max="14349" width="3.28515625" style="4" customWidth="1"/>
    <col min="14350" max="14350" width="2.140625" style="4" customWidth="1"/>
    <col min="14351" max="14351" width="1" style="4" customWidth="1"/>
    <col min="14352" max="14353" width="0" style="4" hidden="1" customWidth="1"/>
    <col min="14354" max="14354" width="6.7109375" style="4" customWidth="1"/>
    <col min="14355" max="14357" width="9.140625" style="4"/>
    <col min="14358" max="14358" width="13.5703125" style="4" bestFit="1" customWidth="1"/>
    <col min="14359" max="14592" width="9.140625" style="4"/>
    <col min="14593" max="14593" width="6.7109375" style="4" customWidth="1"/>
    <col min="14594" max="14594" width="2" style="4" customWidth="1"/>
    <col min="14595" max="14595" width="3.140625" style="4" customWidth="1"/>
    <col min="14596" max="14596" width="10.28515625" style="4" customWidth="1"/>
    <col min="14597" max="14598" width="13" style="4" customWidth="1"/>
    <col min="14599" max="14599" width="17.5703125" style="4" customWidth="1"/>
    <col min="14600" max="14600" width="14.140625" style="4" customWidth="1"/>
    <col min="14601" max="14602" width="13" style="4" customWidth="1"/>
    <col min="14603" max="14603" width="13.5703125" style="4" customWidth="1"/>
    <col min="14604" max="14604" width="13" style="4" customWidth="1"/>
    <col min="14605" max="14605" width="3.28515625" style="4" customWidth="1"/>
    <col min="14606" max="14606" width="2.140625" style="4" customWidth="1"/>
    <col min="14607" max="14607" width="1" style="4" customWidth="1"/>
    <col min="14608" max="14609" width="0" style="4" hidden="1" customWidth="1"/>
    <col min="14610" max="14610" width="6.7109375" style="4" customWidth="1"/>
    <col min="14611" max="14613" width="9.140625" style="4"/>
    <col min="14614" max="14614" width="13.5703125" style="4" bestFit="1" customWidth="1"/>
    <col min="14615" max="14848" width="9.140625" style="4"/>
    <col min="14849" max="14849" width="6.7109375" style="4" customWidth="1"/>
    <col min="14850" max="14850" width="2" style="4" customWidth="1"/>
    <col min="14851" max="14851" width="3.140625" style="4" customWidth="1"/>
    <col min="14852" max="14852" width="10.28515625" style="4" customWidth="1"/>
    <col min="14853" max="14854" width="13" style="4" customWidth="1"/>
    <col min="14855" max="14855" width="17.5703125" style="4" customWidth="1"/>
    <col min="14856" max="14856" width="14.140625" style="4" customWidth="1"/>
    <col min="14857" max="14858" width="13" style="4" customWidth="1"/>
    <col min="14859" max="14859" width="13.5703125" style="4" customWidth="1"/>
    <col min="14860" max="14860" width="13" style="4" customWidth="1"/>
    <col min="14861" max="14861" width="3.28515625" style="4" customWidth="1"/>
    <col min="14862" max="14862" width="2.140625" style="4" customWidth="1"/>
    <col min="14863" max="14863" width="1" style="4" customWidth="1"/>
    <col min="14864" max="14865" width="0" style="4" hidden="1" customWidth="1"/>
    <col min="14866" max="14866" width="6.7109375" style="4" customWidth="1"/>
    <col min="14867" max="14869" width="9.140625" style="4"/>
    <col min="14870" max="14870" width="13.5703125" style="4" bestFit="1" customWidth="1"/>
    <col min="14871" max="15104" width="9.140625" style="4"/>
    <col min="15105" max="15105" width="6.7109375" style="4" customWidth="1"/>
    <col min="15106" max="15106" width="2" style="4" customWidth="1"/>
    <col min="15107" max="15107" width="3.140625" style="4" customWidth="1"/>
    <col min="15108" max="15108" width="10.28515625" style="4" customWidth="1"/>
    <col min="15109" max="15110" width="13" style="4" customWidth="1"/>
    <col min="15111" max="15111" width="17.5703125" style="4" customWidth="1"/>
    <col min="15112" max="15112" width="14.140625" style="4" customWidth="1"/>
    <col min="15113" max="15114" width="13" style="4" customWidth="1"/>
    <col min="15115" max="15115" width="13.5703125" style="4" customWidth="1"/>
    <col min="15116" max="15116" width="13" style="4" customWidth="1"/>
    <col min="15117" max="15117" width="3.28515625" style="4" customWidth="1"/>
    <col min="15118" max="15118" width="2.140625" style="4" customWidth="1"/>
    <col min="15119" max="15119" width="1" style="4" customWidth="1"/>
    <col min="15120" max="15121" width="0" style="4" hidden="1" customWidth="1"/>
    <col min="15122" max="15122" width="6.7109375" style="4" customWidth="1"/>
    <col min="15123" max="15125" width="9.140625" style="4"/>
    <col min="15126" max="15126" width="13.5703125" style="4" bestFit="1" customWidth="1"/>
    <col min="15127" max="15360" width="9.140625" style="4"/>
    <col min="15361" max="15361" width="6.7109375" style="4" customWidth="1"/>
    <col min="15362" max="15362" width="2" style="4" customWidth="1"/>
    <col min="15363" max="15363" width="3.140625" style="4" customWidth="1"/>
    <col min="15364" max="15364" width="10.28515625" style="4" customWidth="1"/>
    <col min="15365" max="15366" width="13" style="4" customWidth="1"/>
    <col min="15367" max="15367" width="17.5703125" style="4" customWidth="1"/>
    <col min="15368" max="15368" width="14.140625" style="4" customWidth="1"/>
    <col min="15369" max="15370" width="13" style="4" customWidth="1"/>
    <col min="15371" max="15371" width="13.5703125" style="4" customWidth="1"/>
    <col min="15372" max="15372" width="13" style="4" customWidth="1"/>
    <col min="15373" max="15373" width="3.28515625" style="4" customWidth="1"/>
    <col min="15374" max="15374" width="2.140625" style="4" customWidth="1"/>
    <col min="15375" max="15375" width="1" style="4" customWidth="1"/>
    <col min="15376" max="15377" width="0" style="4" hidden="1" customWidth="1"/>
    <col min="15378" max="15378" width="6.7109375" style="4" customWidth="1"/>
    <col min="15379" max="15381" width="9.140625" style="4"/>
    <col min="15382" max="15382" width="13.5703125" style="4" bestFit="1" customWidth="1"/>
    <col min="15383" max="15616" width="9.140625" style="4"/>
    <col min="15617" max="15617" width="6.7109375" style="4" customWidth="1"/>
    <col min="15618" max="15618" width="2" style="4" customWidth="1"/>
    <col min="15619" max="15619" width="3.140625" style="4" customWidth="1"/>
    <col min="15620" max="15620" width="10.28515625" style="4" customWidth="1"/>
    <col min="15621" max="15622" width="13" style="4" customWidth="1"/>
    <col min="15623" max="15623" width="17.5703125" style="4" customWidth="1"/>
    <col min="15624" max="15624" width="14.140625" style="4" customWidth="1"/>
    <col min="15625" max="15626" width="13" style="4" customWidth="1"/>
    <col min="15627" max="15627" width="13.5703125" style="4" customWidth="1"/>
    <col min="15628" max="15628" width="13" style="4" customWidth="1"/>
    <col min="15629" max="15629" width="3.28515625" style="4" customWidth="1"/>
    <col min="15630" max="15630" width="2.140625" style="4" customWidth="1"/>
    <col min="15631" max="15631" width="1" style="4" customWidth="1"/>
    <col min="15632" max="15633" width="0" style="4" hidden="1" customWidth="1"/>
    <col min="15634" max="15634" width="6.7109375" style="4" customWidth="1"/>
    <col min="15635" max="15637" width="9.140625" style="4"/>
    <col min="15638" max="15638" width="13.5703125" style="4" bestFit="1" customWidth="1"/>
    <col min="15639" max="15872" width="9.140625" style="4"/>
    <col min="15873" max="15873" width="6.7109375" style="4" customWidth="1"/>
    <col min="15874" max="15874" width="2" style="4" customWidth="1"/>
    <col min="15875" max="15875" width="3.140625" style="4" customWidth="1"/>
    <col min="15876" max="15876" width="10.28515625" style="4" customWidth="1"/>
    <col min="15877" max="15878" width="13" style="4" customWidth="1"/>
    <col min="15879" max="15879" width="17.5703125" style="4" customWidth="1"/>
    <col min="15880" max="15880" width="14.140625" style="4" customWidth="1"/>
    <col min="15881" max="15882" width="13" style="4" customWidth="1"/>
    <col min="15883" max="15883" width="13.5703125" style="4" customWidth="1"/>
    <col min="15884" max="15884" width="13" style="4" customWidth="1"/>
    <col min="15885" max="15885" width="3.28515625" style="4" customWidth="1"/>
    <col min="15886" max="15886" width="2.140625" style="4" customWidth="1"/>
    <col min="15887" max="15887" width="1" style="4" customWidth="1"/>
    <col min="15888" max="15889" width="0" style="4" hidden="1" customWidth="1"/>
    <col min="15890" max="15890" width="6.7109375" style="4" customWidth="1"/>
    <col min="15891" max="15893" width="9.140625" style="4"/>
    <col min="15894" max="15894" width="13.5703125" style="4" bestFit="1" customWidth="1"/>
    <col min="15895" max="16128" width="9.140625" style="4"/>
    <col min="16129" max="16129" width="6.7109375" style="4" customWidth="1"/>
    <col min="16130" max="16130" width="2" style="4" customWidth="1"/>
    <col min="16131" max="16131" width="3.140625" style="4" customWidth="1"/>
    <col min="16132" max="16132" width="10.28515625" style="4" customWidth="1"/>
    <col min="16133" max="16134" width="13" style="4" customWidth="1"/>
    <col min="16135" max="16135" width="17.5703125" style="4" customWidth="1"/>
    <col min="16136" max="16136" width="14.140625" style="4" customWidth="1"/>
    <col min="16137" max="16138" width="13" style="4" customWidth="1"/>
    <col min="16139" max="16139" width="13.5703125" style="4" customWidth="1"/>
    <col min="16140" max="16140" width="13" style="4" customWidth="1"/>
    <col min="16141" max="16141" width="3.28515625" style="4" customWidth="1"/>
    <col min="16142" max="16142" width="2.140625" style="4" customWidth="1"/>
    <col min="16143" max="16143" width="1" style="4" customWidth="1"/>
    <col min="16144" max="16145" width="0" style="4" hidden="1" customWidth="1"/>
    <col min="16146" max="16146" width="6.7109375" style="4" customWidth="1"/>
    <col min="16147" max="16149" width="9.140625" style="4"/>
    <col min="16150" max="16150" width="13.5703125" style="4" bestFit="1" customWidth="1"/>
    <col min="16151" max="16384" width="9.140625" style="4"/>
  </cols>
  <sheetData>
    <row r="1" spans="1:22" s="284" customFormat="1" ht="17.25" customHeight="1" x14ac:dyDescent="0.25">
      <c r="A1" s="2" t="s">
        <v>525</v>
      </c>
      <c r="B1"/>
      <c r="C1"/>
      <c r="D1"/>
      <c r="E1"/>
      <c r="F1"/>
      <c r="G1"/>
      <c r="H1"/>
      <c r="I1"/>
    </row>
    <row r="2" spans="1:22" s="284" customFormat="1" ht="17.25" customHeight="1" thickBot="1" x14ac:dyDescent="0.3">
      <c r="A2"/>
      <c r="B2"/>
      <c r="C2"/>
      <c r="D2"/>
      <c r="E2"/>
      <c r="F2" s="51" t="s">
        <v>344</v>
      </c>
      <c r="G2"/>
      <c r="H2"/>
      <c r="I2"/>
      <c r="Q2"/>
      <c r="R2" s="699" t="s">
        <v>476</v>
      </c>
      <c r="S2" s="699"/>
      <c r="T2"/>
    </row>
    <row r="3" spans="1:22" s="284" customFormat="1" ht="26.25" x14ac:dyDescent="0.25">
      <c r="B3" s="691" t="s">
        <v>479</v>
      </c>
      <c r="C3" s="692"/>
      <c r="D3" s="692"/>
      <c r="E3" s="692"/>
      <c r="F3" s="692"/>
      <c r="G3" s="692"/>
      <c r="H3" s="692"/>
      <c r="I3" s="692"/>
      <c r="J3" s="692"/>
      <c r="K3" s="692"/>
      <c r="L3" s="692"/>
      <c r="M3" s="692"/>
      <c r="N3" s="693"/>
      <c r="R3" s="688">
        <f>VLOOKUP($R$2,'FRC Motors'!$A$4:$Q$22,17,FALSE)</f>
        <v>0</v>
      </c>
      <c r="S3" s="689"/>
      <c r="T3" s="689"/>
      <c r="U3" s="689"/>
      <c r="V3" s="690"/>
    </row>
    <row r="4" spans="1:22" s="284" customFormat="1" ht="11.25" customHeight="1" thickBot="1" x14ac:dyDescent="0.3">
      <c r="B4" s="285"/>
      <c r="N4" s="286"/>
    </row>
    <row r="5" spans="1:22" s="284" customFormat="1" ht="20.25" x14ac:dyDescent="0.25">
      <c r="B5" s="285"/>
      <c r="C5" s="681" t="s">
        <v>407</v>
      </c>
      <c r="D5" s="682"/>
      <c r="E5" s="682"/>
      <c r="F5" s="682"/>
      <c r="G5" s="682"/>
      <c r="H5" s="682"/>
      <c r="I5" s="682"/>
      <c r="J5" s="682"/>
      <c r="K5" s="682"/>
      <c r="L5" s="682"/>
      <c r="M5" s="683"/>
      <c r="N5" s="286"/>
    </row>
    <row r="6" spans="1:22" s="284" customFormat="1" ht="9" customHeight="1" x14ac:dyDescent="0.25">
      <c r="B6" s="285"/>
      <c r="C6" s="287"/>
      <c r="D6" s="288"/>
      <c r="E6" s="288"/>
      <c r="F6" s="288"/>
      <c r="G6" s="288"/>
      <c r="H6" s="288"/>
      <c r="I6" s="288"/>
      <c r="J6" s="288"/>
      <c r="K6" s="288"/>
      <c r="L6" s="288"/>
      <c r="M6" s="289"/>
      <c r="N6" s="286"/>
    </row>
    <row r="7" spans="1:22" s="284" customFormat="1" ht="9" customHeight="1" x14ac:dyDescent="0.2">
      <c r="B7" s="285"/>
      <c r="C7" s="287"/>
      <c r="D7" s="288"/>
      <c r="E7" s="290" t="s">
        <v>298</v>
      </c>
      <c r="F7" s="288"/>
      <c r="G7" s="288"/>
      <c r="H7" s="288"/>
      <c r="I7" s="288"/>
      <c r="J7" s="288"/>
      <c r="K7" s="288"/>
      <c r="L7" s="288"/>
      <c r="M7" s="289"/>
      <c r="N7" s="286"/>
    </row>
    <row r="8" spans="1:22" s="154" customFormat="1" ht="45.75" thickBot="1" x14ac:dyDescent="0.3">
      <c r="B8" s="155"/>
      <c r="C8" s="155"/>
      <c r="E8" s="406" t="s">
        <v>408</v>
      </c>
      <c r="F8" s="406" t="s">
        <v>299</v>
      </c>
      <c r="G8" s="406" t="s">
        <v>300</v>
      </c>
      <c r="H8" s="406" t="s">
        <v>301</v>
      </c>
      <c r="I8" s="406" t="s">
        <v>302</v>
      </c>
      <c r="J8" s="406" t="s">
        <v>303</v>
      </c>
      <c r="M8" s="157"/>
      <c r="N8" s="157"/>
      <c r="R8" s="81" t="s">
        <v>180</v>
      </c>
      <c r="S8" s="77">
        <f>VLOOKUP($R$2,'FRC Motors'!$A$4:$Q$22,4,FALSE)</f>
        <v>340.11</v>
      </c>
      <c r="T8" s="78" t="s">
        <v>181</v>
      </c>
      <c r="U8" s="79">
        <f>S8*0.00134</f>
        <v>0.45574740000000002</v>
      </c>
      <c r="V8" s="80" t="s">
        <v>189</v>
      </c>
    </row>
    <row r="9" spans="1:22" s="159" customFormat="1" ht="15.75" x14ac:dyDescent="0.25">
      <c r="B9" s="160"/>
      <c r="C9" s="160"/>
      <c r="E9" s="171">
        <v>12</v>
      </c>
      <c r="F9" s="201">
        <f>U10</f>
        <v>12</v>
      </c>
      <c r="G9" s="202">
        <f>S9</f>
        <v>5310</v>
      </c>
      <c r="H9" s="203">
        <f>U14</f>
        <v>2.4291416666666668</v>
      </c>
      <c r="I9" s="201">
        <f>S13</f>
        <v>133</v>
      </c>
      <c r="J9" s="201">
        <f>S10</f>
        <v>2.7</v>
      </c>
      <c r="M9" s="291"/>
      <c r="N9" s="291"/>
      <c r="R9" s="86" t="s">
        <v>183</v>
      </c>
      <c r="S9" s="87">
        <f>VLOOKUP($R$2,'FRC Motors'!$A$4:$Q$22,8,FALSE)</f>
        <v>5310</v>
      </c>
      <c r="T9" s="88" t="s">
        <v>91</v>
      </c>
      <c r="U9" s="87">
        <f>S9*2*PI()/60</f>
        <v>556.06189968539343</v>
      </c>
      <c r="V9" s="89" t="s">
        <v>187</v>
      </c>
    </row>
    <row r="10" spans="1:22" s="292" customFormat="1" ht="17.25" hidden="1" customHeight="1" x14ac:dyDescent="0.25">
      <c r="B10" s="293"/>
      <c r="C10" s="293"/>
      <c r="F10" s="294" t="s">
        <v>409</v>
      </c>
      <c r="G10" s="295">
        <f>G9*(E9/F9)</f>
        <v>5310</v>
      </c>
      <c r="H10" s="295">
        <f>(H9*F14)*(E9/F9)</f>
        <v>4.8582833333333335</v>
      </c>
      <c r="I10" s="295">
        <f>(I9*F14)*(E9/F9)</f>
        <v>266</v>
      </c>
      <c r="J10" s="295">
        <f>(J9*F14)*(E9/F9)</f>
        <v>5.4</v>
      </c>
      <c r="M10" s="296"/>
      <c r="N10" s="296"/>
      <c r="R10" s="82" t="s">
        <v>182</v>
      </c>
      <c r="S10" s="83">
        <f>VLOOKUP($R$2,'FRC Motors'!$A$4:$Q$22,9,FALSE)</f>
        <v>2.7</v>
      </c>
      <c r="T10" s="84" t="s">
        <v>329</v>
      </c>
      <c r="U10" s="83">
        <f>VLOOKUP($R$2,'FRC Motors'!$A$4:$Q$22,11,FALSE)</f>
        <v>12</v>
      </c>
      <c r="V10" s="85" t="s">
        <v>330</v>
      </c>
    </row>
    <row r="11" spans="1:22" ht="9" customHeight="1" x14ac:dyDescent="0.25">
      <c r="B11" s="151"/>
      <c r="C11" s="151"/>
      <c r="F11" s="297"/>
      <c r="G11" s="159"/>
      <c r="H11" s="159"/>
      <c r="I11" s="159"/>
      <c r="J11" s="159"/>
      <c r="M11" s="153"/>
      <c r="N11" s="153"/>
    </row>
    <row r="12" spans="1:22" ht="12" customHeight="1" x14ac:dyDescent="0.25">
      <c r="B12" s="151"/>
      <c r="C12" s="151"/>
      <c r="E12" s="152" t="s">
        <v>410</v>
      </c>
      <c r="F12" s="297"/>
      <c r="G12" s="159"/>
      <c r="H12" s="159"/>
      <c r="I12" s="159"/>
      <c r="J12" s="159"/>
      <c r="M12" s="153"/>
      <c r="N12" s="153"/>
      <c r="R12" s="298"/>
      <c r="S12" s="298"/>
      <c r="T12" s="298"/>
      <c r="U12" s="298"/>
      <c r="V12" s="298"/>
    </row>
    <row r="13" spans="1:22" ht="45.75" thickBot="1" x14ac:dyDescent="0.3">
      <c r="B13" s="151"/>
      <c r="C13" s="151"/>
      <c r="E13" s="406" t="s">
        <v>411</v>
      </c>
      <c r="F13" s="406" t="s">
        <v>412</v>
      </c>
      <c r="G13" s="406" t="s">
        <v>413</v>
      </c>
      <c r="H13" s="406" t="s">
        <v>414</v>
      </c>
      <c r="I13" s="406" t="s">
        <v>415</v>
      </c>
      <c r="J13" s="406" t="s">
        <v>416</v>
      </c>
      <c r="K13" s="406" t="s">
        <v>417</v>
      </c>
      <c r="L13" s="406" t="s">
        <v>418</v>
      </c>
      <c r="M13" s="153"/>
      <c r="N13" s="153"/>
      <c r="R13" s="73" t="s">
        <v>184</v>
      </c>
      <c r="S13" s="74">
        <f>VLOOKUP($R$2,'FRC Motors'!$A$4:$Q$22,10,FALSE)</f>
        <v>133</v>
      </c>
      <c r="T13" s="75"/>
      <c r="U13" s="75"/>
      <c r="V13" s="76"/>
    </row>
    <row r="14" spans="1:22" s="298" customFormat="1" ht="20.25" customHeight="1" x14ac:dyDescent="0.25">
      <c r="B14" s="299"/>
      <c r="C14" s="299"/>
      <c r="E14" s="182">
        <v>2</v>
      </c>
      <c r="F14" s="182">
        <v>2</v>
      </c>
      <c r="G14" s="182">
        <v>6</v>
      </c>
      <c r="H14" s="182">
        <v>1</v>
      </c>
      <c r="I14" s="182">
        <v>150</v>
      </c>
      <c r="J14" s="300">
        <v>1</v>
      </c>
      <c r="K14" s="300">
        <v>0.81</v>
      </c>
      <c r="L14" s="300">
        <v>0.85</v>
      </c>
      <c r="M14" s="301"/>
      <c r="N14" s="301"/>
      <c r="R14" s="86" t="s">
        <v>185</v>
      </c>
      <c r="S14" s="149">
        <f>VLOOKUP($R$2,'FRC Motors'!$A$4:$Q$22,6,FALSE)</f>
        <v>1.7916666666666667</v>
      </c>
      <c r="T14" s="150" t="s">
        <v>92</v>
      </c>
      <c r="U14" s="149">
        <f>VLOOKUP($R$2,'FRC Motors'!$A$4:$Q$22,7,FALSE)</f>
        <v>2.4291416666666668</v>
      </c>
      <c r="V14" s="91" t="s">
        <v>186</v>
      </c>
    </row>
    <row r="15" spans="1:22" ht="9" customHeight="1" thickBot="1" x14ac:dyDescent="0.3">
      <c r="B15" s="151"/>
      <c r="C15" s="194"/>
      <c r="D15" s="195"/>
      <c r="E15" s="195"/>
      <c r="F15" s="195"/>
      <c r="G15" s="195"/>
      <c r="H15" s="195"/>
      <c r="I15" s="195"/>
      <c r="J15" s="195"/>
      <c r="K15" s="195"/>
      <c r="L15" s="195"/>
      <c r="M15" s="196"/>
      <c r="N15" s="153"/>
    </row>
    <row r="16" spans="1:22" s="303" customFormat="1" ht="63" hidden="1" customHeight="1" x14ac:dyDescent="0.25">
      <c r="B16" s="304"/>
      <c r="E16" s="305" t="s">
        <v>419</v>
      </c>
      <c r="F16" s="305" t="s">
        <v>420</v>
      </c>
      <c r="G16" s="305"/>
      <c r="H16" s="305" t="s">
        <v>421</v>
      </c>
      <c r="I16" s="305" t="s">
        <v>422</v>
      </c>
      <c r="J16" s="305" t="s">
        <v>423</v>
      </c>
      <c r="K16" s="305" t="s">
        <v>424</v>
      </c>
      <c r="L16" s="305" t="s">
        <v>425</v>
      </c>
      <c r="M16" s="305"/>
      <c r="N16" s="296"/>
      <c r="O16" s="303" t="s">
        <v>326</v>
      </c>
      <c r="P16" s="306">
        <f>G22*O17</f>
        <v>0.20400000000000001</v>
      </c>
      <c r="Q16" s="306">
        <f>G24*P17</f>
        <v>0.20400000000000001</v>
      </c>
    </row>
    <row r="17" spans="2:22" s="307" customFormat="1" ht="15.75" hidden="1" customHeight="1" x14ac:dyDescent="0.25">
      <c r="B17" s="308"/>
      <c r="E17" s="307">
        <f>G14*0.0254/2</f>
        <v>7.619999999999999E-2</v>
      </c>
      <c r="F17" s="307">
        <f>E17*2*PI()</f>
        <v>0.47877872040708441</v>
      </c>
      <c r="H17" s="309">
        <f>(I14)*J14*H14</f>
        <v>150</v>
      </c>
      <c r="I17" s="307">
        <f>H17/E14</f>
        <v>75</v>
      </c>
      <c r="J17" s="307">
        <f>I17*4.44822161526</f>
        <v>333.61662114449996</v>
      </c>
      <c r="K17" s="307">
        <f>J17*E17</f>
        <v>25.421586531210895</v>
      </c>
      <c r="L17" s="307">
        <f>K17/L14</f>
        <v>29.907748860248113</v>
      </c>
      <c r="N17" s="296"/>
      <c r="O17" s="306">
        <f>G21</f>
        <v>0.3</v>
      </c>
      <c r="P17" s="306">
        <f>G23*P16</f>
        <v>0.20400000000000001</v>
      </c>
      <c r="Q17" s="306">
        <f>G25*Q16</f>
        <v>0.20400000000000001</v>
      </c>
    </row>
    <row r="18" spans="2:22" ht="20.25" x14ac:dyDescent="0.25">
      <c r="B18" s="151"/>
      <c r="C18" s="681" t="s">
        <v>426</v>
      </c>
      <c r="D18" s="682"/>
      <c r="E18" s="682"/>
      <c r="F18" s="682"/>
      <c r="G18" s="682"/>
      <c r="H18" s="682"/>
      <c r="I18" s="682"/>
      <c r="J18" s="682"/>
      <c r="K18" s="682"/>
      <c r="L18" s="682"/>
      <c r="M18" s="683"/>
      <c r="N18" s="153"/>
    </row>
    <row r="19" spans="2:22" s="166" customFormat="1" ht="15.75" customHeight="1" x14ac:dyDescent="0.25">
      <c r="B19" s="312"/>
      <c r="C19" s="312"/>
      <c r="E19" s="694" t="s">
        <v>480</v>
      </c>
      <c r="F19" s="695"/>
      <c r="G19" s="695"/>
      <c r="J19" s="694" t="s">
        <v>481</v>
      </c>
      <c r="K19" s="694"/>
      <c r="L19" s="694"/>
      <c r="M19" s="167"/>
      <c r="N19" s="167"/>
      <c r="R19" s="4"/>
      <c r="S19" s="4"/>
      <c r="T19" s="4"/>
      <c r="U19" s="4"/>
      <c r="V19" s="4"/>
    </row>
    <row r="20" spans="2:22" s="169" customFormat="1" ht="33" customHeight="1" thickBot="1" x14ac:dyDescent="0.3">
      <c r="B20" s="315"/>
      <c r="C20" s="315"/>
      <c r="E20" s="406" t="s">
        <v>428</v>
      </c>
      <c r="F20" s="406" t="s">
        <v>429</v>
      </c>
      <c r="G20" s="406" t="s">
        <v>49</v>
      </c>
      <c r="I20" s="408"/>
      <c r="J20" s="406" t="s">
        <v>482</v>
      </c>
      <c r="K20" s="406" t="s">
        <v>483</v>
      </c>
      <c r="L20" s="406" t="s">
        <v>49</v>
      </c>
      <c r="M20" s="318"/>
      <c r="N20" s="318"/>
      <c r="R20" s="4"/>
      <c r="S20" s="4"/>
      <c r="T20" s="4"/>
      <c r="U20" s="4"/>
      <c r="V20" s="4"/>
    </row>
    <row r="21" spans="2:22" s="161" customFormat="1" ht="15.75" x14ac:dyDescent="0.25">
      <c r="B21" s="319"/>
      <c r="C21" s="319"/>
      <c r="D21" s="320" t="s">
        <v>155</v>
      </c>
      <c r="E21" s="171">
        <v>12</v>
      </c>
      <c r="F21" s="171">
        <v>40</v>
      </c>
      <c r="G21" s="321">
        <f>E21/F21</f>
        <v>0.3</v>
      </c>
      <c r="I21" s="409" t="s">
        <v>484</v>
      </c>
      <c r="J21" s="410">
        <v>24</v>
      </c>
      <c r="K21" s="410">
        <v>60</v>
      </c>
      <c r="L21" s="321">
        <f>J21/K21</f>
        <v>0.4</v>
      </c>
      <c r="M21" s="162"/>
      <c r="N21" s="162"/>
      <c r="R21" s="4"/>
      <c r="S21" s="4"/>
      <c r="T21" s="4"/>
      <c r="U21" s="4"/>
      <c r="V21" s="4"/>
    </row>
    <row r="22" spans="2:22" ht="15.75" x14ac:dyDescent="0.25">
      <c r="B22" s="151"/>
      <c r="C22" s="151"/>
      <c r="D22" s="320" t="s">
        <v>156</v>
      </c>
      <c r="E22" s="176">
        <v>34</v>
      </c>
      <c r="F22" s="176">
        <v>50</v>
      </c>
      <c r="G22" s="321">
        <f>E22/F22</f>
        <v>0.68</v>
      </c>
      <c r="I22" s="411" t="s">
        <v>485</v>
      </c>
      <c r="J22" s="412">
        <v>40</v>
      </c>
      <c r="K22" s="412">
        <v>44</v>
      </c>
      <c r="L22" s="325">
        <f>J22/K22</f>
        <v>0.90909090909090906</v>
      </c>
      <c r="M22" s="153"/>
      <c r="N22" s="153"/>
    </row>
    <row r="23" spans="2:22" ht="15.75" x14ac:dyDescent="0.25">
      <c r="B23" s="151"/>
      <c r="C23" s="151"/>
      <c r="D23" s="320" t="s">
        <v>157</v>
      </c>
      <c r="E23" s="176">
        <v>1</v>
      </c>
      <c r="F23" s="176">
        <v>1</v>
      </c>
      <c r="G23" s="325">
        <f>E23/F23</f>
        <v>1</v>
      </c>
      <c r="H23" s="166"/>
      <c r="I23" s="331"/>
      <c r="J23" s="331"/>
      <c r="K23" s="331"/>
      <c r="M23" s="153"/>
      <c r="N23" s="153"/>
    </row>
    <row r="24" spans="2:22" ht="15.75" x14ac:dyDescent="0.25">
      <c r="B24" s="151"/>
      <c r="C24" s="151"/>
      <c r="D24" s="320" t="s">
        <v>158</v>
      </c>
      <c r="E24" s="176">
        <v>1</v>
      </c>
      <c r="F24" s="176">
        <v>1</v>
      </c>
      <c r="G24" s="325">
        <f>E24/F24</f>
        <v>1</v>
      </c>
      <c r="H24" s="166"/>
      <c r="I24" s="331"/>
      <c r="J24" s="331"/>
      <c r="K24" s="331"/>
      <c r="L24" s="331"/>
      <c r="M24" s="153"/>
      <c r="N24" s="153"/>
      <c r="P24" s="320"/>
    </row>
    <row r="25" spans="2:22" ht="15.75" x14ac:dyDescent="0.25">
      <c r="B25" s="151"/>
      <c r="C25" s="151"/>
      <c r="D25" s="320" t="s">
        <v>159</v>
      </c>
      <c r="E25" s="176">
        <v>1</v>
      </c>
      <c r="F25" s="176">
        <v>1</v>
      </c>
      <c r="G25" s="325">
        <f>E25/F25</f>
        <v>1</v>
      </c>
      <c r="H25" s="166"/>
      <c r="I25" s="331"/>
      <c r="J25" s="331"/>
      <c r="K25" s="331"/>
      <c r="M25" s="153"/>
      <c r="N25" s="153"/>
      <c r="P25" s="320"/>
    </row>
    <row r="26" spans="2:22" ht="49.5" customHeight="1" thickBot="1" x14ac:dyDescent="0.3">
      <c r="B26" s="151"/>
      <c r="C26" s="151"/>
      <c r="J26" s="200" t="s">
        <v>486</v>
      </c>
      <c r="K26" s="200" t="s">
        <v>487</v>
      </c>
      <c r="L26" s="406" t="s">
        <v>488</v>
      </c>
      <c r="M26" s="153"/>
      <c r="N26" s="153"/>
    </row>
    <row r="27" spans="2:22" ht="18" x14ac:dyDescent="0.25">
      <c r="B27" s="151"/>
      <c r="C27" s="151"/>
      <c r="I27" s="409" t="s">
        <v>484</v>
      </c>
      <c r="J27" s="413">
        <f>L21*Q17</f>
        <v>8.1600000000000006E-2</v>
      </c>
      <c r="K27" s="324">
        <f>1/J27</f>
        <v>12.254901960784313</v>
      </c>
      <c r="L27" s="414">
        <f>IF(J28/J27&gt;J27/J28, J28/J27, J27/J28)</f>
        <v>2.2727272727272725</v>
      </c>
      <c r="M27" s="153"/>
      <c r="N27" s="153"/>
    </row>
    <row r="28" spans="2:22" ht="18" x14ac:dyDescent="0.25">
      <c r="B28" s="151"/>
      <c r="C28" s="151"/>
      <c r="I28" s="411" t="s">
        <v>489</v>
      </c>
      <c r="J28" s="415">
        <f>L22*Q17</f>
        <v>0.18545454545454546</v>
      </c>
      <c r="K28" s="416">
        <f>1/J28</f>
        <v>5.3921568627450984</v>
      </c>
      <c r="L28" s="345"/>
      <c r="M28" s="168"/>
      <c r="N28" s="153"/>
    </row>
    <row r="29" spans="2:22" ht="9" customHeight="1" thickBot="1" x14ac:dyDescent="0.3">
      <c r="B29" s="151"/>
      <c r="C29" s="194"/>
      <c r="D29" s="195"/>
      <c r="E29" s="332"/>
      <c r="F29" s="333"/>
      <c r="G29" s="333"/>
      <c r="H29" s="334"/>
      <c r="I29" s="335"/>
      <c r="J29" s="336"/>
      <c r="K29" s="337"/>
      <c r="L29" s="338"/>
      <c r="M29" s="417"/>
      <c r="N29" s="153"/>
    </row>
    <row r="30" spans="2:22" ht="9" customHeight="1" x14ac:dyDescent="0.25">
      <c r="B30" s="151"/>
      <c r="C30" s="681" t="s">
        <v>430</v>
      </c>
      <c r="D30" s="682"/>
      <c r="E30" s="682"/>
      <c r="F30" s="682"/>
      <c r="G30" s="682"/>
      <c r="H30" s="682"/>
      <c r="I30" s="682"/>
      <c r="J30" s="682"/>
      <c r="K30" s="682"/>
      <c r="L30" s="682"/>
      <c r="M30" s="683"/>
      <c r="N30" s="346"/>
    </row>
    <row r="31" spans="2:22" ht="12.75" customHeight="1" x14ac:dyDescent="0.25">
      <c r="B31" s="151"/>
      <c r="C31" s="684"/>
      <c r="D31" s="685"/>
      <c r="E31" s="685"/>
      <c r="F31" s="685"/>
      <c r="G31" s="685"/>
      <c r="H31" s="685"/>
      <c r="I31" s="685"/>
      <c r="J31" s="685"/>
      <c r="K31" s="685"/>
      <c r="L31" s="685"/>
      <c r="M31" s="686"/>
      <c r="N31" s="346"/>
    </row>
    <row r="32" spans="2:22" s="166" customFormat="1" ht="9" customHeight="1" thickBot="1" x14ac:dyDescent="0.3">
      <c r="B32" s="312"/>
      <c r="C32" s="312"/>
      <c r="E32" s="165"/>
      <c r="J32" s="347"/>
      <c r="K32" s="347"/>
      <c r="L32" s="347"/>
      <c r="M32" s="346"/>
      <c r="N32" s="346"/>
    </row>
    <row r="33" spans="2:17" s="166" customFormat="1" ht="18.75" customHeight="1" thickBot="1" x14ac:dyDescent="0.3">
      <c r="B33" s="312"/>
      <c r="C33" s="312"/>
      <c r="D33" s="701" t="s">
        <v>490</v>
      </c>
      <c r="E33" s="702"/>
      <c r="F33" s="702"/>
      <c r="G33" s="703"/>
      <c r="H33" s="349"/>
      <c r="I33" s="704" t="s">
        <v>432</v>
      </c>
      <c r="J33" s="704"/>
      <c r="K33" s="704"/>
      <c r="L33" s="704"/>
      <c r="M33" s="346"/>
      <c r="N33" s="346"/>
    </row>
    <row r="34" spans="2:17" s="154" customFormat="1" ht="60.75" thickBot="1" x14ac:dyDescent="0.3">
      <c r="B34" s="155"/>
      <c r="C34" s="155"/>
      <c r="D34" s="418" t="s">
        <v>491</v>
      </c>
      <c r="E34" s="418" t="s">
        <v>492</v>
      </c>
      <c r="F34" s="419" t="s">
        <v>433</v>
      </c>
      <c r="G34" s="420" t="s">
        <v>434</v>
      </c>
      <c r="H34" s="421">
        <f>K27</f>
        <v>12.254901960784313</v>
      </c>
      <c r="I34" s="422" t="s">
        <v>435</v>
      </c>
      <c r="J34" s="422" t="s">
        <v>436</v>
      </c>
      <c r="K34" s="422" t="s">
        <v>437</v>
      </c>
      <c r="L34" s="422" t="s">
        <v>438</v>
      </c>
      <c r="M34" s="157"/>
      <c r="N34" s="157"/>
      <c r="P34" s="422" t="s">
        <v>493</v>
      </c>
      <c r="Q34" s="422" t="s">
        <v>494</v>
      </c>
    </row>
    <row r="35" spans="2:17" s="310" customFormat="1" ht="21" thickBot="1" x14ac:dyDescent="0.3">
      <c r="B35" s="311"/>
      <c r="C35" s="311"/>
      <c r="D35" s="356">
        <f>E35/K14</f>
        <v>11.343662753582024</v>
      </c>
      <c r="E35" s="356">
        <f>F35*F17/(0.3048*60)</f>
        <v>9.1883668304014403</v>
      </c>
      <c r="F35" s="357">
        <f>G10*J27*K14</f>
        <v>350.96976000000006</v>
      </c>
      <c r="G35" s="358">
        <f>H10/J27*L14</f>
        <v>50.607118055555553</v>
      </c>
      <c r="H35" s="359"/>
      <c r="I35" s="358">
        <f>IF((G35/(4.44822161526*E17)*2)&gt;(H14*I14*J14),(H14*I14*J14),(G35/(4.44822161526*E17)*2))</f>
        <v>150</v>
      </c>
      <c r="J35" s="360">
        <f>(L17*J27)/F14</f>
        <v>1.220236153498123</v>
      </c>
      <c r="K35" s="360">
        <f>((((I10/F14)-(J10/F14))/(H10/F14))*J35)+(J10/F14)</f>
        <v>68.153889735045823</v>
      </c>
      <c r="L35" s="360">
        <f>K35*F14*E14</f>
        <v>272.61555894018329</v>
      </c>
      <c r="M35" s="362"/>
      <c r="N35" s="362"/>
      <c r="P35" s="360">
        <f>K35*0.59986</f>
        <v>40.882792296464586</v>
      </c>
      <c r="Q35" s="360">
        <f>K35*0.40014</f>
        <v>27.271097438581236</v>
      </c>
    </row>
    <row r="36" spans="2:17" ht="9" customHeight="1" thickBot="1" x14ac:dyDescent="0.3">
      <c r="B36" s="151"/>
      <c r="C36" s="151"/>
      <c r="D36" s="310"/>
      <c r="H36" s="349"/>
      <c r="M36" s="423"/>
      <c r="N36" s="423"/>
    </row>
    <row r="37" spans="2:17" ht="18.75" customHeight="1" thickBot="1" x14ac:dyDescent="0.3">
      <c r="B37" s="151"/>
      <c r="C37" s="151"/>
      <c r="D37" s="705" t="s">
        <v>495</v>
      </c>
      <c r="E37" s="706"/>
      <c r="F37" s="706"/>
      <c r="G37" s="707"/>
      <c r="H37" s="349"/>
      <c r="I37" s="704" t="s">
        <v>432</v>
      </c>
      <c r="J37" s="704"/>
      <c r="K37" s="704"/>
      <c r="L37" s="704"/>
      <c r="M37" s="423"/>
      <c r="N37" s="423"/>
    </row>
    <row r="38" spans="2:17" s="154" customFormat="1" ht="60.75" thickBot="1" x14ac:dyDescent="0.3">
      <c r="B38" s="155"/>
      <c r="C38" s="155"/>
      <c r="D38" s="424" t="s">
        <v>491</v>
      </c>
      <c r="E38" s="424" t="s">
        <v>492</v>
      </c>
      <c r="F38" s="425" t="s">
        <v>433</v>
      </c>
      <c r="G38" s="426" t="s">
        <v>434</v>
      </c>
      <c r="H38" s="427">
        <f>K28</f>
        <v>5.3921568627450984</v>
      </c>
      <c r="I38" s="428" t="s">
        <v>435</v>
      </c>
      <c r="J38" s="428" t="s">
        <v>436</v>
      </c>
      <c r="K38" s="428" t="s">
        <v>437</v>
      </c>
      <c r="L38" s="428" t="s">
        <v>438</v>
      </c>
      <c r="M38" s="157"/>
      <c r="N38" s="157"/>
      <c r="P38" s="428" t="s">
        <v>493</v>
      </c>
      <c r="Q38" s="428" t="s">
        <v>494</v>
      </c>
    </row>
    <row r="39" spans="2:17" s="310" customFormat="1" ht="21" thickBot="1" x14ac:dyDescent="0.3">
      <c r="B39" s="311"/>
      <c r="C39" s="311"/>
      <c r="D39" s="356">
        <f>E39/K14</f>
        <v>25.781051712686416</v>
      </c>
      <c r="E39" s="356">
        <f>F39*F17/(0.3048*60)</f>
        <v>20.882651887275998</v>
      </c>
      <c r="F39" s="429">
        <f>G10*J28*K14</f>
        <v>797.65854545454545</v>
      </c>
      <c r="G39" s="430">
        <f>H10/J28*L14</f>
        <v>22.267131944444444</v>
      </c>
      <c r="H39" s="359"/>
      <c r="I39" s="358">
        <f>IF((G39/(4.44822161526*E17)*2)&gt;(H14*I14*J14),(H14*I14*J14),(G39/(4.44822161526*E17)*2))</f>
        <v>131.38714956149397</v>
      </c>
      <c r="J39" s="360">
        <f>(L17*J28)/F14</f>
        <v>2.7732639852230068</v>
      </c>
      <c r="K39" s="360">
        <f>((((I10/F14)-(J10/F14))/(H10/F14))*J39)+(J10/F14)</f>
        <v>151.4588403069223</v>
      </c>
      <c r="L39" s="360">
        <f>K39*F14*E14</f>
        <v>605.83536122768919</v>
      </c>
      <c r="M39" s="362"/>
      <c r="N39" s="362"/>
      <c r="P39" s="360">
        <f>K39*0.59986</f>
        <v>90.854099946510402</v>
      </c>
      <c r="Q39" s="360">
        <f>K39*0.40014</f>
        <v>60.604740360411888</v>
      </c>
    </row>
    <row r="40" spans="2:17" ht="4.5" customHeight="1" x14ac:dyDescent="0.25">
      <c r="B40" s="151"/>
      <c r="C40" s="151"/>
      <c r="M40" s="153"/>
      <c r="N40" s="153"/>
    </row>
    <row r="41" spans="2:17" ht="7.5" customHeight="1" thickBot="1" x14ac:dyDescent="0.3">
      <c r="B41" s="151"/>
      <c r="C41" s="194"/>
      <c r="D41" s="195"/>
      <c r="E41" s="363"/>
      <c r="F41" s="195"/>
      <c r="G41" s="195"/>
      <c r="H41" s="195"/>
      <c r="I41" s="195"/>
      <c r="J41" s="195"/>
      <c r="K41" s="195"/>
      <c r="L41" s="195"/>
      <c r="M41" s="196"/>
      <c r="N41" s="153"/>
    </row>
    <row r="42" spans="2:17" ht="30" hidden="1" customHeight="1" x14ac:dyDescent="0.25">
      <c r="B42" s="151"/>
      <c r="E42" s="431"/>
      <c r="N42" s="153"/>
    </row>
    <row r="43" spans="2:17" ht="54.75" hidden="1" customHeight="1" x14ac:dyDescent="0.25">
      <c r="B43" s="708" t="s">
        <v>496</v>
      </c>
      <c r="C43" s="709"/>
      <c r="D43" s="709"/>
      <c r="E43" s="709"/>
      <c r="F43" s="709"/>
      <c r="G43" s="709"/>
      <c r="H43" s="709"/>
      <c r="I43" s="709"/>
      <c r="J43" s="709"/>
      <c r="K43" s="709"/>
      <c r="L43" s="709"/>
      <c r="M43" s="709"/>
      <c r="N43" s="710"/>
    </row>
    <row r="44" spans="2:17" ht="4.5" hidden="1" customHeight="1" x14ac:dyDescent="0.25">
      <c r="B44" s="151"/>
      <c r="N44" s="153"/>
    </row>
    <row r="45" spans="2:17" ht="15.75" hidden="1" x14ac:dyDescent="0.25">
      <c r="B45" s="151"/>
      <c r="E45" s="364" t="s">
        <v>497</v>
      </c>
      <c r="G45" s="290" t="s">
        <v>498</v>
      </c>
      <c r="N45" s="153"/>
    </row>
    <row r="46" spans="2:17" ht="51" hidden="1" customHeight="1" x14ac:dyDescent="0.25">
      <c r="B46" s="151"/>
      <c r="E46" s="406" t="s">
        <v>499</v>
      </c>
      <c r="G46" s="406" t="s">
        <v>500</v>
      </c>
      <c r="H46" s="406" t="s">
        <v>501</v>
      </c>
      <c r="I46" s="696" t="s">
        <v>502</v>
      </c>
      <c r="J46" s="696"/>
      <c r="N46" s="153"/>
    </row>
    <row r="47" spans="2:17" ht="15.75" hidden="1" customHeight="1" x14ac:dyDescent="0.25">
      <c r="B47" s="151"/>
      <c r="E47" s="182">
        <v>45</v>
      </c>
      <c r="G47" s="432">
        <f>(G10*I47*K14)*F17/(0.3048*60)</f>
        <v>5.9380415510719038</v>
      </c>
      <c r="H47" s="433">
        <f>(($H$9*$E$9/$F$9)*((E47)-($J$9*($E$9/$F$9))))/(($I$9*($E$9/$F$9))-($J$9*($E$9/$F$9)))</f>
        <v>0.78858551419800449</v>
      </c>
      <c r="I47" s="434">
        <f>(H47*$F$14)/$L$17</f>
        <v>5.273452829117159E-2</v>
      </c>
      <c r="J47" s="435">
        <f>1/I47</f>
        <v>18.962907840543107</v>
      </c>
      <c r="N47" s="153"/>
    </row>
    <row r="48" spans="2:17" ht="9" hidden="1" customHeight="1" x14ac:dyDescent="0.25">
      <c r="B48" s="151"/>
      <c r="E48" s="302"/>
      <c r="N48" s="153"/>
    </row>
    <row r="49" spans="2:17" ht="20.25" hidden="1" customHeight="1" x14ac:dyDescent="0.3">
      <c r="B49" s="151"/>
      <c r="E49" s="700" t="s">
        <v>503</v>
      </c>
      <c r="F49" s="700"/>
      <c r="G49" s="700"/>
      <c r="H49" s="700"/>
      <c r="I49" s="700"/>
      <c r="J49" s="700"/>
      <c r="K49" s="700"/>
      <c r="N49" s="153"/>
    </row>
    <row r="50" spans="2:17" hidden="1" x14ac:dyDescent="0.25">
      <c r="B50" s="151"/>
      <c r="E50" s="290" t="s">
        <v>504</v>
      </c>
      <c r="N50" s="153"/>
    </row>
    <row r="51" spans="2:17" ht="45.75" hidden="1" customHeight="1" x14ac:dyDescent="0.25">
      <c r="B51" s="151"/>
      <c r="E51" s="696" t="s">
        <v>505</v>
      </c>
      <c r="F51" s="696"/>
      <c r="H51" s="406" t="s">
        <v>506</v>
      </c>
      <c r="I51" s="406" t="s">
        <v>507</v>
      </c>
      <c r="J51" s="406" t="s">
        <v>508</v>
      </c>
      <c r="K51" s="406" t="s">
        <v>509</v>
      </c>
      <c r="N51" s="153"/>
    </row>
    <row r="52" spans="2:17" hidden="1" x14ac:dyDescent="0.25">
      <c r="B52" s="151"/>
      <c r="E52" s="434">
        <f>I47/$J$27</f>
        <v>0.64625647415651455</v>
      </c>
      <c r="F52" s="435">
        <f>1/E52</f>
        <v>1.5473732797883175</v>
      </c>
      <c r="H52" s="433">
        <f>E52*$G$14</f>
        <v>3.8775388449390871</v>
      </c>
      <c r="I52" s="436">
        <f>$L$14/E52</f>
        <v>1.31526728782007</v>
      </c>
      <c r="J52" s="433">
        <f>E52*$H$14</f>
        <v>0.64625647415651455</v>
      </c>
      <c r="K52" s="433">
        <f>E52*$I$14</f>
        <v>96.938471123477186</v>
      </c>
      <c r="N52" s="153"/>
    </row>
    <row r="53" spans="2:17" hidden="1" x14ac:dyDescent="0.25">
      <c r="B53" s="151"/>
      <c r="E53" s="437"/>
      <c r="F53" s="438"/>
      <c r="G53" s="439"/>
      <c r="H53" s="440"/>
      <c r="I53" s="439"/>
      <c r="J53" s="439"/>
      <c r="K53" s="439"/>
      <c r="N53" s="153"/>
    </row>
    <row r="54" spans="2:17" ht="20.25" hidden="1" customHeight="1" x14ac:dyDescent="0.3">
      <c r="B54" s="151"/>
      <c r="E54" s="700" t="s">
        <v>510</v>
      </c>
      <c r="F54" s="700"/>
      <c r="G54" s="700"/>
      <c r="H54" s="700"/>
      <c r="I54" s="700"/>
      <c r="J54" s="700"/>
      <c r="K54" s="700"/>
      <c r="N54" s="153"/>
    </row>
    <row r="55" spans="2:17" hidden="1" x14ac:dyDescent="0.25">
      <c r="B55" s="151"/>
      <c r="E55" s="290" t="s">
        <v>504</v>
      </c>
      <c r="N55" s="153"/>
    </row>
    <row r="56" spans="2:17" ht="45.75" hidden="1" customHeight="1" x14ac:dyDescent="0.25">
      <c r="B56" s="151"/>
      <c r="E56" s="696" t="s">
        <v>505</v>
      </c>
      <c r="F56" s="696"/>
      <c r="H56" s="406" t="s">
        <v>506</v>
      </c>
      <c r="I56" s="406" t="s">
        <v>507</v>
      </c>
      <c r="J56" s="406" t="s">
        <v>508</v>
      </c>
      <c r="K56" s="406" t="s">
        <v>509</v>
      </c>
      <c r="N56" s="153"/>
    </row>
    <row r="57" spans="2:17" hidden="1" x14ac:dyDescent="0.25">
      <c r="B57" s="151"/>
      <c r="E57" s="434">
        <f>I47/$J$28</f>
        <v>0.28435284862886639</v>
      </c>
      <c r="F57" s="435">
        <f>1/E57</f>
        <v>3.5167574540643582</v>
      </c>
      <c r="H57" s="433">
        <f>E57*$G$14</f>
        <v>1.7061170917731983</v>
      </c>
      <c r="I57" s="436">
        <f>$L$14/E57</f>
        <v>2.9892438359547042</v>
      </c>
      <c r="J57" s="433">
        <f>E57*$H$14</f>
        <v>0.28435284862886639</v>
      </c>
      <c r="K57" s="433">
        <f>E57*$I$14</f>
        <v>42.652927294329956</v>
      </c>
      <c r="N57" s="153"/>
    </row>
    <row r="58" spans="2:17" ht="19.5" customHeight="1" thickBot="1" x14ac:dyDescent="0.3">
      <c r="B58" s="194"/>
      <c r="C58" s="195"/>
      <c r="D58" s="195"/>
      <c r="E58" s="195"/>
      <c r="F58" s="195"/>
      <c r="G58" s="195"/>
      <c r="H58" s="195"/>
      <c r="I58" s="195"/>
      <c r="J58" s="195"/>
      <c r="K58" s="195"/>
      <c r="L58" s="195"/>
      <c r="M58" s="195"/>
      <c r="N58" s="196"/>
    </row>
    <row r="60" spans="2:17" ht="15.75" hidden="1" customHeight="1" x14ac:dyDescent="0.25">
      <c r="E60" s="364"/>
      <c r="G60" s="441">
        <v>5500</v>
      </c>
      <c r="H60" s="441">
        <v>2.2200000000000002</v>
      </c>
      <c r="I60" s="441">
        <v>107</v>
      </c>
      <c r="J60" s="441">
        <v>2.2999999999999998</v>
      </c>
      <c r="K60" s="711" t="s">
        <v>511</v>
      </c>
      <c r="L60" s="711"/>
    </row>
    <row r="61" spans="2:17" ht="15" hidden="1" customHeight="1" x14ac:dyDescent="0.25">
      <c r="E61" s="169"/>
      <c r="G61" s="442">
        <v>5500</v>
      </c>
      <c r="H61" s="442">
        <v>5.9208449999999999</v>
      </c>
      <c r="I61" s="442">
        <v>277.7</v>
      </c>
      <c r="J61" s="442">
        <v>6.2</v>
      </c>
      <c r="K61" s="711" t="s">
        <v>512</v>
      </c>
      <c r="L61" s="711"/>
      <c r="P61" s="4" t="s">
        <v>513</v>
      </c>
      <c r="Q61" s="4" t="s">
        <v>513</v>
      </c>
    </row>
    <row r="62" spans="2:17" ht="15" hidden="1" customHeight="1" x14ac:dyDescent="0.25">
      <c r="E62" s="302"/>
      <c r="G62" s="442">
        <v>5500</v>
      </c>
      <c r="H62" s="442">
        <v>5.6158450000000002</v>
      </c>
      <c r="I62" s="442">
        <v>259.7</v>
      </c>
      <c r="J62" s="442">
        <v>4.76</v>
      </c>
      <c r="K62" s="711" t="s">
        <v>514</v>
      </c>
      <c r="L62" s="711"/>
      <c r="P62" s="4" t="s">
        <v>515</v>
      </c>
      <c r="Q62" s="4" t="s">
        <v>516</v>
      </c>
    </row>
    <row r="63" spans="2:17" ht="15" hidden="1" customHeight="1" x14ac:dyDescent="0.25">
      <c r="G63" s="442">
        <v>5500</v>
      </c>
      <c r="H63" s="442">
        <v>4.1349999999999998</v>
      </c>
      <c r="I63" s="442">
        <v>196</v>
      </c>
      <c r="J63" s="442">
        <v>3.16</v>
      </c>
      <c r="K63" s="711" t="s">
        <v>517</v>
      </c>
      <c r="L63" s="711"/>
      <c r="P63" s="4" t="s">
        <v>518</v>
      </c>
      <c r="Q63" s="4" t="s">
        <v>519</v>
      </c>
    </row>
    <row r="64" spans="2:17" ht="15" hidden="1" customHeight="1" x14ac:dyDescent="0.25">
      <c r="G64" s="442">
        <v>5500</v>
      </c>
      <c r="H64" s="442">
        <v>6.3550000000000004</v>
      </c>
      <c r="I64" s="442">
        <v>303</v>
      </c>
      <c r="J64" s="442">
        <v>5.46</v>
      </c>
      <c r="K64" s="711" t="s">
        <v>520</v>
      </c>
      <c r="L64" s="711"/>
      <c r="P64" s="166" t="s">
        <v>521</v>
      </c>
      <c r="Q64" s="166" t="s">
        <v>521</v>
      </c>
    </row>
    <row r="65" spans="7:17" ht="15" hidden="1" customHeight="1" x14ac:dyDescent="0.25">
      <c r="G65" s="442">
        <v>5500</v>
      </c>
      <c r="H65" s="442">
        <v>3.7008450000000002</v>
      </c>
      <c r="I65" s="442">
        <v>170.7</v>
      </c>
      <c r="J65" s="442">
        <v>3.9</v>
      </c>
      <c r="K65" s="711" t="s">
        <v>522</v>
      </c>
      <c r="L65" s="711"/>
      <c r="P65" s="4" t="s">
        <v>523</v>
      </c>
      <c r="Q65" s="4" t="s">
        <v>524</v>
      </c>
    </row>
    <row r="66" spans="7:17" hidden="1" x14ac:dyDescent="0.25"/>
  </sheetData>
  <mergeCells count="24">
    <mergeCell ref="K62:L62"/>
    <mergeCell ref="K63:L63"/>
    <mergeCell ref="K64:L64"/>
    <mergeCell ref="K65:L65"/>
    <mergeCell ref="R3:V3"/>
    <mergeCell ref="K60:L60"/>
    <mergeCell ref="K61:L61"/>
    <mergeCell ref="C30:M31"/>
    <mergeCell ref="R2:S2"/>
    <mergeCell ref="E49:K49"/>
    <mergeCell ref="E51:F51"/>
    <mergeCell ref="E54:K54"/>
    <mergeCell ref="E56:F56"/>
    <mergeCell ref="D33:G33"/>
    <mergeCell ref="I33:L33"/>
    <mergeCell ref="D37:G37"/>
    <mergeCell ref="I37:L37"/>
    <mergeCell ref="B43:N43"/>
    <mergeCell ref="I46:J46"/>
    <mergeCell ref="B3:N3"/>
    <mergeCell ref="C5:M5"/>
    <mergeCell ref="C18:M18"/>
    <mergeCell ref="E19:G19"/>
    <mergeCell ref="J19:L19"/>
  </mergeCells>
  <dataValidations count="1">
    <dataValidation type="list" allowBlank="1" showInputMessage="1" showErrorMessage="1" sqref="R2">
      <formula1>motor_list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8721" r:id="rId3" name="Button 1">
              <controlPr defaultSize="0" print="0" autoFill="0" autoPict="0" macro="[0]!TOC">
                <anchor moveWithCells="1" sizeWithCells="1">
                  <from>
                    <xdr:col>7</xdr:col>
                    <xdr:colOff>161925</xdr:colOff>
                    <xdr:row>0</xdr:row>
                    <xdr:rowOff>47625</xdr:rowOff>
                  </from>
                  <to>
                    <xdr:col>8</xdr:col>
                    <xdr:colOff>200025</xdr:colOff>
                    <xdr:row>1</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T77"/>
  <sheetViews>
    <sheetView showGridLines="0" workbookViewId="0">
      <pane ySplit="1" topLeftCell="A2" activePane="bottomLeft" state="frozen"/>
      <selection pane="bottomLeft" activeCell="Q30" sqref="Q30"/>
    </sheetView>
  </sheetViews>
  <sheetFormatPr defaultColWidth="9.140625" defaultRowHeight="12.75" x14ac:dyDescent="0.2"/>
  <cols>
    <col min="1" max="1" width="2.85546875" style="447" customWidth="1"/>
    <col min="2" max="2" width="1.42578125" style="447" customWidth="1"/>
    <col min="3" max="6" width="9" style="447" customWidth="1"/>
    <col min="7" max="7" width="9" style="445" customWidth="1"/>
    <col min="8" max="9" width="1.42578125" style="447" customWidth="1"/>
    <col min="10" max="15" width="8.5703125" style="447" customWidth="1"/>
    <col min="16" max="16" width="2.85546875" style="447" customWidth="1"/>
    <col min="17" max="17" width="9.28515625" style="447" customWidth="1"/>
    <col min="18" max="18" width="2.85546875" style="447" customWidth="1"/>
    <col min="19" max="19" width="16.7109375" style="490" customWidth="1"/>
    <col min="20" max="20" width="9.140625" style="445"/>
    <col min="21" max="21" width="1.42578125" style="447" customWidth="1"/>
    <col min="22" max="22" width="10" style="447" customWidth="1"/>
    <col min="23" max="32" width="10" style="445" customWidth="1"/>
    <col min="33" max="33" width="1.42578125" style="447" customWidth="1"/>
    <col min="34" max="34" width="5" style="446" bestFit="1" customWidth="1"/>
    <col min="35" max="35" width="10.7109375" style="446" bestFit="1" customWidth="1"/>
    <col min="36" max="36" width="11.7109375" style="447" bestFit="1" customWidth="1"/>
    <col min="37" max="37" width="5" style="447" bestFit="1" customWidth="1"/>
    <col min="38" max="16384" width="9.140625" style="447"/>
  </cols>
  <sheetData>
    <row r="1" spans="1:46" ht="32.25" customHeight="1" thickBot="1" x14ac:dyDescent="0.65">
      <c r="A1" s="443"/>
      <c r="B1" s="712" t="s">
        <v>653</v>
      </c>
      <c r="C1" s="712"/>
      <c r="D1" s="712"/>
      <c r="E1" s="712"/>
      <c r="F1" s="712"/>
      <c r="G1" s="712"/>
      <c r="H1" s="712"/>
      <c r="I1" s="712"/>
      <c r="J1" s="712"/>
      <c r="K1" s="712"/>
      <c r="L1" s="712"/>
      <c r="M1" s="712"/>
      <c r="N1" s="712"/>
      <c r="O1" s="712"/>
      <c r="P1" s="443"/>
      <c r="Q1" s="713" t="s">
        <v>527</v>
      </c>
      <c r="R1"/>
      <c r="S1"/>
      <c r="T1"/>
      <c r="U1" s="444"/>
      <c r="V1" s="443"/>
      <c r="AG1" s="444"/>
    </row>
    <row r="2" spans="1:46" ht="19.5" thickBot="1" x14ac:dyDescent="0.3">
      <c r="A2" s="443"/>
      <c r="B2" s="716" t="s">
        <v>528</v>
      </c>
      <c r="C2" s="717"/>
      <c r="D2" s="717"/>
      <c r="E2" s="717"/>
      <c r="F2" s="718" t="s">
        <v>58</v>
      </c>
      <c r="G2" s="718"/>
      <c r="H2" s="448"/>
      <c r="I2" s="443"/>
      <c r="J2" s="719" t="s">
        <v>529</v>
      </c>
      <c r="K2" s="720"/>
      <c r="L2" s="720"/>
      <c r="M2" s="720"/>
      <c r="N2" s="720"/>
      <c r="O2" s="721"/>
      <c r="P2" s="443"/>
      <c r="Q2" s="714"/>
      <c r="R2"/>
      <c r="S2"/>
      <c r="T2"/>
      <c r="U2" s="444"/>
      <c r="V2" s="443"/>
      <c r="AG2" s="444"/>
      <c r="AJ2" s="445">
        <v>0.99</v>
      </c>
    </row>
    <row r="3" spans="1:46" ht="39" thickBot="1" x14ac:dyDescent="0.25">
      <c r="A3" s="443"/>
      <c r="B3" s="449"/>
      <c r="C3" s="450" t="s">
        <v>299</v>
      </c>
      <c r="D3" s="450" t="s">
        <v>300</v>
      </c>
      <c r="E3" s="450" t="s">
        <v>530</v>
      </c>
      <c r="F3" s="450" t="s">
        <v>57</v>
      </c>
      <c r="G3" s="450" t="s">
        <v>56</v>
      </c>
      <c r="H3" s="451"/>
      <c r="I3" s="443"/>
      <c r="J3" s="452"/>
      <c r="K3" s="453"/>
      <c r="L3" s="453"/>
      <c r="M3" s="453"/>
      <c r="N3" s="453"/>
      <c r="O3" s="454"/>
      <c r="P3" s="443"/>
      <c r="Q3" s="714"/>
      <c r="R3" s="455"/>
      <c r="S3" s="737" t="s">
        <v>531</v>
      </c>
      <c r="T3" s="738"/>
      <c r="U3" s="444"/>
      <c r="V3" s="733" t="s">
        <v>532</v>
      </c>
      <c r="W3" s="733"/>
      <c r="X3" s="733"/>
      <c r="Y3" s="733"/>
      <c r="Z3" s="733"/>
      <c r="AA3" s="733"/>
      <c r="AB3" s="733"/>
      <c r="AC3" s="733"/>
      <c r="AD3" s="733"/>
      <c r="AE3" s="733"/>
      <c r="AF3" s="733"/>
      <c r="AG3" s="444"/>
      <c r="AH3" s="445"/>
      <c r="AI3" s="445">
        <f>V33</f>
        <v>0</v>
      </c>
      <c r="AJ3" s="456">
        <f>T12*G16*T19/12/0.0254*AJ2</f>
        <v>0</v>
      </c>
    </row>
    <row r="4" spans="1:46" ht="15" x14ac:dyDescent="0.25">
      <c r="A4" s="443"/>
      <c r="B4" s="449"/>
      <c r="C4" s="457">
        <v>12</v>
      </c>
      <c r="D4" s="458">
        <v>5380</v>
      </c>
      <c r="E4" s="458">
        <v>2.2200000000000002</v>
      </c>
      <c r="F4" s="458">
        <v>107</v>
      </c>
      <c r="G4" s="458">
        <v>2.2999999999999998</v>
      </c>
      <c r="H4" s="451"/>
      <c r="I4" s="443"/>
      <c r="J4" s="452"/>
      <c r="K4" s="453"/>
      <c r="L4" s="453"/>
      <c r="M4" s="453"/>
      <c r="N4" s="453"/>
      <c r="O4" s="454"/>
      <c r="P4" s="443"/>
      <c r="Q4" s="714"/>
      <c r="R4" s="459"/>
      <c r="S4" s="460" t="s">
        <v>533</v>
      </c>
      <c r="T4" s="461">
        <f>G5/C4</f>
        <v>1</v>
      </c>
      <c r="U4" s="444"/>
      <c r="V4" s="443" t="s">
        <v>534</v>
      </c>
      <c r="W4" s="445" t="s">
        <v>12</v>
      </c>
      <c r="X4" s="445" t="s">
        <v>40</v>
      </c>
      <c r="Y4" s="445" t="s">
        <v>41</v>
      </c>
      <c r="Z4" s="445" t="s">
        <v>535</v>
      </c>
      <c r="AA4" s="445" t="s">
        <v>536</v>
      </c>
      <c r="AB4" s="445" t="s">
        <v>537</v>
      </c>
      <c r="AC4" s="445" t="s">
        <v>538</v>
      </c>
      <c r="AD4" s="445" t="s">
        <v>539</v>
      </c>
      <c r="AE4" s="445" t="s">
        <v>540</v>
      </c>
      <c r="AF4" s="445" t="s">
        <v>48</v>
      </c>
      <c r="AG4" s="444"/>
      <c r="AH4" s="445" t="s">
        <v>541</v>
      </c>
      <c r="AI4" s="462">
        <f t="shared" ref="AI4:AI5" si="0">V46</f>
        <v>2.4155105243289121</v>
      </c>
      <c r="AJ4" s="462">
        <f>VLOOKUP(AJ3,AJ9:AK57,2)</f>
        <v>0</v>
      </c>
    </row>
    <row r="5" spans="1:46" ht="15" x14ac:dyDescent="0.25">
      <c r="A5" s="443"/>
      <c r="B5" s="449"/>
      <c r="C5" s="463"/>
      <c r="D5" s="453"/>
      <c r="E5" s="734" t="s">
        <v>408</v>
      </c>
      <c r="F5" s="734"/>
      <c r="G5" s="458">
        <v>12</v>
      </c>
      <c r="H5" s="451"/>
      <c r="I5" s="443"/>
      <c r="J5" s="452"/>
      <c r="K5" s="453"/>
      <c r="L5" s="453"/>
      <c r="M5" s="453"/>
      <c r="N5" s="453"/>
      <c r="O5" s="454"/>
      <c r="P5" s="443"/>
      <c r="Q5" s="714"/>
      <c r="R5" s="464"/>
      <c r="S5" s="465" t="s">
        <v>300</v>
      </c>
      <c r="T5" s="466">
        <f>T4*D4</f>
        <v>5380</v>
      </c>
      <c r="U5" s="444"/>
      <c r="V5" s="443">
        <v>0</v>
      </c>
      <c r="W5" s="445">
        <f>V5*$T$6/25</f>
        <v>0</v>
      </c>
      <c r="X5" s="445">
        <f>(1-W5/$T$6)*$T$5</f>
        <v>5380</v>
      </c>
      <c r="Y5" s="445">
        <f>($T$9-$T$10)*W5/$T$6+$T$10</f>
        <v>2.2999999999999998</v>
      </c>
      <c r="Z5" s="445">
        <f>W5*X5*2*PI()/60</f>
        <v>0</v>
      </c>
      <c r="AA5" s="445">
        <f>Y5*$C$4</f>
        <v>27.599999999999998</v>
      </c>
      <c r="AB5" s="445">
        <f>W5/MAX(W$5:W$30)</f>
        <v>0</v>
      </c>
      <c r="AC5" s="445">
        <f>X5/MAX(X$5:X$30)</f>
        <v>1</v>
      </c>
      <c r="AD5" s="445">
        <f>Y5/MAX(Y$5:Y$30)</f>
        <v>2.1495327102803736E-2</v>
      </c>
      <c r="AE5" s="445">
        <f>Z5/MAX(Z$5:Z$30)</f>
        <v>0</v>
      </c>
      <c r="AF5" s="445">
        <f>Z5/AA5</f>
        <v>0</v>
      </c>
      <c r="AG5" s="444"/>
      <c r="AH5" s="445" t="s">
        <v>542</v>
      </c>
      <c r="AI5" s="462">
        <f t="shared" si="0"/>
        <v>-12.275379230373185</v>
      </c>
      <c r="AJ5" s="462">
        <f>VLOOKUP(AJ4,AH9:AI57,2)</f>
        <v>0</v>
      </c>
    </row>
    <row r="6" spans="1:46" ht="15" x14ac:dyDescent="0.25">
      <c r="A6" s="443"/>
      <c r="B6" s="449"/>
      <c r="C6" s="463"/>
      <c r="D6" s="453"/>
      <c r="E6" s="734" t="s">
        <v>543</v>
      </c>
      <c r="F6" s="734"/>
      <c r="G6" s="458">
        <v>4</v>
      </c>
      <c r="H6" s="451"/>
      <c r="I6" s="443"/>
      <c r="J6" s="452"/>
      <c r="K6" s="453"/>
      <c r="L6" s="453"/>
      <c r="M6" s="453"/>
      <c r="N6" s="453"/>
      <c r="O6" s="454"/>
      <c r="P6" s="443"/>
      <c r="Q6" s="714"/>
      <c r="R6" s="464"/>
      <c r="S6" s="465" t="s">
        <v>530</v>
      </c>
      <c r="T6" s="466">
        <f>T4*E4</f>
        <v>2.2200000000000002</v>
      </c>
      <c r="U6" s="444"/>
      <c r="V6" s="443">
        <f>V5+1</f>
        <v>1</v>
      </c>
      <c r="W6" s="445">
        <f t="shared" ref="W6:W30" si="1">V6*$T$6/25</f>
        <v>8.8800000000000004E-2</v>
      </c>
      <c r="X6" s="445">
        <f t="shared" ref="X6:X30" si="2">(1-W6/$T$6)*$T$5</f>
        <v>5164.8</v>
      </c>
      <c r="Y6" s="445">
        <f t="shared" ref="Y6:Y30" si="3">($T$9-$T$10)*W6/$T$6+$T$10</f>
        <v>6.4879999999999995</v>
      </c>
      <c r="Z6" s="445">
        <f t="shared" ref="Z6:Z30" si="4">W6*X6*2*PI()/60</f>
        <v>48.028065302291267</v>
      </c>
      <c r="AA6" s="445">
        <f t="shared" ref="AA6:AA30" si="5">Y6*$C$4</f>
        <v>77.855999999999995</v>
      </c>
      <c r="AB6" s="445">
        <f t="shared" ref="AB6:AE30" si="6">W6/MAX(W$5:W$30)</f>
        <v>0.04</v>
      </c>
      <c r="AC6" s="445">
        <f t="shared" si="6"/>
        <v>0.96000000000000008</v>
      </c>
      <c r="AD6" s="445">
        <f t="shared" si="6"/>
        <v>6.0635514018691584E-2</v>
      </c>
      <c r="AE6" s="445">
        <f t="shared" si="6"/>
        <v>0.15384615384615385</v>
      </c>
      <c r="AF6" s="445">
        <f t="shared" ref="AF6:AF30" si="7">Z6/AA6</f>
        <v>0.61688328840797457</v>
      </c>
      <c r="AG6" s="444"/>
      <c r="AH6" s="467" t="s">
        <v>544</v>
      </c>
      <c r="AI6" s="462">
        <f>-AI5/AI4</f>
        <v>5.0818984669021825</v>
      </c>
    </row>
    <row r="7" spans="1:46" ht="7.5" customHeight="1" thickBot="1" x14ac:dyDescent="0.3">
      <c r="A7" s="443"/>
      <c r="B7" s="468"/>
      <c r="C7" s="469"/>
      <c r="D7" s="469"/>
      <c r="E7" s="469"/>
      <c r="F7" s="470"/>
      <c r="G7" s="471"/>
      <c r="H7" s="472"/>
      <c r="I7" s="443"/>
      <c r="J7" s="452"/>
      <c r="K7" s="453"/>
      <c r="L7" s="453"/>
      <c r="M7" s="453"/>
      <c r="N7" s="453"/>
      <c r="O7" s="454"/>
      <c r="P7" s="443"/>
      <c r="Q7" s="714"/>
      <c r="R7" s="464"/>
      <c r="S7" s="735" t="s">
        <v>545</v>
      </c>
      <c r="T7" s="736">
        <f>IF(G24="YES",1/SQRT(2),1)</f>
        <v>1</v>
      </c>
      <c r="U7" s="444"/>
      <c r="V7" s="443">
        <f t="shared" ref="V7:V30" si="8">V6+1</f>
        <v>2</v>
      </c>
      <c r="W7" s="445">
        <f t="shared" si="1"/>
        <v>0.17760000000000001</v>
      </c>
      <c r="X7" s="445">
        <f t="shared" si="2"/>
        <v>4949.6000000000004</v>
      </c>
      <c r="Y7" s="445">
        <f t="shared" si="3"/>
        <v>10.675999999999998</v>
      </c>
      <c r="Z7" s="445">
        <f t="shared" si="4"/>
        <v>92.053791829391614</v>
      </c>
      <c r="AA7" s="445">
        <f t="shared" si="5"/>
        <v>128.11199999999997</v>
      </c>
      <c r="AB7" s="445">
        <f t="shared" si="6"/>
        <v>0.08</v>
      </c>
      <c r="AC7" s="445">
        <f t="shared" si="6"/>
        <v>0.92</v>
      </c>
      <c r="AD7" s="445">
        <f t="shared" si="6"/>
        <v>9.9775700934579423E-2</v>
      </c>
      <c r="AE7" s="445">
        <f t="shared" si="6"/>
        <v>0.29487179487179493</v>
      </c>
      <c r="AF7" s="445">
        <f t="shared" si="7"/>
        <v>0.71854152483289335</v>
      </c>
      <c r="AG7" s="444"/>
      <c r="AH7" s="740" t="s">
        <v>546</v>
      </c>
      <c r="AI7" s="739" t="s">
        <v>547</v>
      </c>
      <c r="AJ7" s="740" t="s">
        <v>548</v>
      </c>
      <c r="AK7" s="740" t="s">
        <v>546</v>
      </c>
    </row>
    <row r="8" spans="1:46" ht="7.5" customHeight="1" thickBot="1" x14ac:dyDescent="0.3">
      <c r="A8" s="443"/>
      <c r="B8" s="443"/>
      <c r="C8" s="443"/>
      <c r="D8" s="443"/>
      <c r="E8" s="443"/>
      <c r="F8" s="473"/>
      <c r="G8" s="178"/>
      <c r="H8" s="443"/>
      <c r="I8" s="443"/>
      <c r="J8" s="452"/>
      <c r="K8" s="453"/>
      <c r="L8" s="453"/>
      <c r="M8" s="453"/>
      <c r="N8" s="453"/>
      <c r="O8" s="454"/>
      <c r="P8" s="443"/>
      <c r="Q8" s="714"/>
      <c r="R8" s="464"/>
      <c r="S8" s="735"/>
      <c r="T8" s="736"/>
      <c r="U8" s="444"/>
      <c r="V8" s="443">
        <f t="shared" si="8"/>
        <v>3</v>
      </c>
      <c r="W8" s="445">
        <f t="shared" si="1"/>
        <v>0.26640000000000003</v>
      </c>
      <c r="X8" s="445">
        <f t="shared" si="2"/>
        <v>4734.3999999999996</v>
      </c>
      <c r="Y8" s="445">
        <f t="shared" si="3"/>
        <v>14.864000000000001</v>
      </c>
      <c r="Z8" s="445">
        <f t="shared" si="4"/>
        <v>132.07717958130098</v>
      </c>
      <c r="AA8" s="445">
        <f t="shared" si="5"/>
        <v>178.36799999999999</v>
      </c>
      <c r="AB8" s="445">
        <f t="shared" si="6"/>
        <v>0.12</v>
      </c>
      <c r="AC8" s="445">
        <f t="shared" si="6"/>
        <v>0.87999999999999989</v>
      </c>
      <c r="AD8" s="445">
        <f t="shared" si="6"/>
        <v>0.1389158878504673</v>
      </c>
      <c r="AE8" s="445">
        <f t="shared" si="6"/>
        <v>0.42307692307692307</v>
      </c>
      <c r="AF8" s="445">
        <f t="shared" si="7"/>
        <v>0.74047575563610613</v>
      </c>
      <c r="AG8" s="444"/>
      <c r="AH8" s="740"/>
      <c r="AI8" s="739"/>
      <c r="AJ8" s="740"/>
      <c r="AK8" s="740"/>
    </row>
    <row r="9" spans="1:46" ht="16.5" thickBot="1" x14ac:dyDescent="0.3">
      <c r="A9" s="443"/>
      <c r="B9" s="716" t="s">
        <v>549</v>
      </c>
      <c r="C9" s="717"/>
      <c r="D9" s="717"/>
      <c r="E9" s="717"/>
      <c r="F9" s="717"/>
      <c r="G9" s="717"/>
      <c r="H9" s="741"/>
      <c r="I9" s="443"/>
      <c r="J9" s="452"/>
      <c r="K9" s="453"/>
      <c r="L9" s="453"/>
      <c r="M9" s="453"/>
      <c r="N9" s="453"/>
      <c r="O9" s="454"/>
      <c r="P9" s="443"/>
      <c r="Q9" s="714"/>
      <c r="R9" s="464"/>
      <c r="S9" s="465" t="s">
        <v>57</v>
      </c>
      <c r="T9" s="466">
        <f>T4*F4</f>
        <v>107</v>
      </c>
      <c r="U9" s="444"/>
      <c r="V9" s="443">
        <f t="shared" si="8"/>
        <v>4</v>
      </c>
      <c r="W9" s="445">
        <f t="shared" si="1"/>
        <v>0.35520000000000002</v>
      </c>
      <c r="X9" s="445">
        <f t="shared" si="2"/>
        <v>4519.2</v>
      </c>
      <c r="Y9" s="445">
        <f t="shared" si="3"/>
        <v>19.052</v>
      </c>
      <c r="Z9" s="445">
        <f t="shared" si="4"/>
        <v>168.09822855801943</v>
      </c>
      <c r="AA9" s="445">
        <f t="shared" si="5"/>
        <v>228.624</v>
      </c>
      <c r="AB9" s="445">
        <f t="shared" si="6"/>
        <v>0.16</v>
      </c>
      <c r="AC9" s="445">
        <f t="shared" si="6"/>
        <v>0.84</v>
      </c>
      <c r="AD9" s="445">
        <f t="shared" si="6"/>
        <v>0.17805607476635513</v>
      </c>
      <c r="AE9" s="445">
        <f t="shared" si="6"/>
        <v>0.53846153846153844</v>
      </c>
      <c r="AF9" s="445">
        <f t="shared" si="7"/>
        <v>0.73526063999413638</v>
      </c>
      <c r="AG9" s="444"/>
      <c r="AH9" s="445">
        <v>0</v>
      </c>
      <c r="AI9" s="445">
        <f>((AI$6/AI$4)*(EXP(-AI$4*$AH9)-1)+AI$6*$AH9)/12/0.0254</f>
        <v>0</v>
      </c>
      <c r="AJ9" s="445">
        <v>0</v>
      </c>
      <c r="AK9" s="447">
        <f>AH9</f>
        <v>0</v>
      </c>
    </row>
    <row r="10" spans="1:46" x14ac:dyDescent="0.2">
      <c r="A10" s="443"/>
      <c r="B10" s="449"/>
      <c r="C10" s="463"/>
      <c r="D10" s="474" t="s">
        <v>550</v>
      </c>
      <c r="E10" s="474" t="s">
        <v>551</v>
      </c>
      <c r="F10" s="474" t="s">
        <v>552</v>
      </c>
      <c r="G10" s="474"/>
      <c r="H10" s="451"/>
      <c r="I10" s="443"/>
      <c r="J10" s="742"/>
      <c r="K10" s="743" t="s">
        <v>553</v>
      </c>
      <c r="L10" s="745" t="s">
        <v>554</v>
      </c>
      <c r="M10" s="745" t="s">
        <v>555</v>
      </c>
      <c r="N10" s="747" t="s">
        <v>48</v>
      </c>
      <c r="O10" s="749"/>
      <c r="P10" s="443"/>
      <c r="Q10" s="714"/>
      <c r="R10" s="464"/>
      <c r="S10" s="465" t="s">
        <v>56</v>
      </c>
      <c r="T10" s="466">
        <f>T4*G4</f>
        <v>2.2999999999999998</v>
      </c>
      <c r="U10" s="444"/>
      <c r="V10" s="443">
        <f t="shared" si="8"/>
        <v>5</v>
      </c>
      <c r="W10" s="445">
        <f t="shared" si="1"/>
        <v>0.44400000000000006</v>
      </c>
      <c r="X10" s="445">
        <f t="shared" si="2"/>
        <v>4304</v>
      </c>
      <c r="Y10" s="445">
        <f t="shared" si="3"/>
        <v>23.240000000000002</v>
      </c>
      <c r="Z10" s="445">
        <f t="shared" si="4"/>
        <v>200.11693875954697</v>
      </c>
      <c r="AA10" s="445">
        <f t="shared" si="5"/>
        <v>278.88</v>
      </c>
      <c r="AB10" s="445">
        <f t="shared" si="6"/>
        <v>0.2</v>
      </c>
      <c r="AC10" s="445">
        <f t="shared" si="6"/>
        <v>0.8</v>
      </c>
      <c r="AD10" s="445">
        <f t="shared" si="6"/>
        <v>0.21719626168224301</v>
      </c>
      <c r="AE10" s="445">
        <f t="shared" si="6"/>
        <v>0.64102564102564108</v>
      </c>
      <c r="AF10" s="445">
        <f t="shared" si="7"/>
        <v>0.71757364730187523</v>
      </c>
      <c r="AG10" s="444"/>
      <c r="AH10" s="462">
        <f>$V$49/10+AH9</f>
        <v>0.19092488651540079</v>
      </c>
      <c r="AI10" s="462">
        <f>((AI$6/AI$4)*(EXP(-AI$4*$AH10)-1)+AI$6*$AH10)/12/0.0254</f>
        <v>0.63308799819418593</v>
      </c>
      <c r="AJ10" s="475">
        <f>(AI10-AI9)/(AH10-AH9)</f>
        <v>3.3159008746778458</v>
      </c>
      <c r="AK10" s="476">
        <f t="shared" ref="AK10:AK30" si="9">AH10</f>
        <v>0.19092488651540079</v>
      </c>
      <c r="AL10" s="446"/>
      <c r="AM10" s="446"/>
      <c r="AN10" s="446"/>
      <c r="AO10" s="446"/>
      <c r="AP10" s="446"/>
      <c r="AQ10" s="446"/>
      <c r="AR10" s="446"/>
      <c r="AS10" s="446"/>
      <c r="AT10" s="446"/>
    </row>
    <row r="11" spans="1:46" ht="13.5" customHeight="1" thickBot="1" x14ac:dyDescent="0.25">
      <c r="A11" s="443"/>
      <c r="B11" s="449"/>
      <c r="C11" s="477" t="s">
        <v>155</v>
      </c>
      <c r="D11" s="478">
        <v>12</v>
      </c>
      <c r="E11" s="478">
        <v>40</v>
      </c>
      <c r="F11" s="479">
        <v>0.97499999999999998</v>
      </c>
      <c r="G11" s="480">
        <f>IF(AND(D11&lt;&gt;0,E11&lt;&gt;0),D11/E11,1)</f>
        <v>0.3</v>
      </c>
      <c r="H11" s="451"/>
      <c r="I11" s="443"/>
      <c r="J11" s="742"/>
      <c r="K11" s="744"/>
      <c r="L11" s="746"/>
      <c r="M11" s="746"/>
      <c r="N11" s="748"/>
      <c r="O11" s="749"/>
      <c r="P11" s="443"/>
      <c r="Q11" s="714"/>
      <c r="R11" s="481"/>
      <c r="S11" s="482"/>
      <c r="T11" s="483"/>
      <c r="U11" s="444"/>
      <c r="V11" s="443">
        <f t="shared" si="8"/>
        <v>6</v>
      </c>
      <c r="W11" s="445">
        <f t="shared" si="1"/>
        <v>0.53280000000000005</v>
      </c>
      <c r="X11" s="445">
        <f t="shared" si="2"/>
        <v>4088.8</v>
      </c>
      <c r="Y11" s="445">
        <f t="shared" si="3"/>
        <v>27.428000000000001</v>
      </c>
      <c r="Z11" s="445">
        <f t="shared" si="4"/>
        <v>228.13331018588357</v>
      </c>
      <c r="AA11" s="445">
        <f t="shared" si="5"/>
        <v>329.13600000000002</v>
      </c>
      <c r="AB11" s="445">
        <f t="shared" si="6"/>
        <v>0.24</v>
      </c>
      <c r="AC11" s="445">
        <f t="shared" si="6"/>
        <v>0.76</v>
      </c>
      <c r="AD11" s="445">
        <f t="shared" si="6"/>
        <v>0.25633644859813087</v>
      </c>
      <c r="AE11" s="445">
        <f t="shared" si="6"/>
        <v>0.73076923076923095</v>
      </c>
      <c r="AF11" s="445">
        <f t="shared" si="7"/>
        <v>0.69312779576188432</v>
      </c>
      <c r="AG11" s="444"/>
      <c r="AH11" s="462">
        <f t="shared" ref="AH11:AH30" si="10">$V$49/10+AH10</f>
        <v>0.38184977303080159</v>
      </c>
      <c r="AI11" s="462">
        <f t="shared" ref="AI11:AI30" si="11">((AI$6/AI$4)*(EXP(-AI$4*$AH11)-1)+AI$6*$AH11)/12/0.0254</f>
        <v>2.2083703128583072</v>
      </c>
      <c r="AJ11" s="475">
        <f t="shared" ref="AJ11:AJ30" si="12">(AI11-AI10)/(AH11-AH10)</f>
        <v>8.2507961293828114</v>
      </c>
      <c r="AK11" s="476">
        <f t="shared" si="9"/>
        <v>0.38184977303080159</v>
      </c>
      <c r="AL11" s="446"/>
      <c r="AM11" s="446"/>
      <c r="AN11" s="446"/>
      <c r="AO11" s="446"/>
      <c r="AP11" s="446"/>
      <c r="AQ11" s="446"/>
      <c r="AR11" s="446"/>
      <c r="AS11" s="446"/>
      <c r="AT11" s="446"/>
    </row>
    <row r="12" spans="1:46" ht="13.5" customHeight="1" thickBot="1" x14ac:dyDescent="0.25">
      <c r="A12" s="443"/>
      <c r="B12" s="449"/>
      <c r="C12" s="477" t="s">
        <v>156</v>
      </c>
      <c r="D12" s="478">
        <v>40</v>
      </c>
      <c r="E12" s="478">
        <v>44</v>
      </c>
      <c r="F12" s="479">
        <v>0.95</v>
      </c>
      <c r="G12" s="480">
        <f t="shared" ref="G12:G14" si="13">IF(AND(D12&lt;&gt;0,E12&lt;&gt;0),D12/E12,1)</f>
        <v>0.90909090909090906</v>
      </c>
      <c r="H12" s="451"/>
      <c r="I12" s="443"/>
      <c r="J12" s="484"/>
      <c r="K12" s="485">
        <f>V63+V54</f>
        <v>0.40159504246905497</v>
      </c>
      <c r="L12" s="486">
        <f>(1-K12/T6)*T5</f>
        <v>4406.7651673497676</v>
      </c>
      <c r="M12" s="487">
        <f>(T9-T10)*K12/T6+T10</f>
        <v>21.240090516445971</v>
      </c>
      <c r="N12" s="488">
        <f>(K12*L12*2*PI()/60)/(M12*G5)</f>
        <v>0.72710856366438259</v>
      </c>
      <c r="O12" s="489"/>
      <c r="P12" s="443"/>
      <c r="Q12" s="714"/>
      <c r="U12" s="444"/>
      <c r="V12" s="443">
        <f t="shared" si="8"/>
        <v>7</v>
      </c>
      <c r="W12" s="445">
        <f t="shared" si="1"/>
        <v>0.62160000000000004</v>
      </c>
      <c r="X12" s="445">
        <f t="shared" si="2"/>
        <v>3873.6</v>
      </c>
      <c r="Y12" s="445">
        <f t="shared" si="3"/>
        <v>31.616000000000003</v>
      </c>
      <c r="Z12" s="445">
        <f t="shared" si="4"/>
        <v>252.14734283702916</v>
      </c>
      <c r="AA12" s="445">
        <f t="shared" si="5"/>
        <v>379.39200000000005</v>
      </c>
      <c r="AB12" s="445">
        <f t="shared" si="6"/>
        <v>0.27999999999999997</v>
      </c>
      <c r="AC12" s="445">
        <f t="shared" si="6"/>
        <v>0.72</v>
      </c>
      <c r="AD12" s="445">
        <f t="shared" si="6"/>
        <v>0.2954766355140187</v>
      </c>
      <c r="AE12" s="445">
        <f t="shared" si="6"/>
        <v>0.80769230769230771</v>
      </c>
      <c r="AF12" s="445">
        <f t="shared" si="7"/>
        <v>0.6646090134663597</v>
      </c>
      <c r="AG12" s="444"/>
      <c r="AH12" s="462">
        <f t="shared" si="10"/>
        <v>0.57277465954620244</v>
      </c>
      <c r="AI12" s="462">
        <f t="shared" si="11"/>
        <v>4.3777424126317417</v>
      </c>
      <c r="AJ12" s="475">
        <f t="shared" si="12"/>
        <v>11.362437550007098</v>
      </c>
      <c r="AK12" s="476">
        <f t="shared" si="9"/>
        <v>0.57277465954620244</v>
      </c>
      <c r="AL12" s="446"/>
      <c r="AM12" s="446"/>
      <c r="AN12" s="446"/>
      <c r="AO12" s="446"/>
      <c r="AP12" s="446"/>
      <c r="AQ12" s="446"/>
      <c r="AR12" s="446"/>
      <c r="AS12" s="446"/>
      <c r="AT12" s="446"/>
    </row>
    <row r="13" spans="1:46" ht="13.5" customHeight="1" x14ac:dyDescent="0.3">
      <c r="A13" s="443"/>
      <c r="B13" s="449"/>
      <c r="C13" s="477" t="s">
        <v>157</v>
      </c>
      <c r="D13" s="478">
        <v>35</v>
      </c>
      <c r="E13" s="478">
        <v>50</v>
      </c>
      <c r="F13" s="479">
        <v>0.97499999999999998</v>
      </c>
      <c r="G13" s="480">
        <f t="shared" si="13"/>
        <v>0.7</v>
      </c>
      <c r="H13" s="451"/>
      <c r="I13" s="443"/>
      <c r="J13" s="491"/>
      <c r="K13" s="722" t="str">
        <f>CONCATENATE("Time to travel ", ROUND(G38,1), " ft,  vs Gearing")</f>
        <v>Time to travel 25 ft,  vs Gearing</v>
      </c>
      <c r="L13" s="722"/>
      <c r="M13" s="722"/>
      <c r="N13" s="722"/>
      <c r="O13" s="723"/>
      <c r="P13" s="492"/>
      <c r="Q13" s="714"/>
      <c r="R13" s="750" t="s">
        <v>556</v>
      </c>
      <c r="S13" s="750"/>
      <c r="T13" s="750"/>
      <c r="U13" s="444"/>
      <c r="V13" s="443">
        <f t="shared" si="8"/>
        <v>8</v>
      </c>
      <c r="W13" s="445">
        <f t="shared" si="1"/>
        <v>0.71040000000000003</v>
      </c>
      <c r="X13" s="445">
        <f t="shared" si="2"/>
        <v>3658.3999999999996</v>
      </c>
      <c r="Y13" s="445">
        <f t="shared" si="3"/>
        <v>35.803999999999995</v>
      </c>
      <c r="Z13" s="445">
        <f t="shared" si="4"/>
        <v>272.15903671298378</v>
      </c>
      <c r="AA13" s="445">
        <f t="shared" si="5"/>
        <v>429.64799999999991</v>
      </c>
      <c r="AB13" s="445">
        <f t="shared" si="6"/>
        <v>0.32</v>
      </c>
      <c r="AC13" s="445">
        <f t="shared" si="6"/>
        <v>0.67999999999999994</v>
      </c>
      <c r="AD13" s="445">
        <f t="shared" si="6"/>
        <v>0.33461682242990648</v>
      </c>
      <c r="AE13" s="445">
        <f t="shared" si="6"/>
        <v>0.87179487179487158</v>
      </c>
      <c r="AF13" s="445">
        <f t="shared" si="7"/>
        <v>0.63344653463529177</v>
      </c>
      <c r="AG13" s="444"/>
      <c r="AH13" s="462">
        <f t="shared" si="10"/>
        <v>0.76369954606160317</v>
      </c>
      <c r="AI13" s="462">
        <f t="shared" si="11"/>
        <v>6.9217109906492595</v>
      </c>
      <c r="AJ13" s="475">
        <f t="shared" si="12"/>
        <v>13.324447244400019</v>
      </c>
      <c r="AK13" s="476">
        <f t="shared" si="9"/>
        <v>0.76369954606160317</v>
      </c>
      <c r="AL13" s="446"/>
      <c r="AM13" s="446"/>
      <c r="AN13" s="446"/>
      <c r="AO13" s="446"/>
      <c r="AP13" s="446"/>
      <c r="AQ13" s="446"/>
      <c r="AR13" s="446"/>
      <c r="AS13" s="446"/>
      <c r="AT13" s="446"/>
    </row>
    <row r="14" spans="1:46" ht="13.5" customHeight="1" x14ac:dyDescent="0.2">
      <c r="A14" s="443"/>
      <c r="B14" s="449"/>
      <c r="C14" s="477" t="s">
        <v>158</v>
      </c>
      <c r="D14" s="478">
        <v>1</v>
      </c>
      <c r="E14" s="478">
        <v>1</v>
      </c>
      <c r="F14" s="479">
        <v>1</v>
      </c>
      <c r="G14" s="480">
        <f t="shared" si="13"/>
        <v>1</v>
      </c>
      <c r="H14" s="451"/>
      <c r="I14" s="443"/>
      <c r="J14" s="726" t="s">
        <v>557</v>
      </c>
      <c r="K14" s="724"/>
      <c r="L14" s="724"/>
      <c r="M14" s="724"/>
      <c r="N14" s="724"/>
      <c r="O14" s="725"/>
      <c r="P14" s="443"/>
      <c r="Q14" s="714"/>
      <c r="R14" s="493"/>
      <c r="S14" s="494">
        <f>K12/T6</f>
        <v>0.18089866777885358</v>
      </c>
      <c r="T14" s="495">
        <v>-1</v>
      </c>
      <c r="U14" s="444"/>
      <c r="V14" s="443">
        <f t="shared" si="8"/>
        <v>9</v>
      </c>
      <c r="W14" s="445">
        <f t="shared" si="1"/>
        <v>0.79920000000000002</v>
      </c>
      <c r="X14" s="445">
        <f t="shared" si="2"/>
        <v>3443.2000000000003</v>
      </c>
      <c r="Y14" s="445">
        <f t="shared" si="3"/>
        <v>39.991999999999997</v>
      </c>
      <c r="Z14" s="445">
        <f t="shared" si="4"/>
        <v>288.16839181374763</v>
      </c>
      <c r="AA14" s="445">
        <f t="shared" si="5"/>
        <v>479.904</v>
      </c>
      <c r="AB14" s="445">
        <f t="shared" si="6"/>
        <v>0.36</v>
      </c>
      <c r="AC14" s="445">
        <f t="shared" si="6"/>
        <v>0.64</v>
      </c>
      <c r="AD14" s="445">
        <f t="shared" si="6"/>
        <v>0.37375700934579437</v>
      </c>
      <c r="AE14" s="445">
        <f t="shared" si="6"/>
        <v>0.92307692307692313</v>
      </c>
      <c r="AF14" s="445">
        <f t="shared" si="7"/>
        <v>0.60047091046073309</v>
      </c>
      <c r="AG14" s="444"/>
      <c r="AH14" s="462">
        <f t="shared" si="10"/>
        <v>0.95462443257700391</v>
      </c>
      <c r="AI14" s="462">
        <f t="shared" si="11"/>
        <v>9.7018770678159196</v>
      </c>
      <c r="AJ14" s="475">
        <f t="shared" si="12"/>
        <v>14.561569881789094</v>
      </c>
      <c r="AK14" s="476">
        <f t="shared" si="9"/>
        <v>0.95462443257700391</v>
      </c>
      <c r="AL14" s="446"/>
      <c r="AM14" s="446"/>
      <c r="AN14" s="446"/>
      <c r="AO14" s="446"/>
      <c r="AP14" s="446"/>
      <c r="AQ14" s="446"/>
      <c r="AR14" s="446"/>
      <c r="AS14" s="446"/>
      <c r="AT14" s="446"/>
    </row>
    <row r="15" spans="1:46" ht="13.5" customHeight="1" x14ac:dyDescent="0.2">
      <c r="A15" s="443"/>
      <c r="B15" s="449"/>
      <c r="C15" s="727" t="s">
        <v>558</v>
      </c>
      <c r="D15" s="727"/>
      <c r="E15" s="727"/>
      <c r="F15" s="496">
        <v>2.27</v>
      </c>
      <c r="G15" s="480"/>
      <c r="H15" s="451"/>
      <c r="I15" s="443"/>
      <c r="J15" s="726"/>
      <c r="K15" s="497"/>
      <c r="L15" s="497"/>
      <c r="M15" s="497"/>
      <c r="N15" s="497"/>
      <c r="O15" s="498"/>
      <c r="P15" s="443"/>
      <c r="Q15" s="714"/>
      <c r="R15" s="493"/>
      <c r="S15" s="494">
        <f>K12/T6</f>
        <v>0.18089866777885358</v>
      </c>
      <c r="T15" s="495">
        <v>2</v>
      </c>
      <c r="U15" s="444"/>
      <c r="V15" s="443">
        <f t="shared" si="8"/>
        <v>10</v>
      </c>
      <c r="W15" s="445">
        <f t="shared" si="1"/>
        <v>0.88800000000000012</v>
      </c>
      <c r="X15" s="445">
        <f t="shared" si="2"/>
        <v>3228</v>
      </c>
      <c r="Y15" s="445">
        <f t="shared" si="3"/>
        <v>44.18</v>
      </c>
      <c r="Z15" s="445">
        <f t="shared" si="4"/>
        <v>300.17540813932044</v>
      </c>
      <c r="AA15" s="445">
        <f t="shared" si="5"/>
        <v>530.16</v>
      </c>
      <c r="AB15" s="445">
        <f t="shared" si="6"/>
        <v>0.4</v>
      </c>
      <c r="AC15" s="445">
        <f t="shared" si="6"/>
        <v>0.6</v>
      </c>
      <c r="AD15" s="445">
        <f t="shared" si="6"/>
        <v>0.41289719626168225</v>
      </c>
      <c r="AE15" s="445">
        <f t="shared" si="6"/>
        <v>0.96153846153846156</v>
      </c>
      <c r="AF15" s="445">
        <f t="shared" si="7"/>
        <v>0.56619776697472546</v>
      </c>
      <c r="AG15" s="444"/>
      <c r="AH15" s="462">
        <f t="shared" si="10"/>
        <v>1.1455493190924046</v>
      </c>
      <c r="AI15" s="462">
        <f t="shared" si="11"/>
        <v>12.630974760319223</v>
      </c>
      <c r="AJ15" s="475">
        <f t="shared" si="12"/>
        <v>15.341623326129518</v>
      </c>
      <c r="AK15" s="476">
        <f t="shared" si="9"/>
        <v>1.1455493190924046</v>
      </c>
      <c r="AL15" s="446"/>
      <c r="AM15" s="446"/>
      <c r="AN15" s="446"/>
      <c r="AO15" s="446"/>
      <c r="AP15" s="446"/>
      <c r="AQ15" s="446"/>
      <c r="AR15" s="446"/>
      <c r="AS15" s="446"/>
      <c r="AT15" s="446"/>
    </row>
    <row r="16" spans="1:46" ht="13.5" thickBot="1" x14ac:dyDescent="0.25">
      <c r="A16" s="443"/>
      <c r="B16" s="468"/>
      <c r="C16" s="470" t="s">
        <v>559</v>
      </c>
      <c r="D16" s="499">
        <f>1/G16</f>
        <v>5.238095238095239</v>
      </c>
      <c r="E16" s="500" t="s">
        <v>560</v>
      </c>
      <c r="F16" s="501">
        <f>IF(F11&lt;&gt;0,F11,1)*IF(F12&lt;&gt;0,F12,1)*IF(F13&lt;&gt;0,F13,1)*IF(F14&lt;&gt;0,F14,1)</f>
        <v>0.90309374999999992</v>
      </c>
      <c r="G16" s="502">
        <f>G11*G12*G13*G14</f>
        <v>0.19090909090909089</v>
      </c>
      <c r="H16" s="472"/>
      <c r="I16" s="443"/>
      <c r="J16" s="726"/>
      <c r="K16" s="497"/>
      <c r="L16" s="497"/>
      <c r="M16" s="497"/>
      <c r="N16" s="497"/>
      <c r="O16" s="498"/>
      <c r="P16" s="443"/>
      <c r="Q16" s="714"/>
      <c r="S16" s="490" t="s">
        <v>561</v>
      </c>
      <c r="T16" s="445">
        <f>G38*12*0.0254</f>
        <v>7.62</v>
      </c>
      <c r="U16" s="444"/>
      <c r="V16" s="443">
        <f t="shared" si="8"/>
        <v>11</v>
      </c>
      <c r="W16" s="445">
        <f t="shared" si="1"/>
        <v>0.97680000000000011</v>
      </c>
      <c r="X16" s="445">
        <f t="shared" si="2"/>
        <v>3012.8</v>
      </c>
      <c r="Y16" s="445">
        <f t="shared" si="3"/>
        <v>48.368000000000002</v>
      </c>
      <c r="Z16" s="445">
        <f t="shared" si="4"/>
        <v>308.18008568970237</v>
      </c>
      <c r="AA16" s="445">
        <f t="shared" si="5"/>
        <v>580.41600000000005</v>
      </c>
      <c r="AB16" s="445">
        <f t="shared" si="6"/>
        <v>0.44</v>
      </c>
      <c r="AC16" s="445">
        <f t="shared" si="6"/>
        <v>0.56000000000000005</v>
      </c>
      <c r="AD16" s="445">
        <f t="shared" si="6"/>
        <v>0.45203738317757014</v>
      </c>
      <c r="AE16" s="445">
        <f t="shared" si="6"/>
        <v>0.98717948717948734</v>
      </c>
      <c r="AF16" s="445">
        <f t="shared" si="7"/>
        <v>0.53096414587072438</v>
      </c>
      <c r="AG16" s="444"/>
      <c r="AH16" s="462">
        <f t="shared" si="10"/>
        <v>1.3364742056078054</v>
      </c>
      <c r="AI16" s="462">
        <f t="shared" si="11"/>
        <v>15.653979569225889</v>
      </c>
      <c r="AJ16" s="475">
        <f t="shared" si="12"/>
        <v>15.833477049953983</v>
      </c>
      <c r="AK16" s="476">
        <f t="shared" si="9"/>
        <v>1.3364742056078054</v>
      </c>
      <c r="AL16" s="446"/>
      <c r="AM16" s="446"/>
      <c r="AN16" s="446"/>
      <c r="AO16" s="446"/>
      <c r="AP16" s="446"/>
      <c r="AQ16" s="446"/>
      <c r="AR16" s="446"/>
      <c r="AS16" s="446"/>
      <c r="AT16" s="446"/>
    </row>
    <row r="17" spans="1:46" ht="7.5" customHeight="1" thickBot="1" x14ac:dyDescent="0.25">
      <c r="A17" s="443"/>
      <c r="B17" s="443"/>
      <c r="C17" s="443"/>
      <c r="D17" s="443"/>
      <c r="E17" s="443"/>
      <c r="F17" s="443"/>
      <c r="G17" s="503"/>
      <c r="H17" s="443"/>
      <c r="I17" s="443"/>
      <c r="J17" s="726"/>
      <c r="K17" s="497"/>
      <c r="L17" s="497"/>
      <c r="M17" s="497"/>
      <c r="N17" s="497"/>
      <c r="O17" s="498"/>
      <c r="P17" s="443"/>
      <c r="Q17" s="714"/>
      <c r="T17" s="462"/>
      <c r="U17" s="444"/>
      <c r="V17" s="443">
        <f t="shared" si="8"/>
        <v>12</v>
      </c>
      <c r="W17" s="445">
        <f t="shared" si="1"/>
        <v>1.0656000000000001</v>
      </c>
      <c r="X17" s="445">
        <f t="shared" si="2"/>
        <v>2797.6</v>
      </c>
      <c r="Y17" s="445">
        <f t="shared" si="3"/>
        <v>52.555999999999997</v>
      </c>
      <c r="Z17" s="445">
        <f t="shared" si="4"/>
        <v>312.18242446489324</v>
      </c>
      <c r="AA17" s="445">
        <f t="shared" si="5"/>
        <v>630.67200000000003</v>
      </c>
      <c r="AB17" s="445">
        <f t="shared" si="6"/>
        <v>0.48</v>
      </c>
      <c r="AC17" s="445">
        <f t="shared" si="6"/>
        <v>0.52</v>
      </c>
      <c r="AD17" s="445">
        <f t="shared" si="6"/>
        <v>0.49117757009345792</v>
      </c>
      <c r="AE17" s="445">
        <f t="shared" si="6"/>
        <v>1</v>
      </c>
      <c r="AF17" s="445">
        <f t="shared" si="7"/>
        <v>0.49499965824532122</v>
      </c>
      <c r="AG17" s="444"/>
      <c r="AH17" s="462">
        <f t="shared" si="10"/>
        <v>1.5273990921232061</v>
      </c>
      <c r="AI17" s="462">
        <f t="shared" si="11"/>
        <v>18.736196429860197</v>
      </c>
      <c r="AJ17" s="475">
        <f t="shared" si="12"/>
        <v>16.143609756110472</v>
      </c>
      <c r="AK17" s="476">
        <f t="shared" si="9"/>
        <v>1.5273990921232061</v>
      </c>
      <c r="AL17" s="446"/>
      <c r="AM17" s="446"/>
      <c r="AN17" s="446"/>
      <c r="AO17" s="446"/>
      <c r="AP17" s="446"/>
      <c r="AQ17" s="446"/>
      <c r="AR17" s="446"/>
      <c r="AS17" s="446"/>
      <c r="AT17" s="446"/>
    </row>
    <row r="18" spans="1:46" ht="15.75" customHeight="1" thickBot="1" x14ac:dyDescent="0.3">
      <c r="B18" s="716" t="s">
        <v>562</v>
      </c>
      <c r="C18" s="717"/>
      <c r="D18" s="717"/>
      <c r="E18" s="717"/>
      <c r="F18" s="717"/>
      <c r="G18" s="717"/>
      <c r="H18" s="741"/>
      <c r="J18" s="726"/>
      <c r="K18" s="497"/>
      <c r="L18" s="497"/>
      <c r="M18" s="497"/>
      <c r="N18" s="497"/>
      <c r="O18" s="498"/>
      <c r="P18" s="443"/>
      <c r="Q18" s="714"/>
      <c r="S18" s="490" t="s">
        <v>563</v>
      </c>
      <c r="T18" s="504">
        <f>SUM(G27:G29)*0.4536</f>
        <v>67.3596</v>
      </c>
      <c r="U18" s="444"/>
      <c r="V18" s="443">
        <f t="shared" si="8"/>
        <v>13</v>
      </c>
      <c r="W18" s="445">
        <f t="shared" si="1"/>
        <v>1.1544000000000001</v>
      </c>
      <c r="X18" s="445">
        <f t="shared" si="2"/>
        <v>2582.4</v>
      </c>
      <c r="Y18" s="445">
        <f t="shared" si="3"/>
        <v>56.744</v>
      </c>
      <c r="Z18" s="445">
        <f t="shared" si="4"/>
        <v>312.18242446489324</v>
      </c>
      <c r="AA18" s="445">
        <f t="shared" si="5"/>
        <v>680.928</v>
      </c>
      <c r="AB18" s="445">
        <f t="shared" si="6"/>
        <v>0.52</v>
      </c>
      <c r="AC18" s="445">
        <f t="shared" si="6"/>
        <v>0.48000000000000004</v>
      </c>
      <c r="AD18" s="445">
        <f t="shared" si="6"/>
        <v>0.5303177570093458</v>
      </c>
      <c r="AE18" s="445">
        <f t="shared" si="6"/>
        <v>1</v>
      </c>
      <c r="AF18" s="445">
        <f t="shared" si="7"/>
        <v>0.45846612926020558</v>
      </c>
      <c r="AG18" s="444"/>
      <c r="AH18" s="462">
        <f t="shared" si="10"/>
        <v>1.7183239786386069</v>
      </c>
      <c r="AI18" s="462">
        <f t="shared" si="11"/>
        <v>21.855748768401604</v>
      </c>
      <c r="AJ18" s="475">
        <f t="shared" si="12"/>
        <v>16.339160365507258</v>
      </c>
      <c r="AK18" s="476">
        <f t="shared" si="9"/>
        <v>1.7183239786386069</v>
      </c>
      <c r="AL18" s="446"/>
      <c r="AM18" s="446"/>
      <c r="AN18" s="446"/>
      <c r="AO18" s="446"/>
      <c r="AP18" s="446"/>
      <c r="AQ18" s="446"/>
      <c r="AR18" s="446"/>
      <c r="AS18" s="446"/>
      <c r="AT18" s="446"/>
    </row>
    <row r="19" spans="1:46" ht="13.5" customHeight="1" x14ac:dyDescent="0.25">
      <c r="B19" s="449"/>
      <c r="C19" s="751" t="s">
        <v>564</v>
      </c>
      <c r="D19" s="752"/>
      <c r="E19" s="752"/>
      <c r="F19" s="752"/>
      <c r="G19" s="753"/>
      <c r="H19" s="451"/>
      <c r="J19" s="726"/>
      <c r="K19" s="497"/>
      <c r="L19" s="497"/>
      <c r="M19" s="497"/>
      <c r="N19" s="497"/>
      <c r="O19" s="498"/>
      <c r="P19" s="443"/>
      <c r="Q19" s="714"/>
      <c r="S19" s="490" t="s">
        <v>565</v>
      </c>
      <c r="T19" s="505">
        <f>G20/2*0.0254</f>
        <v>5.0799999999999998E-2</v>
      </c>
      <c r="U19" s="444"/>
      <c r="V19" s="443">
        <f t="shared" si="8"/>
        <v>14</v>
      </c>
      <c r="W19" s="445">
        <f t="shared" si="1"/>
        <v>1.2432000000000001</v>
      </c>
      <c r="X19" s="445">
        <f t="shared" si="2"/>
        <v>2367.2000000000003</v>
      </c>
      <c r="Y19" s="445">
        <f t="shared" si="3"/>
        <v>60.932000000000002</v>
      </c>
      <c r="Z19" s="445">
        <f t="shared" si="4"/>
        <v>308.18008568970237</v>
      </c>
      <c r="AA19" s="445">
        <f t="shared" si="5"/>
        <v>731.18399999999997</v>
      </c>
      <c r="AB19" s="445">
        <f t="shared" si="6"/>
        <v>0.55999999999999994</v>
      </c>
      <c r="AC19" s="445">
        <f t="shared" si="6"/>
        <v>0.44000000000000006</v>
      </c>
      <c r="AD19" s="445">
        <f t="shared" si="6"/>
        <v>0.56945794392523363</v>
      </c>
      <c r="AE19" s="445">
        <f t="shared" si="6"/>
        <v>0.98717948717948734</v>
      </c>
      <c r="AF19" s="445">
        <f t="shared" si="7"/>
        <v>0.42148089357767998</v>
      </c>
      <c r="AG19" s="444"/>
      <c r="AH19" s="462">
        <f t="shared" si="10"/>
        <v>1.9092488651540076</v>
      </c>
      <c r="AI19" s="462">
        <f t="shared" si="11"/>
        <v>24.998842562945292</v>
      </c>
      <c r="AJ19" s="475">
        <f t="shared" si="12"/>
        <v>16.462462552204549</v>
      </c>
      <c r="AK19" s="476">
        <f t="shared" si="9"/>
        <v>1.9092488651540076</v>
      </c>
      <c r="AL19" s="446"/>
      <c r="AM19" s="446"/>
      <c r="AN19" s="446"/>
      <c r="AO19" s="446"/>
      <c r="AP19" s="446"/>
      <c r="AQ19" s="446"/>
      <c r="AR19" s="446"/>
      <c r="AS19" s="446"/>
      <c r="AT19" s="446"/>
    </row>
    <row r="20" spans="1:46" ht="12.75" customHeight="1" x14ac:dyDescent="0.2">
      <c r="B20" s="449"/>
      <c r="C20" s="731" t="s">
        <v>566</v>
      </c>
      <c r="D20" s="732"/>
      <c r="E20" s="732"/>
      <c r="F20" s="732"/>
      <c r="G20" s="506">
        <v>4</v>
      </c>
      <c r="H20" s="451"/>
      <c r="J20" s="507"/>
      <c r="K20" s="497"/>
      <c r="L20" s="497"/>
      <c r="M20" s="497"/>
      <c r="N20" s="497"/>
      <c r="O20" s="498"/>
      <c r="P20" s="443"/>
      <c r="Q20" s="714"/>
      <c r="S20" s="490" t="s">
        <v>567</v>
      </c>
      <c r="T20" s="508">
        <f>F16</f>
        <v>0.90309374999999992</v>
      </c>
      <c r="U20" s="444"/>
      <c r="V20" s="443">
        <f t="shared" si="8"/>
        <v>15</v>
      </c>
      <c r="W20" s="445">
        <f t="shared" si="1"/>
        <v>1.3320000000000001</v>
      </c>
      <c r="X20" s="445">
        <f t="shared" si="2"/>
        <v>2152</v>
      </c>
      <c r="Y20" s="445">
        <f t="shared" si="3"/>
        <v>65.12</v>
      </c>
      <c r="Z20" s="445">
        <f t="shared" si="4"/>
        <v>300.17540813932038</v>
      </c>
      <c r="AA20" s="445">
        <f t="shared" si="5"/>
        <v>781.44</v>
      </c>
      <c r="AB20" s="445">
        <f t="shared" si="6"/>
        <v>0.6</v>
      </c>
      <c r="AC20" s="445">
        <f t="shared" si="6"/>
        <v>0.4</v>
      </c>
      <c r="AD20" s="445">
        <f t="shared" si="6"/>
        <v>0.60859813084112158</v>
      </c>
      <c r="AE20" s="445">
        <f t="shared" si="6"/>
        <v>0.96153846153846134</v>
      </c>
      <c r="AF20" s="445">
        <f t="shared" si="7"/>
        <v>0.38413110173438825</v>
      </c>
      <c r="AG20" s="444"/>
      <c r="AH20" s="462">
        <f t="shared" si="10"/>
        <v>2.1001737516694083</v>
      </c>
      <c r="AI20" s="462">
        <f t="shared" si="11"/>
        <v>28.156780151696918</v>
      </c>
      <c r="AJ20" s="475">
        <f t="shared" si="12"/>
        <v>16.540209327278529</v>
      </c>
      <c r="AK20" s="476">
        <f t="shared" si="9"/>
        <v>2.1001737516694083</v>
      </c>
      <c r="AL20" s="446"/>
      <c r="AM20" s="446"/>
      <c r="AN20" s="446"/>
      <c r="AO20" s="446"/>
      <c r="AP20" s="446"/>
      <c r="AQ20" s="446"/>
      <c r="AR20" s="446"/>
      <c r="AS20" s="446"/>
      <c r="AT20" s="446"/>
    </row>
    <row r="21" spans="1:46" ht="13.5" thickBot="1" x14ac:dyDescent="0.25">
      <c r="B21" s="449"/>
      <c r="C21" s="731" t="s">
        <v>568</v>
      </c>
      <c r="D21" s="732"/>
      <c r="E21" s="732"/>
      <c r="F21" s="732"/>
      <c r="G21" s="506">
        <v>1</v>
      </c>
      <c r="H21" s="451"/>
      <c r="J21" s="449"/>
      <c r="K21" s="497"/>
      <c r="L21" s="497"/>
      <c r="M21" s="497"/>
      <c r="N21" s="497"/>
      <c r="O21" s="498"/>
      <c r="P21" s="443"/>
      <c r="Q21" s="714"/>
      <c r="S21" s="490" t="s">
        <v>569</v>
      </c>
      <c r="T21" s="445">
        <f>G6</f>
        <v>4</v>
      </c>
      <c r="U21" s="444"/>
      <c r="V21" s="443">
        <f t="shared" si="8"/>
        <v>16</v>
      </c>
      <c r="W21" s="445">
        <f t="shared" si="1"/>
        <v>1.4208000000000001</v>
      </c>
      <c r="X21" s="445">
        <f t="shared" si="2"/>
        <v>1936.8</v>
      </c>
      <c r="Y21" s="445">
        <f t="shared" si="3"/>
        <v>69.307999999999993</v>
      </c>
      <c r="Z21" s="445">
        <f t="shared" si="4"/>
        <v>288.16839181374763</v>
      </c>
      <c r="AA21" s="445">
        <f t="shared" si="5"/>
        <v>831.69599999999991</v>
      </c>
      <c r="AB21" s="445">
        <f t="shared" si="6"/>
        <v>0.64</v>
      </c>
      <c r="AC21" s="445">
        <f t="shared" si="6"/>
        <v>0.36</v>
      </c>
      <c r="AD21" s="445">
        <f t="shared" si="6"/>
        <v>0.6477383177570093</v>
      </c>
      <c r="AE21" s="445">
        <f t="shared" si="6"/>
        <v>0.92307692307692313</v>
      </c>
      <c r="AF21" s="445">
        <f t="shared" si="7"/>
        <v>0.34648283965986088</v>
      </c>
      <c r="AG21" s="444"/>
      <c r="AH21" s="462">
        <f t="shared" si="10"/>
        <v>2.2910986381848093</v>
      </c>
      <c r="AI21" s="462">
        <f t="shared" si="11"/>
        <v>31.324077324089668</v>
      </c>
      <c r="AJ21" s="475">
        <f t="shared" si="12"/>
        <v>16.589231661726089</v>
      </c>
      <c r="AK21" s="476">
        <f t="shared" si="9"/>
        <v>2.2910986381848093</v>
      </c>
      <c r="AL21" s="446"/>
      <c r="AM21" s="446"/>
      <c r="AN21" s="446"/>
      <c r="AO21" s="446"/>
      <c r="AP21" s="446"/>
      <c r="AQ21" s="446"/>
      <c r="AR21" s="446"/>
      <c r="AS21" s="446"/>
      <c r="AT21" s="446"/>
    </row>
    <row r="22" spans="1:46" ht="12.75" customHeight="1" x14ac:dyDescent="0.25">
      <c r="B22" s="449"/>
      <c r="C22" s="731" t="s">
        <v>570</v>
      </c>
      <c r="D22" s="732"/>
      <c r="E22" s="732"/>
      <c r="F22" s="732"/>
      <c r="G22" s="509">
        <v>1</v>
      </c>
      <c r="H22" s="451"/>
      <c r="J22" s="728" t="s">
        <v>571</v>
      </c>
      <c r="K22" s="729"/>
      <c r="L22" s="729"/>
      <c r="M22" s="729"/>
      <c r="N22" s="729"/>
      <c r="O22" s="730"/>
      <c r="P22" s="443"/>
      <c r="Q22" s="714"/>
      <c r="S22" s="490" t="s">
        <v>572</v>
      </c>
      <c r="T22" s="445">
        <f>IF(G23="YES",0.5,1)</f>
        <v>0.5</v>
      </c>
      <c r="U22" s="444"/>
      <c r="V22" s="443">
        <f t="shared" si="8"/>
        <v>17</v>
      </c>
      <c r="W22" s="445">
        <f t="shared" si="1"/>
        <v>1.5096000000000001</v>
      </c>
      <c r="X22" s="445">
        <f t="shared" si="2"/>
        <v>1721.6000000000004</v>
      </c>
      <c r="Y22" s="445">
        <f t="shared" si="3"/>
        <v>73.495999999999995</v>
      </c>
      <c r="Z22" s="445">
        <f t="shared" si="4"/>
        <v>272.15903671298395</v>
      </c>
      <c r="AA22" s="445">
        <f t="shared" si="5"/>
        <v>881.952</v>
      </c>
      <c r="AB22" s="445">
        <f t="shared" si="6"/>
        <v>0.67999999999999994</v>
      </c>
      <c r="AC22" s="445">
        <f t="shared" si="6"/>
        <v>0.32000000000000006</v>
      </c>
      <c r="AD22" s="445">
        <f t="shared" si="6"/>
        <v>0.68687850467289713</v>
      </c>
      <c r="AE22" s="445">
        <f t="shared" si="6"/>
        <v>0.87179487179487214</v>
      </c>
      <c r="AF22" s="445">
        <f t="shared" si="7"/>
        <v>0.30858713026670831</v>
      </c>
      <c r="AG22" s="444"/>
      <c r="AH22" s="462">
        <f t="shared" si="10"/>
        <v>2.4820235247002103</v>
      </c>
      <c r="AI22" s="462">
        <f t="shared" si="11"/>
        <v>34.497276074253449</v>
      </c>
      <c r="AJ22" s="475">
        <f t="shared" si="12"/>
        <v>16.620142130647881</v>
      </c>
      <c r="AK22" s="476">
        <f t="shared" si="9"/>
        <v>2.4820235247002103</v>
      </c>
      <c r="AL22" s="446"/>
      <c r="AM22" s="446"/>
      <c r="AN22" s="446"/>
      <c r="AO22" s="446"/>
      <c r="AP22" s="446"/>
      <c r="AQ22" s="446"/>
      <c r="AR22" s="446"/>
      <c r="AS22" s="446"/>
      <c r="AT22" s="446"/>
    </row>
    <row r="23" spans="1:46" x14ac:dyDescent="0.2">
      <c r="B23" s="449"/>
      <c r="C23" s="731" t="s">
        <v>573</v>
      </c>
      <c r="D23" s="732"/>
      <c r="E23" s="732"/>
      <c r="F23" s="757"/>
      <c r="G23" s="510" t="s">
        <v>574</v>
      </c>
      <c r="H23" s="451"/>
      <c r="J23" s="511">
        <f t="shared" ref="J23:J25" si="14">J24+250</f>
        <v>1000</v>
      </c>
      <c r="K23" s="497"/>
      <c r="L23" s="497"/>
      <c r="M23" s="497"/>
      <c r="N23" s="497"/>
      <c r="O23" s="498"/>
      <c r="P23" s="443"/>
      <c r="Q23" s="714"/>
      <c r="S23" s="490" t="s">
        <v>575</v>
      </c>
      <c r="T23" s="456">
        <f>SQRT(((1-$G$34)*$G$32-G32/2)^2+($G$33*$G$35-(G33/2))^2)</f>
        <v>0</v>
      </c>
      <c r="U23" s="444"/>
      <c r="V23" s="443">
        <f t="shared" si="8"/>
        <v>18</v>
      </c>
      <c r="W23" s="445">
        <f t="shared" si="1"/>
        <v>1.5984</v>
      </c>
      <c r="X23" s="445">
        <f t="shared" si="2"/>
        <v>1506.4</v>
      </c>
      <c r="Y23" s="445">
        <f t="shared" si="3"/>
        <v>77.683999999999997</v>
      </c>
      <c r="Z23" s="445">
        <f t="shared" si="4"/>
        <v>252.14734283702916</v>
      </c>
      <c r="AA23" s="445">
        <f t="shared" si="5"/>
        <v>932.20799999999997</v>
      </c>
      <c r="AB23" s="445">
        <f t="shared" si="6"/>
        <v>0.72</v>
      </c>
      <c r="AC23" s="445">
        <f t="shared" si="6"/>
        <v>0.28000000000000003</v>
      </c>
      <c r="AD23" s="445">
        <f t="shared" si="6"/>
        <v>0.72601869158878507</v>
      </c>
      <c r="AE23" s="445">
        <f t="shared" si="6"/>
        <v>0.80769230769230771</v>
      </c>
      <c r="AF23" s="445">
        <f t="shared" si="7"/>
        <v>0.27048399374069859</v>
      </c>
      <c r="AG23" s="444"/>
      <c r="AH23" s="462">
        <f t="shared" si="10"/>
        <v>2.6729484112156112</v>
      </c>
      <c r="AI23" s="462">
        <f t="shared" si="11"/>
        <v>37.674195996375616</v>
      </c>
      <c r="AJ23" s="475">
        <f t="shared" si="12"/>
        <v>16.639632371162367</v>
      </c>
      <c r="AK23" s="476">
        <f t="shared" si="9"/>
        <v>2.6729484112156112</v>
      </c>
      <c r="AL23" s="446"/>
      <c r="AM23" s="446"/>
      <c r="AN23" s="446"/>
      <c r="AO23" s="446"/>
      <c r="AP23" s="446"/>
      <c r="AQ23" s="446"/>
      <c r="AR23" s="446"/>
      <c r="AS23" s="446"/>
      <c r="AT23" s="446"/>
    </row>
    <row r="24" spans="1:46" ht="13.5" thickBot="1" x14ac:dyDescent="0.25">
      <c r="B24" s="452"/>
      <c r="C24" s="758" t="s">
        <v>576</v>
      </c>
      <c r="D24" s="759"/>
      <c r="E24" s="759"/>
      <c r="F24" s="759"/>
      <c r="G24" s="512" t="s">
        <v>577</v>
      </c>
      <c r="H24" s="454"/>
      <c r="J24" s="511">
        <f t="shared" si="14"/>
        <v>750</v>
      </c>
      <c r="K24" s="497"/>
      <c r="L24" s="497"/>
      <c r="M24" s="497"/>
      <c r="N24" s="497"/>
      <c r="O24" s="498"/>
      <c r="P24" s="443"/>
      <c r="Q24" s="714"/>
      <c r="S24" s="490" t="s">
        <v>578</v>
      </c>
      <c r="T24" s="445" t="b">
        <f>IF(G21*G33 &gt; G22*(G32-4*T23^2/G32), TRUE, FALSE)</f>
        <v>1</v>
      </c>
      <c r="U24" s="444"/>
      <c r="V24" s="443">
        <f t="shared" si="8"/>
        <v>19</v>
      </c>
      <c r="W24" s="445">
        <f t="shared" si="1"/>
        <v>1.6872000000000003</v>
      </c>
      <c r="X24" s="445">
        <f t="shared" si="2"/>
        <v>1291.2</v>
      </c>
      <c r="Y24" s="445">
        <f t="shared" si="3"/>
        <v>81.872000000000014</v>
      </c>
      <c r="Z24" s="445">
        <f t="shared" si="4"/>
        <v>228.13331018588357</v>
      </c>
      <c r="AA24" s="445">
        <f t="shared" si="5"/>
        <v>982.46400000000017</v>
      </c>
      <c r="AB24" s="445">
        <f t="shared" si="6"/>
        <v>0.76</v>
      </c>
      <c r="AC24" s="445">
        <f t="shared" si="6"/>
        <v>0.24000000000000002</v>
      </c>
      <c r="AD24" s="445">
        <f t="shared" si="6"/>
        <v>0.76515887850467301</v>
      </c>
      <c r="AE24" s="445">
        <f t="shared" si="6"/>
        <v>0.73076923076923095</v>
      </c>
      <c r="AF24" s="445">
        <f t="shared" si="7"/>
        <v>0.23220526165425251</v>
      </c>
      <c r="AG24" s="444"/>
      <c r="AH24" s="462">
        <f t="shared" si="10"/>
        <v>2.8638732977310122</v>
      </c>
      <c r="AI24" s="462">
        <f t="shared" si="11"/>
        <v>40.853462260659342</v>
      </c>
      <c r="AJ24" s="475">
        <f t="shared" si="12"/>
        <v>16.651921718058844</v>
      </c>
      <c r="AK24" s="476">
        <f t="shared" si="9"/>
        <v>2.8638732977310122</v>
      </c>
      <c r="AL24" s="446"/>
      <c r="AM24" s="446"/>
      <c r="AN24" s="446"/>
      <c r="AO24" s="446"/>
      <c r="AP24" s="446"/>
      <c r="AQ24" s="446"/>
      <c r="AR24" s="446"/>
      <c r="AS24" s="446"/>
      <c r="AT24" s="446"/>
    </row>
    <row r="25" spans="1:46" ht="13.5" customHeight="1" thickBot="1" x14ac:dyDescent="0.25">
      <c r="B25" s="449"/>
      <c r="C25" s="513"/>
      <c r="D25" s="513"/>
      <c r="E25" s="513"/>
      <c r="F25" s="513"/>
      <c r="G25" s="474"/>
      <c r="H25" s="451"/>
      <c r="J25" s="511">
        <f t="shared" si="14"/>
        <v>500</v>
      </c>
      <c r="K25" s="497"/>
      <c r="L25" s="497"/>
      <c r="M25" s="497"/>
      <c r="N25" s="497"/>
      <c r="O25" s="498"/>
      <c r="P25" s="443"/>
      <c r="Q25" s="714"/>
      <c r="S25" s="490" t="s">
        <v>579</v>
      </c>
      <c r="T25" s="514" t="b">
        <f>IF(V36/T19/4*T7 &gt; T26,TRUE,FALSE)</f>
        <v>1</v>
      </c>
      <c r="U25" s="444"/>
      <c r="V25" s="443">
        <f t="shared" si="8"/>
        <v>20</v>
      </c>
      <c r="W25" s="445">
        <f t="shared" si="1"/>
        <v>1.7760000000000002</v>
      </c>
      <c r="X25" s="445">
        <f t="shared" si="2"/>
        <v>1075.9999999999998</v>
      </c>
      <c r="Y25" s="445">
        <f t="shared" si="3"/>
        <v>86.06</v>
      </c>
      <c r="Z25" s="445">
        <f t="shared" si="4"/>
        <v>200.11693875954694</v>
      </c>
      <c r="AA25" s="445">
        <f t="shared" si="5"/>
        <v>1032.72</v>
      </c>
      <c r="AB25" s="445">
        <f t="shared" si="6"/>
        <v>0.8</v>
      </c>
      <c r="AC25" s="445">
        <f t="shared" si="6"/>
        <v>0.19999999999999996</v>
      </c>
      <c r="AD25" s="445">
        <f t="shared" si="6"/>
        <v>0.80429906542056073</v>
      </c>
      <c r="AE25" s="445">
        <f t="shared" si="6"/>
        <v>0.64102564102564097</v>
      </c>
      <c r="AF25" s="445">
        <f t="shared" si="7"/>
        <v>0.1937765694085008</v>
      </c>
      <c r="AG25" s="444"/>
      <c r="AH25" s="462">
        <f t="shared" si="10"/>
        <v>3.0547981842464131</v>
      </c>
      <c r="AI25" s="462">
        <f t="shared" si="11"/>
        <v>44.034207983995387</v>
      </c>
      <c r="AJ25" s="475">
        <f t="shared" si="12"/>
        <v>16.659670624339853</v>
      </c>
      <c r="AK25" s="476">
        <f t="shared" si="9"/>
        <v>3.0547981842464131</v>
      </c>
      <c r="AL25" s="446"/>
      <c r="AM25" s="446"/>
      <c r="AN25" s="446"/>
      <c r="AO25" s="446"/>
      <c r="AP25" s="446"/>
      <c r="AQ25" s="446"/>
      <c r="AR25" s="446"/>
      <c r="AS25" s="446"/>
      <c r="AT25" s="446"/>
    </row>
    <row r="26" spans="1:46" x14ac:dyDescent="0.2">
      <c r="B26" s="449"/>
      <c r="C26" s="760" t="s">
        <v>353</v>
      </c>
      <c r="D26" s="761"/>
      <c r="E26" s="761"/>
      <c r="F26" s="761"/>
      <c r="G26" s="762"/>
      <c r="H26" s="451"/>
      <c r="J26" s="511">
        <f>J27+250</f>
        <v>250</v>
      </c>
      <c r="K26" s="463"/>
      <c r="L26" s="463"/>
      <c r="M26" s="463"/>
      <c r="N26" s="463"/>
      <c r="O26" s="451"/>
      <c r="P26" s="443"/>
      <c r="Q26" s="714"/>
      <c r="S26" s="490" t="s">
        <v>580</v>
      </c>
      <c r="T26" s="514">
        <f>G22*(V39*4.448222)/(G33*0.0254)*((G32*0.0254)/4 - (T23*0.0254)^2/(G32*0.0254))</f>
        <v>101.62476415384616</v>
      </c>
      <c r="U26" s="444"/>
      <c r="V26" s="443">
        <f t="shared" si="8"/>
        <v>21</v>
      </c>
      <c r="W26" s="445">
        <f t="shared" si="1"/>
        <v>1.8648000000000002</v>
      </c>
      <c r="X26" s="445">
        <f t="shared" si="2"/>
        <v>860.79999999999961</v>
      </c>
      <c r="Y26" s="445">
        <f t="shared" si="3"/>
        <v>90.248000000000005</v>
      </c>
      <c r="Z26" s="445">
        <f t="shared" si="4"/>
        <v>168.0982285580194</v>
      </c>
      <c r="AA26" s="445">
        <f t="shared" si="5"/>
        <v>1082.9760000000001</v>
      </c>
      <c r="AB26" s="445">
        <f t="shared" si="6"/>
        <v>0.84000000000000008</v>
      </c>
      <c r="AC26" s="445">
        <f t="shared" si="6"/>
        <v>0.15999999999999992</v>
      </c>
      <c r="AD26" s="445">
        <f t="shared" si="6"/>
        <v>0.84343925233644867</v>
      </c>
      <c r="AE26" s="445">
        <f t="shared" si="6"/>
        <v>0.53846153846153832</v>
      </c>
      <c r="AF26" s="445">
        <f t="shared" si="7"/>
        <v>0.15521879391419513</v>
      </c>
      <c r="AG26" s="444"/>
      <c r="AH26" s="462">
        <f t="shared" si="10"/>
        <v>3.2457230707618141</v>
      </c>
      <c r="AI26" s="462">
        <f t="shared" si="11"/>
        <v>47.215886563213829</v>
      </c>
      <c r="AJ26" s="475">
        <f t="shared" si="12"/>
        <v>16.664556608034395</v>
      </c>
      <c r="AK26" s="476">
        <f t="shared" si="9"/>
        <v>3.2457230707618141</v>
      </c>
      <c r="AL26" s="446"/>
      <c r="AM26" s="446"/>
      <c r="AN26" s="446"/>
      <c r="AO26" s="446"/>
      <c r="AP26" s="446"/>
      <c r="AQ26" s="446"/>
      <c r="AR26" s="446"/>
      <c r="AS26" s="446"/>
      <c r="AT26" s="446"/>
    </row>
    <row r="27" spans="1:46" ht="13.5" thickBot="1" x14ac:dyDescent="0.25">
      <c r="B27" s="449"/>
      <c r="C27" s="731" t="s">
        <v>581</v>
      </c>
      <c r="D27" s="732"/>
      <c r="E27" s="732"/>
      <c r="F27" s="732"/>
      <c r="G27" s="506">
        <v>120</v>
      </c>
      <c r="H27" s="451"/>
      <c r="J27" s="511">
        <v>0</v>
      </c>
      <c r="K27" s="497"/>
      <c r="L27" s="497"/>
      <c r="M27" s="497"/>
      <c r="N27" s="497"/>
      <c r="O27" s="498"/>
      <c r="P27" s="443"/>
      <c r="Q27" s="715"/>
      <c r="S27" s="515" t="s">
        <v>582</v>
      </c>
      <c r="T27" s="514">
        <f>T26*T19/T7</f>
        <v>5.1625380190153844</v>
      </c>
      <c r="U27" s="444"/>
      <c r="V27" s="443">
        <f t="shared" si="8"/>
        <v>22</v>
      </c>
      <c r="W27" s="445">
        <f t="shared" si="1"/>
        <v>1.9536000000000002</v>
      </c>
      <c r="X27" s="445">
        <f t="shared" si="2"/>
        <v>645.6</v>
      </c>
      <c r="Y27" s="445">
        <f t="shared" si="3"/>
        <v>94.436000000000007</v>
      </c>
      <c r="Z27" s="445">
        <f t="shared" si="4"/>
        <v>132.07717958130101</v>
      </c>
      <c r="AA27" s="445">
        <f t="shared" si="5"/>
        <v>1133.232</v>
      </c>
      <c r="AB27" s="445">
        <f t="shared" si="6"/>
        <v>0.88</v>
      </c>
      <c r="AC27" s="445">
        <f t="shared" si="6"/>
        <v>0.12000000000000001</v>
      </c>
      <c r="AD27" s="445">
        <f t="shared" si="6"/>
        <v>0.88257943925233651</v>
      </c>
      <c r="AE27" s="445">
        <f t="shared" si="6"/>
        <v>0.42307692307692313</v>
      </c>
      <c r="AF27" s="445">
        <f t="shared" si="7"/>
        <v>0.11654910872734005</v>
      </c>
      <c r="AG27" s="444"/>
      <c r="AH27" s="462">
        <f t="shared" si="10"/>
        <v>3.4366479572772151</v>
      </c>
      <c r="AI27" s="462">
        <f t="shared" si="11"/>
        <v>50.39815334397521</v>
      </c>
      <c r="AJ27" s="475">
        <f t="shared" si="12"/>
        <v>16.667637408833464</v>
      </c>
      <c r="AK27" s="476">
        <f t="shared" si="9"/>
        <v>3.4366479572772151</v>
      </c>
      <c r="AL27" s="446"/>
      <c r="AM27" s="446"/>
      <c r="AN27" s="446"/>
      <c r="AO27" s="446"/>
      <c r="AP27" s="446"/>
      <c r="AQ27" s="446"/>
      <c r="AR27" s="446"/>
      <c r="AS27" s="446"/>
      <c r="AT27" s="446"/>
    </row>
    <row r="28" spans="1:46" ht="13.5" customHeight="1" x14ac:dyDescent="0.25">
      <c r="B28" s="449"/>
      <c r="C28" s="731" t="s">
        <v>583</v>
      </c>
      <c r="D28" s="732"/>
      <c r="E28" s="732"/>
      <c r="F28" s="732"/>
      <c r="G28" s="506">
        <v>15</v>
      </c>
      <c r="H28" s="451"/>
      <c r="J28" s="728" t="s">
        <v>584</v>
      </c>
      <c r="K28" s="729"/>
      <c r="L28" s="729"/>
      <c r="M28" s="729"/>
      <c r="N28" s="729"/>
      <c r="O28" s="730"/>
      <c r="P28" s="443"/>
      <c r="Q28" s="763" t="s">
        <v>585</v>
      </c>
      <c r="R28" s="764"/>
      <c r="S28" s="494">
        <f>V34</f>
        <v>5.238095238095239</v>
      </c>
      <c r="T28" s="495">
        <v>0</v>
      </c>
      <c r="U28" s="444"/>
      <c r="V28" s="443">
        <f t="shared" si="8"/>
        <v>23</v>
      </c>
      <c r="W28" s="445">
        <f t="shared" si="1"/>
        <v>2.0424000000000002</v>
      </c>
      <c r="X28" s="445">
        <f t="shared" si="2"/>
        <v>430.39999999999981</v>
      </c>
      <c r="Y28" s="445">
        <f t="shared" si="3"/>
        <v>98.624000000000009</v>
      </c>
      <c r="Z28" s="445">
        <f t="shared" si="4"/>
        <v>92.053791829391557</v>
      </c>
      <c r="AA28" s="445">
        <f t="shared" si="5"/>
        <v>1183.4880000000001</v>
      </c>
      <c r="AB28" s="445">
        <f t="shared" si="6"/>
        <v>0.92</v>
      </c>
      <c r="AC28" s="445">
        <f t="shared" si="6"/>
        <v>7.999999999999996E-2</v>
      </c>
      <c r="AD28" s="445">
        <f t="shared" si="6"/>
        <v>0.92171962616822434</v>
      </c>
      <c r="AE28" s="445">
        <f t="shared" si="6"/>
        <v>0.29487179487179471</v>
      </c>
      <c r="AF28" s="445">
        <f t="shared" si="7"/>
        <v>7.7781770351192034E-2</v>
      </c>
      <c r="AG28" s="444"/>
      <c r="AH28" s="462">
        <f t="shared" si="10"/>
        <v>3.627572843792616</v>
      </c>
      <c r="AI28" s="462">
        <f t="shared" si="11"/>
        <v>53.580791008451506</v>
      </c>
      <c r="AJ28" s="475">
        <f t="shared" si="12"/>
        <v>16.669579972328901</v>
      </c>
      <c r="AK28" s="476">
        <f t="shared" si="9"/>
        <v>3.627572843792616</v>
      </c>
      <c r="AL28" s="446"/>
      <c r="AM28" s="446"/>
      <c r="AN28" s="446"/>
      <c r="AO28" s="446"/>
      <c r="AP28" s="446"/>
      <c r="AQ28" s="446"/>
      <c r="AR28" s="446"/>
      <c r="AS28" s="446"/>
      <c r="AT28" s="446"/>
    </row>
    <row r="29" spans="1:46" ht="13.5" customHeight="1" thickBot="1" x14ac:dyDescent="0.3">
      <c r="B29" s="449"/>
      <c r="C29" s="758" t="s">
        <v>586</v>
      </c>
      <c r="D29" s="759"/>
      <c r="E29" s="759"/>
      <c r="F29" s="759"/>
      <c r="G29" s="512">
        <v>13.5</v>
      </c>
      <c r="H29" s="451"/>
      <c r="J29" s="516"/>
      <c r="K29" s="517"/>
      <c r="L29" s="517"/>
      <c r="M29" s="517"/>
      <c r="N29" s="517"/>
      <c r="O29" s="518"/>
      <c r="P29" s="443"/>
      <c r="Q29" s="763"/>
      <c r="R29" s="764"/>
      <c r="S29" s="494">
        <f>V34</f>
        <v>5.238095238095239</v>
      </c>
      <c r="T29" s="519">
        <f>G47</f>
        <v>1.909248865154008</v>
      </c>
      <c r="U29" s="444"/>
      <c r="V29" s="443">
        <f t="shared" si="8"/>
        <v>24</v>
      </c>
      <c r="W29" s="445">
        <f t="shared" si="1"/>
        <v>2.1312000000000002</v>
      </c>
      <c r="X29" s="445">
        <f t="shared" si="2"/>
        <v>215.20000000000019</v>
      </c>
      <c r="Y29" s="445">
        <f t="shared" si="3"/>
        <v>102.812</v>
      </c>
      <c r="Z29" s="445">
        <f t="shared" si="4"/>
        <v>48.028065302291317</v>
      </c>
      <c r="AA29" s="445">
        <f t="shared" si="5"/>
        <v>1233.7439999999999</v>
      </c>
      <c r="AB29" s="445">
        <f t="shared" si="6"/>
        <v>0.96</v>
      </c>
      <c r="AC29" s="445">
        <f t="shared" si="6"/>
        <v>4.0000000000000036E-2</v>
      </c>
      <c r="AD29" s="445">
        <f t="shared" si="6"/>
        <v>0.96085981308411217</v>
      </c>
      <c r="AE29" s="445">
        <f t="shared" si="6"/>
        <v>0.15384615384615399</v>
      </c>
      <c r="AF29" s="445">
        <f t="shared" si="7"/>
        <v>3.8928712360336765E-2</v>
      </c>
      <c r="AG29" s="444"/>
      <c r="AH29" s="462">
        <f t="shared" si="10"/>
        <v>3.818497730308017</v>
      </c>
      <c r="AI29" s="462">
        <f t="shared" si="11"/>
        <v>56.76366252938675</v>
      </c>
      <c r="AJ29" s="475">
        <f t="shared" si="12"/>
        <v>16.670804833389269</v>
      </c>
      <c r="AK29" s="476">
        <f t="shared" si="9"/>
        <v>3.818497730308017</v>
      </c>
      <c r="AL29" s="446"/>
      <c r="AM29" s="446"/>
      <c r="AN29" s="446"/>
      <c r="AO29" s="446"/>
      <c r="AP29" s="446"/>
      <c r="AQ29" s="446"/>
      <c r="AR29" s="446"/>
      <c r="AS29" s="446"/>
      <c r="AT29" s="446"/>
    </row>
    <row r="30" spans="1:46" ht="13.5" customHeight="1" thickBot="1" x14ac:dyDescent="0.25">
      <c r="B30" s="449"/>
      <c r="C30" s="513"/>
      <c r="D30" s="513"/>
      <c r="E30" s="513"/>
      <c r="F30" s="513"/>
      <c r="G30" s="474"/>
      <c r="H30" s="451"/>
      <c r="J30" s="516"/>
      <c r="K30" s="520"/>
      <c r="L30" s="520"/>
      <c r="M30" s="520"/>
      <c r="N30" s="520"/>
      <c r="O30" s="521"/>
      <c r="P30" s="443"/>
      <c r="Q30" s="522"/>
      <c r="R30" s="522"/>
      <c r="S30" s="522"/>
      <c r="T30" s="522"/>
      <c r="U30" s="444"/>
      <c r="V30" s="443">
        <f t="shared" si="8"/>
        <v>25</v>
      </c>
      <c r="W30" s="445">
        <f t="shared" si="1"/>
        <v>2.2200000000000002</v>
      </c>
      <c r="X30" s="445">
        <f t="shared" si="2"/>
        <v>0</v>
      </c>
      <c r="Y30" s="445">
        <f t="shared" si="3"/>
        <v>107</v>
      </c>
      <c r="Z30" s="445">
        <f t="shared" si="4"/>
        <v>0</v>
      </c>
      <c r="AA30" s="445">
        <f t="shared" si="5"/>
        <v>1284</v>
      </c>
      <c r="AB30" s="445">
        <f t="shared" si="6"/>
        <v>1</v>
      </c>
      <c r="AC30" s="445">
        <f t="shared" si="6"/>
        <v>0</v>
      </c>
      <c r="AD30" s="445">
        <f t="shared" si="6"/>
        <v>1</v>
      </c>
      <c r="AE30" s="445">
        <f t="shared" si="6"/>
        <v>0</v>
      </c>
      <c r="AF30" s="445">
        <f t="shared" si="7"/>
        <v>0</v>
      </c>
      <c r="AG30" s="444"/>
      <c r="AH30" s="462">
        <f t="shared" si="10"/>
        <v>4.0094226168234179</v>
      </c>
      <c r="AI30" s="462">
        <f t="shared" si="11"/>
        <v>59.946681505821353</v>
      </c>
      <c r="AJ30" s="475">
        <f t="shared" si="12"/>
        <v>16.671577155437223</v>
      </c>
      <c r="AK30" s="476">
        <f t="shared" si="9"/>
        <v>4.0094226168234179</v>
      </c>
      <c r="AL30" s="446"/>
      <c r="AM30" s="446"/>
      <c r="AN30" s="446"/>
      <c r="AO30" s="446"/>
      <c r="AP30" s="446"/>
      <c r="AQ30" s="446"/>
      <c r="AR30" s="446"/>
      <c r="AS30" s="446"/>
      <c r="AT30" s="446"/>
    </row>
    <row r="31" spans="1:46" ht="13.5" customHeight="1" x14ac:dyDescent="0.2">
      <c r="B31" s="449"/>
      <c r="C31" s="751" t="s">
        <v>587</v>
      </c>
      <c r="D31" s="752"/>
      <c r="E31" s="752"/>
      <c r="F31" s="752"/>
      <c r="G31" s="753"/>
      <c r="H31" s="451"/>
      <c r="J31" s="516"/>
      <c r="K31" s="463"/>
      <c r="L31" s="463"/>
      <c r="M31" s="463"/>
      <c r="N31" s="463"/>
      <c r="O31" s="451"/>
      <c r="P31" s="443"/>
      <c r="Q31" s="522"/>
      <c r="R31" s="522"/>
      <c r="S31" s="522"/>
      <c r="T31" s="523"/>
      <c r="U31" s="444"/>
      <c r="V31" s="444"/>
      <c r="W31" s="524"/>
      <c r="X31" s="524"/>
      <c r="Y31" s="524"/>
      <c r="Z31" s="524"/>
      <c r="AA31" s="524"/>
      <c r="AB31" s="524"/>
      <c r="AC31" s="524"/>
      <c r="AD31" s="524"/>
      <c r="AE31" s="524"/>
      <c r="AF31" s="524"/>
      <c r="AG31" s="444"/>
      <c r="AH31" s="462"/>
      <c r="AI31" s="462"/>
      <c r="AJ31" s="475"/>
      <c r="AK31" s="476"/>
      <c r="AL31" s="446"/>
      <c r="AM31" s="446"/>
      <c r="AN31" s="446"/>
      <c r="AO31" s="446"/>
      <c r="AP31" s="446"/>
      <c r="AQ31" s="446"/>
      <c r="AR31" s="446"/>
      <c r="AS31" s="446"/>
      <c r="AT31" s="446"/>
    </row>
    <row r="32" spans="1:46" ht="13.5" customHeight="1" x14ac:dyDescent="0.2">
      <c r="B32" s="449"/>
      <c r="C32" s="731" t="s">
        <v>588</v>
      </c>
      <c r="D32" s="732"/>
      <c r="E32" s="732"/>
      <c r="F32" s="732"/>
      <c r="G32" s="506">
        <v>16</v>
      </c>
      <c r="H32" s="451"/>
      <c r="J32" s="516"/>
      <c r="K32" s="463"/>
      <c r="L32" s="463"/>
      <c r="M32" s="463"/>
      <c r="N32" s="463"/>
      <c r="O32" s="451"/>
      <c r="P32" s="443"/>
      <c r="Q32" s="525">
        <f>96/20</f>
        <v>4.8</v>
      </c>
      <c r="R32" s="522"/>
      <c r="S32" s="522"/>
      <c r="T32" s="523"/>
      <c r="V32" s="443"/>
      <c r="W32" s="445" t="s">
        <v>589</v>
      </c>
      <c r="X32" s="445">
        <f>K50</f>
        <v>3</v>
      </c>
      <c r="Y32" s="445" t="s">
        <v>590</v>
      </c>
      <c r="Z32" s="445">
        <f>(X32-AB32)/9</f>
        <v>-1.2222222222222223</v>
      </c>
      <c r="AA32" s="445" t="s">
        <v>591</v>
      </c>
      <c r="AB32" s="445">
        <f>N50</f>
        <v>14</v>
      </c>
      <c r="AH32" s="462"/>
      <c r="AI32" s="462"/>
      <c r="AJ32" s="475"/>
      <c r="AK32" s="476"/>
      <c r="AL32" s="446"/>
      <c r="AM32" s="446"/>
      <c r="AN32" s="446"/>
      <c r="AO32" s="446"/>
      <c r="AP32" s="446"/>
      <c r="AQ32" s="446"/>
      <c r="AR32" s="446"/>
      <c r="AS32" s="446"/>
      <c r="AT32" s="446"/>
    </row>
    <row r="33" spans="1:46" ht="13.5" customHeight="1" thickBot="1" x14ac:dyDescent="0.25">
      <c r="B33" s="449"/>
      <c r="C33" s="731" t="s">
        <v>592</v>
      </c>
      <c r="D33" s="732"/>
      <c r="E33" s="732"/>
      <c r="F33" s="732"/>
      <c r="G33" s="506">
        <v>26</v>
      </c>
      <c r="H33" s="451"/>
      <c r="J33" s="516"/>
      <c r="K33" s="463"/>
      <c r="L33" s="463"/>
      <c r="M33" s="463"/>
      <c r="N33" s="463"/>
      <c r="O33" s="451"/>
      <c r="P33" s="443"/>
      <c r="Q33" s="526">
        <f>6-Q32</f>
        <v>1.2000000000000002</v>
      </c>
      <c r="R33" s="527"/>
      <c r="S33" s="527"/>
      <c r="T33" s="445" t="s">
        <v>593</v>
      </c>
      <c r="V33" s="528">
        <v>0</v>
      </c>
      <c r="W33" s="495">
        <v>1</v>
      </c>
      <c r="X33" s="495">
        <v>2</v>
      </c>
      <c r="Y33" s="495">
        <v>3</v>
      </c>
      <c r="Z33" s="495">
        <v>4</v>
      </c>
      <c r="AA33" s="495">
        <v>5</v>
      </c>
      <c r="AB33" s="495">
        <v>6</v>
      </c>
      <c r="AC33" s="495">
        <v>7</v>
      </c>
      <c r="AD33" s="495">
        <v>8</v>
      </c>
      <c r="AE33" s="495">
        <v>9</v>
      </c>
      <c r="AF33" s="495">
        <v>10</v>
      </c>
      <c r="AG33" s="445"/>
      <c r="AH33" s="462"/>
      <c r="AI33" s="462"/>
      <c r="AJ33" s="475"/>
      <c r="AK33" s="476"/>
      <c r="AL33" s="446"/>
      <c r="AM33" s="446"/>
      <c r="AN33" s="446"/>
      <c r="AO33" s="446"/>
      <c r="AP33" s="446"/>
      <c r="AQ33" s="446"/>
      <c r="AR33" s="446"/>
      <c r="AS33" s="446"/>
      <c r="AT33" s="446"/>
    </row>
    <row r="34" spans="1:46" ht="13.5" customHeight="1" x14ac:dyDescent="0.2">
      <c r="B34" s="449"/>
      <c r="C34" s="731" t="s">
        <v>594</v>
      </c>
      <c r="D34" s="732"/>
      <c r="E34" s="732"/>
      <c r="F34" s="732"/>
      <c r="G34" s="529">
        <v>0.5</v>
      </c>
      <c r="H34" s="451"/>
      <c r="J34" s="754" t="s">
        <v>595</v>
      </c>
      <c r="K34" s="755"/>
      <c r="L34" s="755"/>
      <c r="M34" s="755"/>
      <c r="N34" s="755"/>
      <c r="O34" s="756"/>
      <c r="P34" s="443"/>
      <c r="Q34" s="530">
        <f>(8-Q33)*20</f>
        <v>136</v>
      </c>
      <c r="R34" s="527"/>
      <c r="S34" s="527"/>
      <c r="T34" s="445" t="s">
        <v>149</v>
      </c>
      <c r="V34" s="531">
        <f>1/G16</f>
        <v>5.238095238095239</v>
      </c>
      <c r="W34" s="532">
        <f>X32</f>
        <v>3</v>
      </c>
      <c r="X34" s="532">
        <f>W34-$Z$32</f>
        <v>4.2222222222222223</v>
      </c>
      <c r="Y34" s="532">
        <f t="shared" ref="Y34:AF34" si="15">X34-$Z$32</f>
        <v>5.4444444444444446</v>
      </c>
      <c r="Z34" s="532">
        <f t="shared" si="15"/>
        <v>6.666666666666667</v>
      </c>
      <c r="AA34" s="532">
        <f t="shared" si="15"/>
        <v>7.8888888888888893</v>
      </c>
      <c r="AB34" s="532">
        <f t="shared" si="15"/>
        <v>9.1111111111111107</v>
      </c>
      <c r="AC34" s="532">
        <f t="shared" si="15"/>
        <v>10.333333333333332</v>
      </c>
      <c r="AD34" s="532">
        <f t="shared" si="15"/>
        <v>11.555555555555554</v>
      </c>
      <c r="AE34" s="532">
        <f t="shared" si="15"/>
        <v>12.777777777777775</v>
      </c>
      <c r="AF34" s="532">
        <f t="shared" si="15"/>
        <v>13.999999999999996</v>
      </c>
      <c r="AG34" s="445"/>
      <c r="AH34" s="462"/>
      <c r="AI34" s="462"/>
      <c r="AJ34" s="475"/>
      <c r="AK34" s="476"/>
      <c r="AL34" s="446"/>
      <c r="AM34" s="446"/>
      <c r="AN34" s="446"/>
      <c r="AO34" s="446"/>
      <c r="AP34" s="446"/>
      <c r="AQ34" s="446"/>
      <c r="AR34" s="446"/>
      <c r="AS34" s="446"/>
      <c r="AT34" s="446"/>
    </row>
    <row r="35" spans="1:46" ht="13.5" customHeight="1" thickBot="1" x14ac:dyDescent="0.3">
      <c r="B35" s="449"/>
      <c r="C35" s="758" t="s">
        <v>596</v>
      </c>
      <c r="D35" s="759"/>
      <c r="E35" s="759"/>
      <c r="F35" s="759"/>
      <c r="G35" s="533">
        <v>0.5</v>
      </c>
      <c r="H35" s="451"/>
      <c r="J35" s="765" t="s">
        <v>597</v>
      </c>
      <c r="K35" s="463"/>
      <c r="L35" s="463"/>
      <c r="M35" s="463"/>
      <c r="N35" s="463"/>
      <c r="O35" s="451"/>
      <c r="P35" s="443"/>
      <c r="Q35" s="527"/>
      <c r="R35" s="527"/>
      <c r="S35" s="527"/>
      <c r="T35" s="445" t="s">
        <v>598</v>
      </c>
      <c r="V35" s="534">
        <f>1/V34</f>
        <v>0.19090909090909086</v>
      </c>
      <c r="W35" s="534">
        <f t="shared" ref="W35:AF35" si="16">1/W34</f>
        <v>0.33333333333333331</v>
      </c>
      <c r="X35" s="534">
        <f t="shared" si="16"/>
        <v>0.23684210526315788</v>
      </c>
      <c r="Y35" s="534">
        <f t="shared" si="16"/>
        <v>0.18367346938775508</v>
      </c>
      <c r="Z35" s="534">
        <f t="shared" si="16"/>
        <v>0.15</v>
      </c>
      <c r="AA35" s="534">
        <f t="shared" si="16"/>
        <v>0.12676056338028169</v>
      </c>
      <c r="AB35" s="534">
        <f t="shared" si="16"/>
        <v>0.10975609756097561</v>
      </c>
      <c r="AC35" s="534">
        <f t="shared" si="16"/>
        <v>9.6774193548387108E-2</v>
      </c>
      <c r="AD35" s="534">
        <f t="shared" si="16"/>
        <v>8.653846153846155E-2</v>
      </c>
      <c r="AE35" s="534">
        <f t="shared" si="16"/>
        <v>7.8260869565217411E-2</v>
      </c>
      <c r="AF35" s="534">
        <f t="shared" si="16"/>
        <v>7.1428571428571452E-2</v>
      </c>
      <c r="AH35" s="462"/>
      <c r="AI35" s="462"/>
      <c r="AJ35" s="475"/>
      <c r="AK35" s="476"/>
      <c r="AL35" s="446"/>
      <c r="AM35" s="446"/>
      <c r="AN35" s="446"/>
      <c r="AO35" s="446"/>
      <c r="AP35" s="446"/>
      <c r="AQ35" s="446"/>
      <c r="AR35" s="446"/>
      <c r="AS35" s="446"/>
      <c r="AT35" s="446"/>
    </row>
    <row r="36" spans="1:46" ht="13.5" customHeight="1" thickBot="1" x14ac:dyDescent="0.25">
      <c r="B36" s="449"/>
      <c r="C36" s="513"/>
      <c r="D36" s="513"/>
      <c r="E36" s="513"/>
      <c r="F36" s="513"/>
      <c r="G36" s="535"/>
      <c r="H36" s="451"/>
      <c r="J36" s="765"/>
      <c r="K36" s="463"/>
      <c r="L36" s="463"/>
      <c r="M36" s="463"/>
      <c r="N36" s="463"/>
      <c r="O36" s="451"/>
      <c r="P36" s="536"/>
      <c r="T36" s="537" t="s">
        <v>599</v>
      </c>
      <c r="V36" s="538">
        <f>$T$6*$T$21*V34*$T$20*$T$7*MIN($G$21,1)</f>
        <v>42.006760714285718</v>
      </c>
      <c r="W36" s="538">
        <f t="shared" ref="W36:AF36" si="17">$T$6*$T$21*W34*$T$20*$T$7*MIN($G$21,1)</f>
        <v>24.058417499999997</v>
      </c>
      <c r="X36" s="538">
        <f t="shared" si="17"/>
        <v>33.859995000000005</v>
      </c>
      <c r="Y36" s="538">
        <f t="shared" si="17"/>
        <v>43.661572499999998</v>
      </c>
      <c r="Z36" s="538">
        <f t="shared" si="17"/>
        <v>53.463150000000006</v>
      </c>
      <c r="AA36" s="538">
        <f t="shared" si="17"/>
        <v>63.264727499999999</v>
      </c>
      <c r="AB36" s="538">
        <f t="shared" si="17"/>
        <v>73.066305</v>
      </c>
      <c r="AC36" s="538">
        <f t="shared" si="17"/>
        <v>82.867882499999979</v>
      </c>
      <c r="AD36" s="538">
        <f t="shared" si="17"/>
        <v>92.669459999999987</v>
      </c>
      <c r="AE36" s="538">
        <f t="shared" si="17"/>
        <v>102.47103749999998</v>
      </c>
      <c r="AF36" s="538">
        <f t="shared" si="17"/>
        <v>112.27261499999997</v>
      </c>
      <c r="AH36" s="462"/>
      <c r="AI36" s="462"/>
      <c r="AJ36" s="475"/>
      <c r="AK36" s="476"/>
      <c r="AL36" s="446"/>
      <c r="AM36" s="446"/>
      <c r="AN36" s="446"/>
      <c r="AO36" s="446"/>
      <c r="AP36" s="446"/>
      <c r="AQ36" s="446"/>
      <c r="AR36" s="446"/>
      <c r="AS36" s="446"/>
      <c r="AT36" s="446"/>
    </row>
    <row r="37" spans="1:46" ht="13.5" customHeight="1" x14ac:dyDescent="0.2">
      <c r="B37" s="449"/>
      <c r="C37" s="751" t="s">
        <v>600</v>
      </c>
      <c r="D37" s="752"/>
      <c r="E37" s="752"/>
      <c r="F37" s="752"/>
      <c r="G37" s="753"/>
      <c r="H37" s="451"/>
      <c r="J37" s="765"/>
      <c r="K37" s="463"/>
      <c r="L37" s="463"/>
      <c r="M37" s="463"/>
      <c r="N37" s="463"/>
      <c r="O37" s="451"/>
      <c r="P37" s="443"/>
      <c r="T37" s="490" t="s">
        <v>601</v>
      </c>
      <c r="V37" s="539">
        <f>V38*PI()/30</f>
        <v>100.03737139571226</v>
      </c>
      <c r="W37" s="539">
        <f t="shared" ref="W37:AF37" si="18">W38*PI()/30</f>
        <v>164.8737745067821</v>
      </c>
      <c r="X37" s="539">
        <f t="shared" si="18"/>
        <v>121.86206204105081</v>
      </c>
      <c r="Y37" s="539">
        <f t="shared" si="18"/>
        <v>96.520055626451708</v>
      </c>
      <c r="Z37" s="539">
        <f t="shared" si="18"/>
        <v>79.866802647484363</v>
      </c>
      <c r="AA37" s="539">
        <f t="shared" si="18"/>
        <v>68.10083822709322</v>
      </c>
      <c r="AB37" s="539">
        <f t="shared" si="18"/>
        <v>59.350410689263846</v>
      </c>
      <c r="AC37" s="539">
        <f t="shared" si="18"/>
        <v>52.589663249675496</v>
      </c>
      <c r="AD37" s="539">
        <f t="shared" si="18"/>
        <v>47.210043770180896</v>
      </c>
      <c r="AE37" s="539">
        <f t="shared" si="18"/>
        <v>42.827952316832494</v>
      </c>
      <c r="AF37" s="539">
        <f t="shared" si="18"/>
        <v>39.18968917623728</v>
      </c>
      <c r="AH37" s="462"/>
      <c r="AI37" s="462"/>
      <c r="AJ37" s="475"/>
      <c r="AK37" s="476"/>
      <c r="AL37" s="446"/>
      <c r="AM37" s="446"/>
      <c r="AN37" s="446"/>
      <c r="AO37" s="446"/>
      <c r="AP37" s="446"/>
      <c r="AQ37" s="446"/>
      <c r="AR37" s="446"/>
      <c r="AS37" s="446"/>
      <c r="AT37" s="446"/>
    </row>
    <row r="38" spans="1:46" ht="13.5" customHeight="1" x14ac:dyDescent="0.2">
      <c r="B38" s="449"/>
      <c r="C38" s="731" t="s">
        <v>602</v>
      </c>
      <c r="D38" s="732"/>
      <c r="E38" s="732"/>
      <c r="F38" s="732"/>
      <c r="G38" s="540">
        <v>25</v>
      </c>
      <c r="H38" s="451"/>
      <c r="J38" s="765"/>
      <c r="K38" s="463"/>
      <c r="L38" s="463"/>
      <c r="M38" s="463"/>
      <c r="N38" s="463"/>
      <c r="O38" s="451"/>
      <c r="P38" s="443"/>
      <c r="T38" s="490" t="s">
        <v>603</v>
      </c>
      <c r="V38" s="539">
        <f>(1-V43/$T$6)*$T$5*V35</f>
        <v>955.28652909284301</v>
      </c>
      <c r="W38" s="539">
        <f>(1-W43/$T$6)*$T$5*W35</f>
        <v>1574.4285719383734</v>
      </c>
      <c r="X38" s="539">
        <f t="shared" ref="X38:AF38" si="19">(1-X43/$T$6)*$T$5*X35</f>
        <v>1163.6969729522675</v>
      </c>
      <c r="Y38" s="539">
        <f t="shared" si="19"/>
        <v>921.69863762726959</v>
      </c>
      <c r="Z38" s="539">
        <f t="shared" si="19"/>
        <v>762.67178581752069</v>
      </c>
      <c r="AA38" s="539">
        <f t="shared" si="19"/>
        <v>650.31510195260353</v>
      </c>
      <c r="AB38" s="539">
        <f t="shared" si="19"/>
        <v>566.75467414382422</v>
      </c>
      <c r="AC38" s="539">
        <f t="shared" si="19"/>
        <v>502.19429170344262</v>
      </c>
      <c r="AD38" s="539">
        <f t="shared" si="19"/>
        <v>450.82270977654173</v>
      </c>
      <c r="AE38" s="539">
        <f t="shared" si="19"/>
        <v>408.976818823673</v>
      </c>
      <c r="AF38" s="539">
        <f t="shared" si="19"/>
        <v>374.23396503798671</v>
      </c>
      <c r="AH38" s="462"/>
      <c r="AI38" s="462"/>
      <c r="AJ38" s="475"/>
      <c r="AK38" s="476"/>
      <c r="AL38" s="446"/>
      <c r="AM38" s="446"/>
      <c r="AN38" s="446"/>
      <c r="AO38" s="446"/>
      <c r="AP38" s="446"/>
      <c r="AQ38" s="446"/>
      <c r="AR38" s="446"/>
      <c r="AS38" s="446"/>
      <c r="AT38" s="446"/>
    </row>
    <row r="39" spans="1:46" ht="15" x14ac:dyDescent="0.25">
      <c r="B39" s="449"/>
      <c r="C39" s="731" t="s">
        <v>604</v>
      </c>
      <c r="D39" s="732"/>
      <c r="E39" s="732"/>
      <c r="F39" s="732"/>
      <c r="G39" s="506">
        <v>0</v>
      </c>
      <c r="H39" s="451"/>
      <c r="J39" s="765"/>
      <c r="K39" s="463"/>
      <c r="L39" s="463"/>
      <c r="M39" s="463"/>
      <c r="N39" s="463"/>
      <c r="O39" s="451"/>
      <c r="P39" s="443"/>
      <c r="T39" s="490" t="s">
        <v>605</v>
      </c>
      <c r="V39" s="541">
        <f>SUM(G27:G29)</f>
        <v>148.5</v>
      </c>
      <c r="W39" s="541">
        <f>V39</f>
        <v>148.5</v>
      </c>
      <c r="X39" s="541">
        <f t="shared" ref="X39:AF39" si="20">W39</f>
        <v>148.5</v>
      </c>
      <c r="Y39" s="541">
        <f t="shared" si="20"/>
        <v>148.5</v>
      </c>
      <c r="Z39" s="541">
        <f t="shared" si="20"/>
        <v>148.5</v>
      </c>
      <c r="AA39" s="541">
        <f t="shared" si="20"/>
        <v>148.5</v>
      </c>
      <c r="AB39" s="541">
        <f t="shared" si="20"/>
        <v>148.5</v>
      </c>
      <c r="AC39" s="541">
        <f t="shared" si="20"/>
        <v>148.5</v>
      </c>
      <c r="AD39" s="541">
        <f t="shared" si="20"/>
        <v>148.5</v>
      </c>
      <c r="AE39" s="541">
        <f t="shared" si="20"/>
        <v>148.5</v>
      </c>
      <c r="AF39" s="541">
        <f t="shared" si="20"/>
        <v>148.5</v>
      </c>
      <c r="AH39" s="462"/>
      <c r="AI39" s="462"/>
      <c r="AJ39" s="475"/>
      <c r="AK39" s="476"/>
      <c r="AL39" s="446"/>
      <c r="AM39" s="446"/>
      <c r="AN39" s="446"/>
      <c r="AO39" s="446"/>
      <c r="AP39" s="446"/>
      <c r="AQ39" s="446"/>
      <c r="AR39" s="446"/>
      <c r="AS39" s="446"/>
      <c r="AT39" s="446"/>
    </row>
    <row r="40" spans="1:46" ht="15.75" thickBot="1" x14ac:dyDescent="0.3">
      <c r="B40" s="449"/>
      <c r="C40" s="758" t="s">
        <v>606</v>
      </c>
      <c r="D40" s="759"/>
      <c r="E40" s="759"/>
      <c r="F40" s="766"/>
      <c r="G40" s="542">
        <v>10</v>
      </c>
      <c r="H40" s="451"/>
      <c r="J40" s="765"/>
      <c r="K40" s="463"/>
      <c r="L40" s="463"/>
      <c r="M40" s="463"/>
      <c r="N40" s="463"/>
      <c r="O40" s="451"/>
      <c r="P40" s="443"/>
      <c r="T40" s="445" t="s">
        <v>563</v>
      </c>
      <c r="V40" s="543">
        <f>V39*0.453622</f>
        <v>67.362867000000008</v>
      </c>
      <c r="W40" s="543">
        <f t="shared" ref="W40:AF40" si="21">W39*0.453622</f>
        <v>67.362867000000008</v>
      </c>
      <c r="X40" s="543">
        <f t="shared" si="21"/>
        <v>67.362867000000008</v>
      </c>
      <c r="Y40" s="543">
        <f t="shared" si="21"/>
        <v>67.362867000000008</v>
      </c>
      <c r="Z40" s="543">
        <f t="shared" si="21"/>
        <v>67.362867000000008</v>
      </c>
      <c r="AA40" s="543">
        <f t="shared" si="21"/>
        <v>67.362867000000008</v>
      </c>
      <c r="AB40" s="543">
        <f t="shared" si="21"/>
        <v>67.362867000000008</v>
      </c>
      <c r="AC40" s="543">
        <f t="shared" si="21"/>
        <v>67.362867000000008</v>
      </c>
      <c r="AD40" s="543">
        <f t="shared" si="21"/>
        <v>67.362867000000008</v>
      </c>
      <c r="AE40" s="543">
        <f t="shared" si="21"/>
        <v>67.362867000000008</v>
      </c>
      <c r="AF40" s="543">
        <f t="shared" si="21"/>
        <v>67.362867000000008</v>
      </c>
      <c r="AH40" s="462"/>
      <c r="AI40" s="462"/>
      <c r="AJ40" s="475"/>
      <c r="AK40" s="476"/>
      <c r="AL40" s="446"/>
      <c r="AM40" s="446"/>
      <c r="AN40" s="446"/>
      <c r="AO40" s="446"/>
      <c r="AP40" s="446"/>
      <c r="AQ40" s="446"/>
      <c r="AR40" s="446"/>
      <c r="AS40" s="446"/>
      <c r="AT40" s="446"/>
    </row>
    <row r="41" spans="1:46" ht="7.5" customHeight="1" thickBot="1" x14ac:dyDescent="0.25">
      <c r="B41" s="468"/>
      <c r="C41" s="469"/>
      <c r="D41" s="469"/>
      <c r="E41" s="469"/>
      <c r="F41" s="469"/>
      <c r="G41" s="544"/>
      <c r="H41" s="472"/>
      <c r="J41" s="468"/>
      <c r="K41" s="469"/>
      <c r="L41" s="469"/>
      <c r="M41" s="469"/>
      <c r="N41" s="469"/>
      <c r="O41" s="472"/>
      <c r="P41" s="443"/>
      <c r="T41" s="537" t="s">
        <v>607</v>
      </c>
      <c r="V41" s="545">
        <f t="shared" ref="V41:AF41" si="22">(1-$T$20)*V39*4.448222</f>
        <v>64.012486208343802</v>
      </c>
      <c r="W41" s="545">
        <f t="shared" si="22"/>
        <v>64.012486208343802</v>
      </c>
      <c r="X41" s="545">
        <f t="shared" si="22"/>
        <v>64.012486208343802</v>
      </c>
      <c r="Y41" s="545">
        <f t="shared" si="22"/>
        <v>64.012486208343802</v>
      </c>
      <c r="Z41" s="545">
        <f t="shared" si="22"/>
        <v>64.012486208343802</v>
      </c>
      <c r="AA41" s="545">
        <f t="shared" si="22"/>
        <v>64.012486208343802</v>
      </c>
      <c r="AB41" s="545">
        <f t="shared" si="22"/>
        <v>64.012486208343802</v>
      </c>
      <c r="AC41" s="545">
        <f t="shared" si="22"/>
        <v>64.012486208343802</v>
      </c>
      <c r="AD41" s="545">
        <f t="shared" si="22"/>
        <v>64.012486208343802</v>
      </c>
      <c r="AE41" s="545">
        <f t="shared" si="22"/>
        <v>64.012486208343802</v>
      </c>
      <c r="AF41" s="545">
        <f t="shared" si="22"/>
        <v>64.012486208343802</v>
      </c>
      <c r="AG41" s="445"/>
      <c r="AH41" s="462"/>
      <c r="AI41" s="462"/>
      <c r="AJ41" s="475"/>
      <c r="AK41" s="476"/>
      <c r="AL41" s="446"/>
      <c r="AM41" s="446"/>
      <c r="AN41" s="446"/>
      <c r="AO41" s="446"/>
      <c r="AP41" s="446"/>
      <c r="AQ41" s="446"/>
      <c r="AR41" s="446"/>
      <c r="AS41" s="446"/>
      <c r="AT41" s="446"/>
    </row>
    <row r="42" spans="1:46" ht="7.5" customHeight="1" thickBot="1" x14ac:dyDescent="0.3">
      <c r="A42" s="464"/>
      <c r="B42" s="546"/>
      <c r="C42" s="298"/>
      <c r="D42" s="298"/>
      <c r="E42" s="298"/>
      <c r="F42" s="298"/>
      <c r="G42" s="298"/>
      <c r="H42" s="298"/>
      <c r="I42" s="298"/>
      <c r="J42" s="298"/>
      <c r="K42" s="298"/>
      <c r="L42" s="298"/>
      <c r="M42" s="298"/>
      <c r="N42" s="298"/>
      <c r="O42" s="298"/>
      <c r="P42" s="536"/>
      <c r="T42" s="490" t="s">
        <v>608</v>
      </c>
      <c r="V42" s="519">
        <f>V40*9.8+V41</f>
        <v>724.16858280834401</v>
      </c>
      <c r="W42" s="519">
        <f t="shared" ref="W42:AF42" si="23">W40*9.8+W41</f>
        <v>724.16858280834401</v>
      </c>
      <c r="X42" s="519">
        <f t="shared" si="23"/>
        <v>724.16858280834401</v>
      </c>
      <c r="Y42" s="519">
        <f t="shared" si="23"/>
        <v>724.16858280834401</v>
      </c>
      <c r="Z42" s="519">
        <f t="shared" si="23"/>
        <v>724.16858280834401</v>
      </c>
      <c r="AA42" s="519">
        <f t="shared" si="23"/>
        <v>724.16858280834401</v>
      </c>
      <c r="AB42" s="519">
        <f t="shared" si="23"/>
        <v>724.16858280834401</v>
      </c>
      <c r="AC42" s="519">
        <f t="shared" si="23"/>
        <v>724.16858280834401</v>
      </c>
      <c r="AD42" s="519">
        <f t="shared" si="23"/>
        <v>724.16858280834401</v>
      </c>
      <c r="AE42" s="519">
        <f t="shared" si="23"/>
        <v>724.16858280834401</v>
      </c>
      <c r="AF42" s="519">
        <f t="shared" si="23"/>
        <v>724.16858280834401</v>
      </c>
      <c r="AH42" s="462"/>
      <c r="AI42" s="462"/>
      <c r="AJ42" s="475"/>
      <c r="AK42" s="476"/>
      <c r="AL42" s="446"/>
      <c r="AM42" s="446"/>
      <c r="AN42" s="446"/>
      <c r="AO42" s="446"/>
      <c r="AP42" s="446"/>
      <c r="AQ42" s="446"/>
      <c r="AR42" s="446"/>
      <c r="AS42" s="446"/>
      <c r="AT42" s="446"/>
    </row>
    <row r="43" spans="1:46" ht="22.5" x14ac:dyDescent="0.2">
      <c r="A43" s="464"/>
      <c r="B43" s="767" t="s">
        <v>609</v>
      </c>
      <c r="C43" s="768"/>
      <c r="D43" s="768"/>
      <c r="E43" s="768"/>
      <c r="F43" s="768"/>
      <c r="G43" s="768"/>
      <c r="H43" s="768"/>
      <c r="I43" s="768"/>
      <c r="J43" s="768"/>
      <c r="K43" s="768"/>
      <c r="L43" s="768"/>
      <c r="M43" s="768"/>
      <c r="N43" s="768"/>
      <c r="O43" s="769"/>
      <c r="P43" s="536"/>
      <c r="T43" s="490" t="s">
        <v>610</v>
      </c>
      <c r="V43" s="519">
        <f t="shared" ref="V43:AF43" si="24">V41*V44*V35/$T$21</f>
        <v>0.1552011824705935</v>
      </c>
      <c r="W43" s="519">
        <f t="shared" si="24"/>
        <v>0.27098619161532206</v>
      </c>
      <c r="X43" s="519">
        <f t="shared" si="24"/>
        <v>0.19254282035825515</v>
      </c>
      <c r="Y43" s="519">
        <f t="shared" si="24"/>
        <v>0.14931892191048357</v>
      </c>
      <c r="Z43" s="519">
        <f t="shared" si="24"/>
        <v>0.12194378622689493</v>
      </c>
      <c r="AA43" s="519">
        <f t="shared" si="24"/>
        <v>0.10305108695230558</v>
      </c>
      <c r="AB43" s="519">
        <f t="shared" si="24"/>
        <v>8.9227160653825563E-2</v>
      </c>
      <c r="AC43" s="519">
        <f t="shared" si="24"/>
        <v>7.8673410468964478E-2</v>
      </c>
      <c r="AD43" s="519">
        <f t="shared" si="24"/>
        <v>7.0352184361670164E-2</v>
      </c>
      <c r="AE43" s="519">
        <f t="shared" si="24"/>
        <v>6.3622844987945196E-2</v>
      </c>
      <c r="AF43" s="519">
        <f t="shared" si="24"/>
        <v>5.8068469631854754E-2</v>
      </c>
      <c r="AH43" s="462"/>
      <c r="AI43" s="462"/>
      <c r="AJ43" s="475"/>
      <c r="AK43" s="476"/>
      <c r="AL43" s="446"/>
      <c r="AM43" s="446"/>
      <c r="AN43" s="446"/>
      <c r="AO43" s="446"/>
      <c r="AP43" s="446"/>
      <c r="AQ43" s="446"/>
      <c r="AR43" s="446"/>
      <c r="AS43" s="446"/>
      <c r="AT43" s="446"/>
    </row>
    <row r="44" spans="1:46" ht="12.75" customHeight="1" x14ac:dyDescent="0.25">
      <c r="A44" s="464"/>
      <c r="B44" s="547"/>
      <c r="C44" s="453"/>
      <c r="D44" s="770" t="s">
        <v>611</v>
      </c>
      <c r="E44" s="770" t="s">
        <v>612</v>
      </c>
      <c r="F44" s="770" t="s">
        <v>613</v>
      </c>
      <c r="G44" s="770" t="s">
        <v>614</v>
      </c>
      <c r="H44" s="463"/>
      <c r="I44" s="548"/>
      <c r="J44" s="770" t="s">
        <v>615</v>
      </c>
      <c r="K44" s="770" t="s">
        <v>616</v>
      </c>
      <c r="L44" s="770" t="s">
        <v>617</v>
      </c>
      <c r="M44" s="770" t="s">
        <v>618</v>
      </c>
      <c r="N44" s="771" t="s">
        <v>619</v>
      </c>
      <c r="O44" s="549"/>
      <c r="P44" s="536"/>
      <c r="T44" s="537" t="s">
        <v>620</v>
      </c>
      <c r="V44" s="534">
        <f>T19</f>
        <v>5.0799999999999998E-2</v>
      </c>
      <c r="W44" s="534">
        <f>V44</f>
        <v>5.0799999999999998E-2</v>
      </c>
      <c r="X44" s="534">
        <f t="shared" ref="X44:AF44" si="25">W44</f>
        <v>5.0799999999999998E-2</v>
      </c>
      <c r="Y44" s="534">
        <f t="shared" si="25"/>
        <v>5.0799999999999998E-2</v>
      </c>
      <c r="Z44" s="534">
        <f t="shared" si="25"/>
        <v>5.0799999999999998E-2</v>
      </c>
      <c r="AA44" s="534">
        <f t="shared" si="25"/>
        <v>5.0799999999999998E-2</v>
      </c>
      <c r="AB44" s="534">
        <f t="shared" si="25"/>
        <v>5.0799999999999998E-2</v>
      </c>
      <c r="AC44" s="534">
        <f t="shared" si="25"/>
        <v>5.0799999999999998E-2</v>
      </c>
      <c r="AD44" s="534">
        <f t="shared" si="25"/>
        <v>5.0799999999999998E-2</v>
      </c>
      <c r="AE44" s="534">
        <f t="shared" si="25"/>
        <v>5.0799999999999998E-2</v>
      </c>
      <c r="AF44" s="534">
        <f t="shared" si="25"/>
        <v>5.0799999999999998E-2</v>
      </c>
      <c r="AH44" s="462"/>
      <c r="AI44" s="462"/>
      <c r="AJ44" s="475"/>
      <c r="AK44" s="476"/>
      <c r="AL44" s="446"/>
      <c r="AM44" s="446"/>
      <c r="AN44" s="446"/>
      <c r="AO44" s="446"/>
      <c r="AP44" s="446"/>
      <c r="AQ44" s="446"/>
      <c r="AR44" s="446"/>
      <c r="AS44" s="446"/>
      <c r="AT44" s="446"/>
    </row>
    <row r="45" spans="1:46" ht="15" x14ac:dyDescent="0.25">
      <c r="A45" s="464"/>
      <c r="B45" s="547"/>
      <c r="C45" s="453"/>
      <c r="D45" s="746"/>
      <c r="E45" s="746"/>
      <c r="F45" s="746"/>
      <c r="G45" s="746"/>
      <c r="H45" s="463"/>
      <c r="I45" s="548"/>
      <c r="J45" s="746"/>
      <c r="K45" s="746"/>
      <c r="L45" s="746"/>
      <c r="M45" s="746"/>
      <c r="N45" s="772"/>
      <c r="O45" s="549"/>
      <c r="P45" s="536"/>
      <c r="T45" s="537" t="s">
        <v>621</v>
      </c>
      <c r="V45" s="495">
        <f>V44/0.0254*2</f>
        <v>4</v>
      </c>
      <c r="W45" s="532">
        <f t="shared" ref="W45:AF45" si="26">W44/0.0254*2</f>
        <v>4</v>
      </c>
      <c r="X45" s="532">
        <f t="shared" si="26"/>
        <v>4</v>
      </c>
      <c r="Y45" s="532">
        <f t="shared" si="26"/>
        <v>4</v>
      </c>
      <c r="Z45" s="532">
        <f t="shared" si="26"/>
        <v>4</v>
      </c>
      <c r="AA45" s="532">
        <f t="shared" si="26"/>
        <v>4</v>
      </c>
      <c r="AB45" s="532">
        <f t="shared" si="26"/>
        <v>4</v>
      </c>
      <c r="AC45" s="532">
        <f t="shared" si="26"/>
        <v>4</v>
      </c>
      <c r="AD45" s="532">
        <f t="shared" si="26"/>
        <v>4</v>
      </c>
      <c r="AE45" s="532">
        <f t="shared" si="26"/>
        <v>4</v>
      </c>
      <c r="AF45" s="532">
        <f t="shared" si="26"/>
        <v>4</v>
      </c>
      <c r="AH45" s="462"/>
      <c r="AI45" s="462"/>
      <c r="AJ45" s="475"/>
      <c r="AK45" s="476"/>
      <c r="AL45" s="446"/>
      <c r="AM45" s="446"/>
      <c r="AN45" s="446"/>
      <c r="AO45" s="446"/>
      <c r="AP45" s="446"/>
      <c r="AQ45" s="446"/>
      <c r="AR45" s="446"/>
      <c r="AS45" s="446"/>
      <c r="AT45" s="446"/>
    </row>
    <row r="46" spans="1:46" ht="15" x14ac:dyDescent="0.25">
      <c r="A46" s="464"/>
      <c r="B46" s="547"/>
      <c r="C46" s="550" t="s">
        <v>622</v>
      </c>
      <c r="D46" s="551">
        <f>T5*G16*G20*PI()/12/60</f>
        <v>17.926118080938121</v>
      </c>
      <c r="E46" s="551">
        <f>IF($F$15&gt;0,D46/$F$15,NA())</f>
        <v>7.8969683175938856</v>
      </c>
      <c r="F46" s="552">
        <v>0</v>
      </c>
      <c r="G46" s="551">
        <f>G38/D46</f>
        <v>1.3946131497696619</v>
      </c>
      <c r="H46" s="463"/>
      <c r="I46" s="548"/>
      <c r="J46" s="780" t="str">
        <f>IF(AND(K12&lt;0.5*T6,M12&lt;40,M12*G6&lt;120,T24=TRUE,T25=TRUE),"YES","NO")</f>
        <v>YES</v>
      </c>
      <c r="K46" s="780" t="str">
        <f>IF(F47/G38&gt;1,"YES","NO")</f>
        <v>YES</v>
      </c>
      <c r="L46" s="782">
        <f>MIN((120-T10)/T21,40-T10)/T9*T6*T21*D16*F16/4.448222/0.0254/(G20/2)</f>
        <v>51.121280160770446</v>
      </c>
      <c r="M46" s="783">
        <f>IF(F15&gt;0,MIN(L46*F15,SUM(G27:G29)*G21*F16),NA())</f>
        <v>116.04530596494891</v>
      </c>
      <c r="N46" s="783">
        <f>(M12)*T21*60*1000/3600+V60*G40</f>
        <v>3927.1332709285816</v>
      </c>
      <c r="O46" s="549"/>
      <c r="P46" s="464"/>
      <c r="T46" s="553" t="s">
        <v>623</v>
      </c>
      <c r="V46" s="545">
        <f t="shared" ref="V46:AF46" si="27">V36/(V37*V40*V44^2)</f>
        <v>2.4155105243289121</v>
      </c>
      <c r="W46" s="545">
        <f t="shared" si="27"/>
        <v>0.83939714828349665</v>
      </c>
      <c r="X46" s="545">
        <f t="shared" si="27"/>
        <v>1.5983444589154354</v>
      </c>
      <c r="Y46" s="545">
        <f t="shared" si="27"/>
        <v>2.6021589549735435</v>
      </c>
      <c r="Z46" s="545">
        <f t="shared" si="27"/>
        <v>3.8507050784033892</v>
      </c>
      <c r="AA46" s="545">
        <f t="shared" si="27"/>
        <v>5.3439353683802127</v>
      </c>
      <c r="AB46" s="545">
        <f t="shared" si="27"/>
        <v>7.0818288972973802</v>
      </c>
      <c r="AC46" s="545">
        <f t="shared" si="27"/>
        <v>9.0643750025577621</v>
      </c>
      <c r="AD46" s="545">
        <f t="shared" si="27"/>
        <v>11.291567680299146</v>
      </c>
      <c r="AE46" s="545">
        <f t="shared" si="27"/>
        <v>13.763403291564877</v>
      </c>
      <c r="AF46" s="545">
        <f t="shared" si="27"/>
        <v>16.479879502276738</v>
      </c>
      <c r="AH46" s="462"/>
      <c r="AI46" s="462"/>
      <c r="AJ46" s="475"/>
      <c r="AK46" s="476"/>
      <c r="AL46" s="446"/>
      <c r="AM46" s="446"/>
      <c r="AN46" s="446"/>
      <c r="AO46" s="446"/>
      <c r="AP46" s="446"/>
      <c r="AQ46" s="446"/>
      <c r="AR46" s="446"/>
      <c r="AS46" s="446"/>
      <c r="AT46" s="446"/>
    </row>
    <row r="47" spans="1:46" ht="15.75" thickBot="1" x14ac:dyDescent="0.3">
      <c r="A47" s="464"/>
      <c r="B47" s="554"/>
      <c r="C47" s="555" t="s">
        <v>624</v>
      </c>
      <c r="D47" s="487">
        <f>G38/G47</f>
        <v>13.094154699410229</v>
      </c>
      <c r="E47" s="487">
        <f>IF($F$15&gt;0,D47/$F$15,NA())</f>
        <v>5.7683500878459162</v>
      </c>
      <c r="F47" s="487">
        <f>V51</f>
        <v>26.355739792200637</v>
      </c>
      <c r="G47" s="487">
        <f>V49</f>
        <v>1.909248865154008</v>
      </c>
      <c r="H47" s="469"/>
      <c r="I47" s="556"/>
      <c r="J47" s="781"/>
      <c r="K47" s="781"/>
      <c r="L47" s="782"/>
      <c r="M47" s="784"/>
      <c r="N47" s="784"/>
      <c r="O47" s="557"/>
      <c r="P47" s="464"/>
      <c r="T47" s="553" t="s">
        <v>625</v>
      </c>
      <c r="V47" s="545">
        <f t="shared" ref="V47:AF47" si="28">-(V36-SIN(RADIANS($G$39))*V42*V44)/(V40*V44)</f>
        <v>-12.275379230373185</v>
      </c>
      <c r="W47" s="545">
        <f t="shared" si="28"/>
        <v>-7.0304444683046414</v>
      </c>
      <c r="X47" s="545">
        <f t="shared" si="28"/>
        <v>-9.8946996220583863</v>
      </c>
      <c r="Y47" s="545">
        <f t="shared" si="28"/>
        <v>-12.758954775812127</v>
      </c>
      <c r="Z47" s="545">
        <f t="shared" si="28"/>
        <v>-15.623209929565872</v>
      </c>
      <c r="AA47" s="545">
        <f t="shared" si="28"/>
        <v>-18.487465083319613</v>
      </c>
      <c r="AB47" s="545">
        <f t="shared" si="28"/>
        <v>-21.351720237073355</v>
      </c>
      <c r="AC47" s="545">
        <f t="shared" si="28"/>
        <v>-24.215975390827094</v>
      </c>
      <c r="AD47" s="545">
        <f t="shared" si="28"/>
        <v>-27.080230544580839</v>
      </c>
      <c r="AE47" s="545">
        <f t="shared" si="28"/>
        <v>-29.944485698334578</v>
      </c>
      <c r="AF47" s="545">
        <f t="shared" si="28"/>
        <v>-32.80874085208832</v>
      </c>
      <c r="AH47" s="462"/>
      <c r="AI47" s="462"/>
      <c r="AJ47" s="475"/>
      <c r="AK47" s="476"/>
      <c r="AL47" s="446"/>
      <c r="AM47" s="446"/>
      <c r="AN47" s="446"/>
      <c r="AO47" s="446"/>
      <c r="AP47" s="446"/>
      <c r="AQ47" s="446"/>
      <c r="AR47" s="446"/>
      <c r="AS47" s="446"/>
      <c r="AT47" s="446"/>
    </row>
    <row r="48" spans="1:46" ht="13.5" thickBot="1" x14ac:dyDescent="0.25">
      <c r="B48" s="785" t="s">
        <v>626</v>
      </c>
      <c r="C48" s="786"/>
      <c r="D48" s="786"/>
      <c r="E48" s="786"/>
      <c r="F48" s="786"/>
      <c r="G48" s="786"/>
      <c r="H48" s="786"/>
      <c r="I48" s="786"/>
      <c r="J48" s="786"/>
      <c r="K48" s="786"/>
      <c r="L48" s="786"/>
      <c r="M48" s="786"/>
      <c r="N48" s="786"/>
      <c r="O48" s="787"/>
      <c r="P48" s="464"/>
      <c r="T48" s="490" t="s">
        <v>627</v>
      </c>
      <c r="V48" s="519">
        <f t="shared" ref="V48:AF48" si="29">V46^2*$T$16/V47</f>
        <v>-3.6219122273425377</v>
      </c>
      <c r="W48" s="519">
        <f t="shared" si="29"/>
        <v>-0.76367252838834709</v>
      </c>
      <c r="X48" s="519">
        <f t="shared" si="29"/>
        <v>-1.9674020349052674</v>
      </c>
      <c r="Y48" s="519">
        <f t="shared" si="29"/>
        <v>-4.0439662069471671</v>
      </c>
      <c r="Z48" s="519">
        <f t="shared" si="29"/>
        <v>-7.2321132512333239</v>
      </c>
      <c r="AA48" s="519">
        <f t="shared" si="29"/>
        <v>-11.770637867686737</v>
      </c>
      <c r="AB48" s="519">
        <f t="shared" si="29"/>
        <v>-17.898348507751212</v>
      </c>
      <c r="AC48" s="519">
        <f t="shared" si="29"/>
        <v>-25.854058884700194</v>
      </c>
      <c r="AD48" s="519">
        <f t="shared" si="29"/>
        <v>-35.876585081979513</v>
      </c>
      <c r="AE48" s="519">
        <f t="shared" si="29"/>
        <v>-48.204744379602893</v>
      </c>
      <c r="AF48" s="519">
        <f t="shared" si="29"/>
        <v>-63.077354715035625</v>
      </c>
      <c r="AH48" s="462"/>
      <c r="AI48" s="462"/>
      <c r="AJ48" s="475"/>
      <c r="AK48" s="476"/>
      <c r="AL48" s="446"/>
      <c r="AM48" s="446"/>
      <c r="AN48" s="446"/>
      <c r="AO48" s="446"/>
      <c r="AP48" s="446"/>
      <c r="AQ48" s="446"/>
      <c r="AR48" s="446"/>
      <c r="AS48" s="446"/>
      <c r="AT48" s="446"/>
    </row>
    <row r="49" spans="2:46" ht="15" x14ac:dyDescent="0.25">
      <c r="B49" s="558"/>
      <c r="C49" s="559"/>
      <c r="D49" s="559"/>
      <c r="E49" s="559"/>
      <c r="F49" s="559"/>
      <c r="G49" s="559"/>
      <c r="H49" s="559"/>
      <c r="I49" s="559"/>
      <c r="J49" s="559"/>
      <c r="K49" s="560" t="s">
        <v>628</v>
      </c>
      <c r="L49" s="459"/>
      <c r="M49" s="788" t="s">
        <v>629</v>
      </c>
      <c r="N49" s="561" t="s">
        <v>630</v>
      </c>
      <c r="O49" s="562"/>
      <c r="T49" s="563" t="s">
        <v>631</v>
      </c>
      <c r="V49" s="532">
        <f>(-V48+1+V53)/V46</f>
        <v>1.909248865154008</v>
      </c>
      <c r="W49" s="532">
        <f t="shared" ref="W49:AF49" si="30">(-W48+1+W53)/W46</f>
        <v>1.851871738624669</v>
      </c>
      <c r="X49" s="532">
        <f t="shared" si="30"/>
        <v>1.8221898957134377</v>
      </c>
      <c r="Y49" s="532">
        <f t="shared" si="30"/>
        <v>1.9352781771159591</v>
      </c>
      <c r="Z49" s="532">
        <f t="shared" si="30"/>
        <v>2.1372992923793999</v>
      </c>
      <c r="AA49" s="532">
        <f t="shared" si="30"/>
        <v>2.3893690652095234</v>
      </c>
      <c r="AB49" s="532">
        <f t="shared" si="30"/>
        <v>2.6682859427686223</v>
      </c>
      <c r="AC49" s="532">
        <f t="shared" si="30"/>
        <v>2.9623724597805308</v>
      </c>
      <c r="AD49" s="532">
        <f t="shared" si="30"/>
        <v>3.2656741839590691</v>
      </c>
      <c r="AE49" s="532">
        <f t="shared" si="30"/>
        <v>3.574896362860891</v>
      </c>
      <c r="AF49" s="532">
        <f t="shared" si="30"/>
        <v>3.888095825833159</v>
      </c>
      <c r="AH49" s="462"/>
      <c r="AI49" s="462"/>
      <c r="AJ49" s="475"/>
      <c r="AK49" s="476"/>
      <c r="AL49" s="446"/>
      <c r="AM49" s="446"/>
      <c r="AN49" s="446"/>
      <c r="AO49" s="446"/>
      <c r="AP49" s="446"/>
      <c r="AQ49" s="446"/>
      <c r="AR49" s="446"/>
      <c r="AS49" s="446"/>
      <c r="AT49" s="446"/>
    </row>
    <row r="50" spans="2:46" ht="13.5" thickBot="1" x14ac:dyDescent="0.25">
      <c r="B50" s="564"/>
      <c r="C50" s="565"/>
      <c r="D50" s="565"/>
      <c r="E50" s="565"/>
      <c r="F50" s="565"/>
      <c r="G50" s="565"/>
      <c r="H50" s="565"/>
      <c r="I50" s="565"/>
      <c r="J50" s="565"/>
      <c r="K50" s="566">
        <v>3</v>
      </c>
      <c r="L50" s="567" t="s">
        <v>560</v>
      </c>
      <c r="M50" s="789"/>
      <c r="N50" s="568">
        <v>14</v>
      </c>
      <c r="O50" s="569" t="s">
        <v>560</v>
      </c>
      <c r="T50" s="490" t="s">
        <v>632</v>
      </c>
      <c r="V50" s="519">
        <f>LN(0.1/-V47)/-V46</f>
        <v>1.9913722636605813</v>
      </c>
      <c r="W50" s="519">
        <f t="shared" ref="W50:AF50" si="31">LN(0.1/-W47)/-W46</f>
        <v>5.0665349888603561</v>
      </c>
      <c r="X50" s="519">
        <f t="shared" si="31"/>
        <v>2.8745895726179542</v>
      </c>
      <c r="Y50" s="519">
        <f t="shared" si="31"/>
        <v>1.8633828821896612</v>
      </c>
      <c r="Z50" s="519">
        <f t="shared" si="31"/>
        <v>1.3117968306313763</v>
      </c>
      <c r="AA50" s="519">
        <f t="shared" si="31"/>
        <v>0.97674797177553641</v>
      </c>
      <c r="AB50" s="519">
        <f t="shared" si="31"/>
        <v>0.75739155525697688</v>
      </c>
      <c r="AC50" s="519">
        <f t="shared" si="31"/>
        <v>0.60562340447386898</v>
      </c>
      <c r="AD50" s="519">
        <f t="shared" si="31"/>
        <v>0.496068323997026</v>
      </c>
      <c r="AE50" s="519">
        <f t="shared" si="31"/>
        <v>0.41428200299713525</v>
      </c>
      <c r="AF50" s="519">
        <f t="shared" si="31"/>
        <v>0.35153655471053247</v>
      </c>
      <c r="AH50" s="462"/>
      <c r="AI50" s="462"/>
      <c r="AJ50" s="475"/>
      <c r="AK50" s="476"/>
      <c r="AL50" s="446"/>
      <c r="AM50" s="446"/>
      <c r="AN50" s="446"/>
      <c r="AO50" s="446"/>
      <c r="AP50" s="446"/>
      <c r="AQ50" s="446"/>
      <c r="AR50" s="446"/>
      <c r="AS50" s="446"/>
      <c r="AT50" s="446"/>
    </row>
    <row r="51" spans="2:46" ht="13.5" thickBot="1" x14ac:dyDescent="0.25">
      <c r="B51" s="570"/>
      <c r="C51" s="570"/>
      <c r="D51" s="570"/>
      <c r="E51" s="570"/>
      <c r="F51" s="570"/>
      <c r="G51" s="570"/>
      <c r="H51" s="570"/>
      <c r="I51" s="570"/>
      <c r="J51" s="570"/>
      <c r="K51" s="527"/>
      <c r="L51" s="527"/>
      <c r="M51" s="527"/>
      <c r="N51" s="527"/>
      <c r="O51" s="527"/>
      <c r="T51" s="490" t="s">
        <v>633</v>
      </c>
      <c r="V51" s="519">
        <f>((-V47/V46^2)*(EXP(-V46*V50)-1)-(V47/V46)*V50)/0.0254/12</f>
        <v>26.355739792200637</v>
      </c>
      <c r="W51" s="519">
        <f t="shared" ref="W51:AF51" si="32">((-W47/W46^2)*(EXP(-W46*W50)-1)-(W47/W46)*W50)/0.0254/12</f>
        <v>106.9522194281865</v>
      </c>
      <c r="X51" s="519">
        <f t="shared" si="32"/>
        <v>45.805212560667712</v>
      </c>
      <c r="Y51" s="519">
        <f t="shared" si="32"/>
        <v>23.842039526797056</v>
      </c>
      <c r="Z51" s="519">
        <f t="shared" si="32"/>
        <v>14.026824905398799</v>
      </c>
      <c r="AA51" s="519">
        <f t="shared" si="32"/>
        <v>8.9737853424994292</v>
      </c>
      <c r="AB51" s="519">
        <f t="shared" si="32"/>
        <v>6.1016814820708092</v>
      </c>
      <c r="AC51" s="519">
        <f t="shared" si="32"/>
        <v>4.3452820830474694</v>
      </c>
      <c r="AD51" s="519">
        <f t="shared" si="32"/>
        <v>3.208974443003958</v>
      </c>
      <c r="AE51" s="519">
        <f t="shared" si="32"/>
        <v>2.4402524363879183</v>
      </c>
      <c r="AF51" s="519">
        <f t="shared" si="32"/>
        <v>1.9009706622051794</v>
      </c>
      <c r="AH51" s="462"/>
      <c r="AI51" s="462"/>
      <c r="AJ51" s="475"/>
      <c r="AK51" s="476"/>
      <c r="AL51" s="446"/>
      <c r="AM51" s="446"/>
      <c r="AN51" s="446"/>
      <c r="AO51" s="446"/>
      <c r="AP51" s="446"/>
      <c r="AQ51" s="446"/>
      <c r="AR51" s="446"/>
      <c r="AS51" s="446"/>
      <c r="AT51" s="446"/>
    </row>
    <row r="52" spans="2:46" x14ac:dyDescent="0.2">
      <c r="B52" s="527"/>
      <c r="C52" s="790" t="s">
        <v>634</v>
      </c>
      <c r="D52" s="791"/>
      <c r="E52" s="791"/>
      <c r="F52" s="791"/>
      <c r="G52" s="791"/>
      <c r="H52" s="791"/>
      <c r="I52" s="791"/>
      <c r="J52" s="791"/>
      <c r="K52" s="791"/>
      <c r="L52" s="791"/>
      <c r="M52" s="791"/>
      <c r="N52" s="791"/>
      <c r="O52" s="792"/>
      <c r="S52" s="527"/>
      <c r="T52" s="490" t="s">
        <v>635</v>
      </c>
      <c r="V52" s="519">
        <f>(V47/V46*(EXP(-V46*V49)-1))/0.0254/12</f>
        <v>16.507269782813292</v>
      </c>
      <c r="W52" s="519">
        <f t="shared" ref="W52:AF52" si="33">(W47/W46*(EXP(-W46*W49)-1))/0.0254/12</f>
        <v>21.672538640225611</v>
      </c>
      <c r="X52" s="519">
        <f t="shared" si="33"/>
        <v>19.206671263300628</v>
      </c>
      <c r="Y52" s="519">
        <f t="shared" si="33"/>
        <v>15.982107141934534</v>
      </c>
      <c r="Z52" s="519">
        <f t="shared" si="33"/>
        <v>13.307586261381738</v>
      </c>
      <c r="AA52" s="519">
        <f t="shared" si="33"/>
        <v>11.35010737092143</v>
      </c>
      <c r="AB52" s="519">
        <f t="shared" si="33"/>
        <v>9.8917350534029023</v>
      </c>
      <c r="AC52" s="519">
        <f t="shared" si="33"/>
        <v>8.764943874926816</v>
      </c>
      <c r="AD52" s="519">
        <f t="shared" si="33"/>
        <v>7.8683406283634811</v>
      </c>
      <c r="AE52" s="519">
        <f t="shared" si="33"/>
        <v>7.1379920528054157</v>
      </c>
      <c r="AF52" s="519">
        <f t="shared" si="33"/>
        <v>6.5316148627062134</v>
      </c>
      <c r="AH52" s="462"/>
      <c r="AI52" s="462"/>
      <c r="AJ52" s="475"/>
      <c r="AK52" s="476"/>
      <c r="AL52" s="446"/>
      <c r="AM52" s="446"/>
      <c r="AN52" s="446"/>
      <c r="AO52" s="446"/>
      <c r="AP52" s="446"/>
      <c r="AQ52" s="446"/>
      <c r="AR52" s="446"/>
      <c r="AS52" s="446"/>
      <c r="AT52" s="446"/>
    </row>
    <row r="53" spans="2:46" x14ac:dyDescent="0.2">
      <c r="B53" s="527"/>
      <c r="C53" s="793"/>
      <c r="D53" s="794"/>
      <c r="E53" s="794"/>
      <c r="F53" s="794"/>
      <c r="G53" s="794"/>
      <c r="H53" s="794"/>
      <c r="I53" s="794"/>
      <c r="J53" s="794"/>
      <c r="K53" s="794"/>
      <c r="L53" s="794"/>
      <c r="M53" s="794"/>
      <c r="N53" s="794"/>
      <c r="O53" s="795"/>
      <c r="S53" s="527"/>
      <c r="T53" s="490" t="s">
        <v>636</v>
      </c>
      <c r="V53" s="519">
        <f>IFERROR(VLOOKUP(-EXP(V48-1),JesseK_Conversions!$G$16:$K$1017,5,TRUE),10)</f>
        <v>-1.0101499999999108E-2</v>
      </c>
      <c r="W53" s="519">
        <f>IFERROR(VLOOKUP(-EXP(W48-1),JesseK_Conversions!$G$16:$K$1017,5,TRUE),10)</f>
        <v>-0.20921667199999891</v>
      </c>
      <c r="X53" s="519">
        <f>IFERROR(VLOOKUP(-EXP(X48-1),JesseK_Conversions!$G$16:$K$1017,5,TRUE),10)</f>
        <v>-5.491491199999906E-2</v>
      </c>
      <c r="Y53" s="519">
        <f>IFERROR(VLOOKUP(-EXP(Y48-1),JesseK_Conversions!$G$16:$K$1017,5,TRUE),10)</f>
        <v>-8.0647679999991118E-3</v>
      </c>
      <c r="Z53" s="519">
        <f>IFERROR(VLOOKUP(-EXP(Z48-1),JesseK_Conversions!$G$16:$K$1017,5,TRUE),10)</f>
        <v>-2.0040119999991226E-3</v>
      </c>
      <c r="AA53" s="519">
        <f>IFERROR(VLOOKUP(-EXP(AA48-1),JesseK_Conversions!$G$16:$K$1017,5,TRUE),10)</f>
        <v>-2.0040119999991226E-3</v>
      </c>
      <c r="AB53" s="519">
        <f>IFERROR(VLOOKUP(-EXP(AB48-1),JesseK_Conversions!$G$16:$K$1017,5,TRUE),10)</f>
        <v>-2.0040119999991226E-3</v>
      </c>
      <c r="AC53" s="519">
        <f>IFERROR(VLOOKUP(-EXP(AC48-1),JesseK_Conversions!$G$16:$K$1017,5,TRUE),10)</f>
        <v>-2.0040119999991226E-3</v>
      </c>
      <c r="AD53" s="519">
        <f>IFERROR(VLOOKUP(-EXP(AD48-1),JesseK_Conversions!$G$16:$K$1017,5,TRUE),10)</f>
        <v>-2.0040119999991226E-3</v>
      </c>
      <c r="AE53" s="519">
        <f>IFERROR(VLOOKUP(-EXP(AE48-1),JesseK_Conversions!$G$16:$K$1017,5,TRUE),10)</f>
        <v>-2.0040119999991226E-3</v>
      </c>
      <c r="AF53" s="519">
        <f>IFERROR(VLOOKUP(-EXP(AF48-1),JesseK_Conversions!$G$16:$K$1017,5,TRUE),10)</f>
        <v>-2.0040119999991226E-3</v>
      </c>
      <c r="AH53" s="462"/>
      <c r="AI53" s="462"/>
      <c r="AJ53" s="475"/>
      <c r="AK53" s="476"/>
      <c r="AL53" s="446"/>
      <c r="AM53" s="446"/>
      <c r="AN53" s="446"/>
      <c r="AO53" s="446"/>
      <c r="AP53" s="446"/>
      <c r="AQ53" s="446"/>
      <c r="AR53" s="446"/>
      <c r="AS53" s="446"/>
      <c r="AT53" s="446"/>
    </row>
    <row r="54" spans="2:46" x14ac:dyDescent="0.2">
      <c r="B54" s="527"/>
      <c r="C54" s="793"/>
      <c r="D54" s="794"/>
      <c r="E54" s="794"/>
      <c r="F54" s="794"/>
      <c r="G54" s="794"/>
      <c r="H54" s="794"/>
      <c r="I54" s="794"/>
      <c r="J54" s="794"/>
      <c r="K54" s="794"/>
      <c r="L54" s="794"/>
      <c r="M54" s="794"/>
      <c r="N54" s="794"/>
      <c r="O54" s="795"/>
      <c r="S54" s="527"/>
      <c r="T54" s="490" t="s">
        <v>610</v>
      </c>
      <c r="V54" s="519">
        <f t="shared" ref="V54:AF54" si="34">V41*V44*V35/$T$21</f>
        <v>0.1552011824705935</v>
      </c>
      <c r="W54" s="519">
        <f t="shared" si="34"/>
        <v>0.27098619161532206</v>
      </c>
      <c r="X54" s="519">
        <f t="shared" si="34"/>
        <v>0.19254282035825515</v>
      </c>
      <c r="Y54" s="519">
        <f t="shared" si="34"/>
        <v>0.14931892191048357</v>
      </c>
      <c r="Z54" s="519">
        <f t="shared" si="34"/>
        <v>0.12194378622689493</v>
      </c>
      <c r="AA54" s="519">
        <f t="shared" si="34"/>
        <v>0.10305108695230558</v>
      </c>
      <c r="AB54" s="519">
        <f t="shared" si="34"/>
        <v>8.9227160653825563E-2</v>
      </c>
      <c r="AC54" s="519">
        <f t="shared" si="34"/>
        <v>7.8673410468964478E-2</v>
      </c>
      <c r="AD54" s="519">
        <f t="shared" si="34"/>
        <v>7.0352184361670164E-2</v>
      </c>
      <c r="AE54" s="519">
        <f t="shared" si="34"/>
        <v>6.3622844987945196E-2</v>
      </c>
      <c r="AF54" s="519">
        <f t="shared" si="34"/>
        <v>5.8068469631854754E-2</v>
      </c>
      <c r="AH54" s="462"/>
      <c r="AI54" s="462"/>
      <c r="AJ54" s="475"/>
      <c r="AK54" s="476"/>
      <c r="AL54" s="446"/>
      <c r="AM54" s="446"/>
      <c r="AN54" s="446"/>
      <c r="AO54" s="446"/>
      <c r="AP54" s="446"/>
      <c r="AQ54" s="446"/>
      <c r="AR54" s="446"/>
      <c r="AS54" s="446"/>
      <c r="AT54" s="446"/>
    </row>
    <row r="55" spans="2:46" ht="13.5" customHeight="1" thickBot="1" x14ac:dyDescent="0.25">
      <c r="C55" s="571"/>
      <c r="D55" s="572" t="s">
        <v>637</v>
      </c>
      <c r="E55" s="464"/>
      <c r="F55" s="464"/>
      <c r="G55" s="573"/>
      <c r="H55" s="464"/>
      <c r="I55" s="464"/>
      <c r="J55" s="464"/>
      <c r="K55" s="464"/>
      <c r="L55" s="464"/>
      <c r="M55" s="464"/>
      <c r="N55" s="464"/>
      <c r="O55" s="574"/>
      <c r="S55" s="527"/>
      <c r="T55" s="490" t="s">
        <v>638</v>
      </c>
      <c r="V55" s="519">
        <f t="shared" ref="V55:AF55" si="35">(V54/$T$6*($T$9-$T$10)+$T$10)*$T$21</f>
        <v>38.478493341749797</v>
      </c>
      <c r="W55" s="519">
        <f t="shared" si="35"/>
        <v>60.321178850674258</v>
      </c>
      <c r="X55" s="519">
        <f t="shared" si="35"/>
        <v>45.522942867584348</v>
      </c>
      <c r="Y55" s="519">
        <f t="shared" si="35"/>
        <v>37.368812836085823</v>
      </c>
      <c r="Z55" s="519">
        <f t="shared" si="35"/>
        <v>32.20453048280342</v>
      </c>
      <c r="AA55" s="519">
        <f t="shared" si="35"/>
        <v>28.640448295326834</v>
      </c>
      <c r="AB55" s="519">
        <f t="shared" si="35"/>
        <v>26.032583280100063</v>
      </c>
      <c r="AC55" s="519">
        <f t="shared" si="35"/>
        <v>24.041632569550593</v>
      </c>
      <c r="AD55" s="519">
        <f t="shared" si="35"/>
        <v>22.471844509309665</v>
      </c>
      <c r="AE55" s="519">
        <f t="shared" si="35"/>
        <v>21.202363730158311</v>
      </c>
      <c r="AF55" s="519">
        <f t="shared" si="35"/>
        <v>20.154538325144493</v>
      </c>
      <c r="AH55" s="462"/>
      <c r="AI55" s="462"/>
      <c r="AJ55" s="475"/>
      <c r="AK55" s="476"/>
      <c r="AL55" s="446"/>
      <c r="AM55" s="446"/>
      <c r="AN55" s="446"/>
      <c r="AO55" s="446"/>
      <c r="AP55" s="446"/>
      <c r="AQ55" s="446"/>
      <c r="AR55" s="446"/>
      <c r="AS55" s="446"/>
      <c r="AT55" s="446"/>
    </row>
    <row r="56" spans="2:46" ht="15" x14ac:dyDescent="0.25">
      <c r="C56" s="773">
        <v>2</v>
      </c>
      <c r="D56" s="112" t="s">
        <v>639</v>
      </c>
      <c r="E56" s="575"/>
      <c r="F56" s="459"/>
      <c r="G56" s="576"/>
      <c r="H56" s="459"/>
      <c r="I56" s="459"/>
      <c r="J56" s="459"/>
      <c r="K56" s="459"/>
      <c r="L56" s="459"/>
      <c r="M56" s="459"/>
      <c r="N56" s="459"/>
      <c r="O56" s="562"/>
      <c r="S56" s="527"/>
      <c r="T56" s="490" t="s">
        <v>640</v>
      </c>
      <c r="V56" s="519">
        <f t="shared" ref="V56:AF56" si="36">$T$10*$T$21+V55</f>
        <v>47.6784933417498</v>
      </c>
      <c r="W56" s="519">
        <f t="shared" si="36"/>
        <v>69.521178850674261</v>
      </c>
      <c r="X56" s="519">
        <f t="shared" si="36"/>
        <v>54.722942867584351</v>
      </c>
      <c r="Y56" s="519">
        <f t="shared" si="36"/>
        <v>46.568812836085826</v>
      </c>
      <c r="Z56" s="519">
        <f t="shared" si="36"/>
        <v>41.404530482803423</v>
      </c>
      <c r="AA56" s="519">
        <f t="shared" si="36"/>
        <v>37.840448295326837</v>
      </c>
      <c r="AB56" s="519">
        <f t="shared" si="36"/>
        <v>35.232583280100059</v>
      </c>
      <c r="AC56" s="519">
        <f t="shared" si="36"/>
        <v>33.241632569550589</v>
      </c>
      <c r="AD56" s="519">
        <f t="shared" si="36"/>
        <v>31.671844509309665</v>
      </c>
      <c r="AE56" s="519">
        <f t="shared" si="36"/>
        <v>30.40236373015831</v>
      </c>
      <c r="AF56" s="519">
        <f t="shared" si="36"/>
        <v>29.354538325144492</v>
      </c>
      <c r="AH56" s="462"/>
      <c r="AI56" s="462"/>
      <c r="AJ56" s="475"/>
      <c r="AK56" s="476"/>
      <c r="AL56" s="446"/>
      <c r="AM56" s="446"/>
      <c r="AN56" s="446"/>
      <c r="AO56" s="446"/>
      <c r="AP56" s="446"/>
      <c r="AQ56" s="446"/>
      <c r="AR56" s="446"/>
      <c r="AS56" s="446"/>
      <c r="AT56" s="446"/>
    </row>
    <row r="57" spans="2:46" ht="15.75" thickBot="1" x14ac:dyDescent="0.3">
      <c r="C57" s="775"/>
      <c r="D57" s="577" t="s">
        <v>641</v>
      </c>
      <c r="E57" s="578"/>
      <c r="F57" s="481"/>
      <c r="G57" s="579"/>
      <c r="H57" s="481"/>
      <c r="I57" s="481"/>
      <c r="J57" s="481"/>
      <c r="K57" s="481"/>
      <c r="L57" s="481"/>
      <c r="M57" s="481"/>
      <c r="N57" s="481"/>
      <c r="O57" s="580"/>
      <c r="S57" s="527"/>
      <c r="T57" s="490" t="s">
        <v>642</v>
      </c>
      <c r="V57" s="539">
        <f t="shared" ref="V57:AF57" si="37">$T$9*$T$21-V56</f>
        <v>380.3215066582502</v>
      </c>
      <c r="W57" s="539">
        <f t="shared" si="37"/>
        <v>358.47882114932577</v>
      </c>
      <c r="X57" s="539">
        <f t="shared" si="37"/>
        <v>373.27705713241562</v>
      </c>
      <c r="Y57" s="539">
        <f t="shared" si="37"/>
        <v>381.43118716391416</v>
      </c>
      <c r="Z57" s="539">
        <f t="shared" si="37"/>
        <v>386.59546951719659</v>
      </c>
      <c r="AA57" s="539">
        <f t="shared" si="37"/>
        <v>390.15955170467316</v>
      </c>
      <c r="AB57" s="539">
        <f t="shared" si="37"/>
        <v>392.76741671989993</v>
      </c>
      <c r="AC57" s="539">
        <f t="shared" si="37"/>
        <v>394.75836743044943</v>
      </c>
      <c r="AD57" s="539">
        <f t="shared" si="37"/>
        <v>396.32815549069034</v>
      </c>
      <c r="AE57" s="539">
        <f t="shared" si="37"/>
        <v>397.5976362698417</v>
      </c>
      <c r="AF57" s="539">
        <f t="shared" si="37"/>
        <v>398.64546167485548</v>
      </c>
      <c r="AH57" s="462"/>
      <c r="AI57" s="462"/>
      <c r="AJ57" s="475"/>
      <c r="AK57" s="476"/>
      <c r="AL57" s="446"/>
      <c r="AM57" s="446"/>
      <c r="AN57" s="446"/>
      <c r="AO57" s="446"/>
      <c r="AP57" s="446"/>
      <c r="AQ57" s="446"/>
      <c r="AR57" s="446"/>
      <c r="AS57" s="446"/>
      <c r="AT57" s="446"/>
    </row>
    <row r="58" spans="2:46" ht="15" x14ac:dyDescent="0.25">
      <c r="C58" s="774">
        <v>3</v>
      </c>
      <c r="D58" s="796" t="s">
        <v>643</v>
      </c>
      <c r="E58" s="797"/>
      <c r="F58" s="797"/>
      <c r="G58" s="797"/>
      <c r="H58" s="797"/>
      <c r="I58" s="797"/>
      <c r="J58" s="797"/>
      <c r="K58" s="797"/>
      <c r="L58" s="797"/>
      <c r="M58" s="797"/>
      <c r="N58" s="797"/>
      <c r="O58" s="798"/>
      <c r="S58" s="527"/>
      <c r="T58" s="490" t="s">
        <v>644</v>
      </c>
      <c r="V58" s="539">
        <f>(V57/V46)-(V57/V46)*EXP(-V46*V50)+V56*V50</f>
        <v>251.11272364988497</v>
      </c>
      <c r="W58" s="539">
        <f t="shared" ref="W58:AF58" si="38">(W57/W46)-(W57/W46)*EXP(-W46*W50)+W56*W50</f>
        <v>773.22394649745866</v>
      </c>
      <c r="X58" s="539">
        <f t="shared" si="38"/>
        <v>388.48555676125227</v>
      </c>
      <c r="Y58" s="539">
        <f t="shared" si="38"/>
        <v>232.20925360181133</v>
      </c>
      <c r="Z58" s="539">
        <f t="shared" si="38"/>
        <v>154.06774511974245</v>
      </c>
      <c r="AA58" s="539">
        <f t="shared" si="38"/>
        <v>109.5754472241963</v>
      </c>
      <c r="AB58" s="539">
        <f t="shared" si="38"/>
        <v>81.886407224921925</v>
      </c>
      <c r="AC58" s="539">
        <f t="shared" si="38"/>
        <v>63.502602050553975</v>
      </c>
      <c r="AD58" s="539">
        <f t="shared" si="38"/>
        <v>50.681266029354404</v>
      </c>
      <c r="AE58" s="539">
        <f t="shared" si="38"/>
        <v>41.386712295409041</v>
      </c>
      <c r="AF58" s="539">
        <f t="shared" si="38"/>
        <v>34.435292109263017</v>
      </c>
      <c r="AH58" s="445"/>
      <c r="AI58" s="445"/>
      <c r="AJ58" s="446"/>
      <c r="AL58" s="446"/>
      <c r="AM58" s="446"/>
      <c r="AN58" s="446"/>
      <c r="AO58" s="446"/>
      <c r="AP58" s="446"/>
      <c r="AQ58" s="446"/>
      <c r="AR58" s="446"/>
      <c r="AS58" s="446"/>
      <c r="AT58" s="446"/>
    </row>
    <row r="59" spans="2:46" ht="15.75" thickBot="1" x14ac:dyDescent="0.3">
      <c r="C59" s="775"/>
      <c r="D59" s="581" t="s">
        <v>645</v>
      </c>
      <c r="E59" s="578"/>
      <c r="F59" s="481"/>
      <c r="G59" s="579"/>
      <c r="H59" s="481"/>
      <c r="I59" s="481"/>
      <c r="J59" s="481"/>
      <c r="K59" s="481"/>
      <c r="L59" s="481"/>
      <c r="M59" s="481"/>
      <c r="N59" s="481"/>
      <c r="O59" s="580"/>
      <c r="S59" s="527"/>
      <c r="T59" s="490" t="s">
        <v>646</v>
      </c>
      <c r="V59" s="519">
        <f t="shared" ref="V59:AF59" si="39">MAX((V49-V50)*$T$17*1000/3600,0)</f>
        <v>0</v>
      </c>
      <c r="W59" s="519">
        <f t="shared" si="39"/>
        <v>0</v>
      </c>
      <c r="X59" s="519">
        <f t="shared" si="39"/>
        <v>0</v>
      </c>
      <c r="Y59" s="519">
        <f t="shared" si="39"/>
        <v>0</v>
      </c>
      <c r="Z59" s="519">
        <f t="shared" si="39"/>
        <v>0</v>
      </c>
      <c r="AA59" s="519">
        <f t="shared" si="39"/>
        <v>0</v>
      </c>
      <c r="AB59" s="519">
        <f t="shared" si="39"/>
        <v>0</v>
      </c>
      <c r="AC59" s="519">
        <f t="shared" si="39"/>
        <v>0</v>
      </c>
      <c r="AD59" s="519">
        <f t="shared" si="39"/>
        <v>0</v>
      </c>
      <c r="AE59" s="519">
        <f t="shared" si="39"/>
        <v>0</v>
      </c>
      <c r="AF59" s="519">
        <f t="shared" si="39"/>
        <v>0</v>
      </c>
      <c r="AH59" s="445"/>
      <c r="AI59" s="445"/>
      <c r="AJ59" s="446"/>
      <c r="AL59" s="446"/>
      <c r="AM59" s="446"/>
      <c r="AN59" s="446"/>
      <c r="AO59" s="446"/>
      <c r="AP59" s="446"/>
      <c r="AQ59" s="446"/>
      <c r="AR59" s="446"/>
      <c r="AS59" s="446"/>
      <c r="AT59" s="446"/>
    </row>
    <row r="60" spans="2:46" ht="12.75" customHeight="1" x14ac:dyDescent="0.2">
      <c r="C60" s="773">
        <v>4</v>
      </c>
      <c r="D60" s="776" t="s">
        <v>647</v>
      </c>
      <c r="E60" s="776"/>
      <c r="F60" s="776"/>
      <c r="G60" s="776"/>
      <c r="H60" s="776"/>
      <c r="I60" s="776"/>
      <c r="J60" s="776"/>
      <c r="K60" s="776"/>
      <c r="L60" s="776"/>
      <c r="M60" s="776"/>
      <c r="N60" s="776"/>
      <c r="O60" s="777"/>
      <c r="S60" s="527"/>
      <c r="T60" s="490" t="s">
        <v>648</v>
      </c>
      <c r="V60" s="539">
        <f>V58+V59</f>
        <v>251.11272364988497</v>
      </c>
      <c r="W60" s="539">
        <f>W58+W59</f>
        <v>773.22394649745866</v>
      </c>
      <c r="X60" s="539">
        <f t="shared" ref="X60:AF60" si="40">X58+X59</f>
        <v>388.48555676125227</v>
      </c>
      <c r="Y60" s="539">
        <f t="shared" si="40"/>
        <v>232.20925360181133</v>
      </c>
      <c r="Z60" s="539">
        <f t="shared" si="40"/>
        <v>154.06774511974245</v>
      </c>
      <c r="AA60" s="539">
        <f t="shared" si="40"/>
        <v>109.5754472241963</v>
      </c>
      <c r="AB60" s="539">
        <f t="shared" si="40"/>
        <v>81.886407224921925</v>
      </c>
      <c r="AC60" s="539">
        <f t="shared" si="40"/>
        <v>63.502602050553975</v>
      </c>
      <c r="AD60" s="539">
        <f t="shared" si="40"/>
        <v>50.681266029354404</v>
      </c>
      <c r="AE60" s="539">
        <f t="shared" si="40"/>
        <v>41.386712295409041</v>
      </c>
      <c r="AF60" s="539">
        <f t="shared" si="40"/>
        <v>34.435292109263017</v>
      </c>
      <c r="AH60" s="445"/>
      <c r="AI60" s="445"/>
      <c r="AJ60" s="446"/>
      <c r="AL60" s="446"/>
      <c r="AM60" s="446"/>
      <c r="AN60" s="446"/>
      <c r="AO60" s="446"/>
      <c r="AP60" s="446"/>
      <c r="AQ60" s="446"/>
      <c r="AR60" s="446"/>
      <c r="AS60" s="446"/>
      <c r="AT60" s="446"/>
    </row>
    <row r="61" spans="2:46" ht="12.75" customHeight="1" x14ac:dyDescent="0.2">
      <c r="C61" s="774"/>
      <c r="D61" s="778"/>
      <c r="E61" s="778"/>
      <c r="F61" s="778"/>
      <c r="G61" s="778"/>
      <c r="H61" s="778"/>
      <c r="I61" s="778"/>
      <c r="J61" s="778"/>
      <c r="K61" s="778"/>
      <c r="L61" s="778"/>
      <c r="M61" s="778"/>
      <c r="N61" s="778"/>
      <c r="O61" s="779"/>
      <c r="S61" s="527"/>
      <c r="T61" s="490" t="s">
        <v>649</v>
      </c>
      <c r="V61" s="539">
        <f>MIN(MIN((120-$T$10)/$T$21,40-$T$10)/($T$9-$T$10)*$T$6*$T$21*V34*$T$20/4.448222/0.0254/(V45/2)*IF($F$15&gt;0,$F$15,1),V39*$G$21*$T$20)</f>
        <v>118.59453427172429</v>
      </c>
      <c r="W61" s="539">
        <f t="shared" ref="W61:AF61" si="41">MIN(MIN((120-$T$10)/$T$21,40-$T$10)/($T$9-$T$10)*$T$6*$T$21*W34*$T$20/4.448222/0.0254/(W45/2)*IF($F$15&gt;0,$F$15,1),W39*$G$21*$T$20)</f>
        <v>67.922324173805706</v>
      </c>
      <c r="X61" s="539">
        <f t="shared" si="41"/>
        <v>95.59438217054138</v>
      </c>
      <c r="Y61" s="539">
        <f t="shared" si="41"/>
        <v>123.26644016727704</v>
      </c>
      <c r="Z61" s="539">
        <f t="shared" si="41"/>
        <v>134.10942187499998</v>
      </c>
      <c r="AA61" s="539">
        <f t="shared" si="41"/>
        <v>134.10942187499998</v>
      </c>
      <c r="AB61" s="539">
        <f t="shared" si="41"/>
        <v>134.10942187499998</v>
      </c>
      <c r="AC61" s="539">
        <f t="shared" si="41"/>
        <v>134.10942187499998</v>
      </c>
      <c r="AD61" s="539">
        <f t="shared" si="41"/>
        <v>134.10942187499998</v>
      </c>
      <c r="AE61" s="539">
        <f t="shared" si="41"/>
        <v>134.10942187499998</v>
      </c>
      <c r="AF61" s="539">
        <f t="shared" si="41"/>
        <v>134.10942187499998</v>
      </c>
      <c r="AH61" s="445"/>
      <c r="AI61" s="445"/>
      <c r="AJ61" s="446"/>
      <c r="AL61" s="446"/>
      <c r="AM61" s="446"/>
      <c r="AN61" s="446"/>
      <c r="AO61" s="446"/>
      <c r="AP61" s="446"/>
      <c r="AQ61" s="446"/>
      <c r="AR61" s="446"/>
      <c r="AS61" s="446"/>
      <c r="AT61" s="446"/>
    </row>
    <row r="62" spans="2:46" ht="13.5" thickBot="1" x14ac:dyDescent="0.25">
      <c r="C62" s="775"/>
      <c r="D62" s="577" t="s">
        <v>650</v>
      </c>
      <c r="E62" s="582"/>
      <c r="F62" s="582"/>
      <c r="G62" s="582"/>
      <c r="H62" s="582"/>
      <c r="I62" s="582"/>
      <c r="J62" s="582"/>
      <c r="K62" s="582"/>
      <c r="L62" s="582"/>
      <c r="M62" s="582"/>
      <c r="N62" s="582"/>
      <c r="O62" s="583"/>
      <c r="S62" s="527"/>
      <c r="T62" s="490" t="s">
        <v>651</v>
      </c>
      <c r="V62" s="539">
        <f t="shared" ref="V62:AF62" si="42">((V63+V54)/$T$6*($T$9-$T$10)+$T$10)*$T$21</f>
        <v>84.960362065783883</v>
      </c>
      <c r="W62" s="539">
        <f t="shared" si="42"/>
        <v>141.47999725771791</v>
      </c>
      <c r="X62" s="539">
        <f t="shared" si="42"/>
        <v>103.18841910416799</v>
      </c>
      <c r="Y62" s="539">
        <f t="shared" si="42"/>
        <v>82.088978080783335</v>
      </c>
      <c r="Z62" s="539">
        <f t="shared" si="42"/>
        <v>68.72599876597306</v>
      </c>
      <c r="AA62" s="539">
        <f t="shared" si="42"/>
        <v>59.503660928991323</v>
      </c>
      <c r="AB62" s="539">
        <f t="shared" si="42"/>
        <v>52.755608853151031</v>
      </c>
      <c r="AC62" s="539">
        <f t="shared" si="42"/>
        <v>47.603870171595531</v>
      </c>
      <c r="AD62" s="539">
        <f t="shared" si="42"/>
        <v>43.541922364984472</v>
      </c>
      <c r="AE62" s="539">
        <f t="shared" si="42"/>
        <v>40.25704283442073</v>
      </c>
      <c r="AF62" s="539">
        <f t="shared" si="42"/>
        <v>37.545713698082423</v>
      </c>
      <c r="AH62" s="445"/>
      <c r="AI62" s="445"/>
      <c r="AJ62" s="446"/>
      <c r="AL62" s="446"/>
      <c r="AM62" s="446"/>
      <c r="AN62" s="446"/>
      <c r="AO62" s="446"/>
      <c r="AP62" s="446"/>
      <c r="AQ62" s="446"/>
      <c r="AR62" s="446"/>
      <c r="AS62" s="446"/>
      <c r="AT62" s="446"/>
    </row>
    <row r="63" spans="2:46" ht="15" x14ac:dyDescent="0.25">
      <c r="D63"/>
      <c r="E63"/>
      <c r="F63"/>
      <c r="G63"/>
      <c r="H63"/>
      <c r="I63"/>
      <c r="J63"/>
      <c r="K63"/>
      <c r="L63"/>
      <c r="M63"/>
      <c r="N63"/>
      <c r="S63" s="527"/>
      <c r="T63" s="490" t="s">
        <v>652</v>
      </c>
      <c r="V63" s="545">
        <f>$T$27*V35/$T$21</f>
        <v>0.24639385999846147</v>
      </c>
      <c r="W63" s="545">
        <f t="shared" ref="W63:AF63" si="43">$T$27*W35/$T$21</f>
        <v>0.43021150158461535</v>
      </c>
      <c r="X63" s="545">
        <f t="shared" si="43"/>
        <v>0.30567659323117408</v>
      </c>
      <c r="Y63" s="545">
        <f t="shared" si="43"/>
        <v>0.23705531719968601</v>
      </c>
      <c r="Z63" s="545">
        <f t="shared" si="43"/>
        <v>0.19359517571307691</v>
      </c>
      <c r="AA63" s="545">
        <f t="shared" si="43"/>
        <v>0.16360155694062839</v>
      </c>
      <c r="AB63" s="545">
        <f t="shared" si="43"/>
        <v>0.14165500661932456</v>
      </c>
      <c r="AC63" s="545">
        <f t="shared" si="43"/>
        <v>0.12490011336327544</v>
      </c>
      <c r="AD63" s="545">
        <f t="shared" si="43"/>
        <v>0.11168952444985208</v>
      </c>
      <c r="AE63" s="545">
        <f t="shared" si="43"/>
        <v>0.10100617863290973</v>
      </c>
      <c r="AF63" s="545">
        <f t="shared" si="43"/>
        <v>9.2188178910989044E-2</v>
      </c>
      <c r="AH63" s="445"/>
      <c r="AI63" s="445"/>
      <c r="AJ63" s="446"/>
      <c r="AL63" s="446"/>
      <c r="AM63" s="446"/>
      <c r="AN63" s="446"/>
      <c r="AO63" s="446"/>
      <c r="AP63" s="446"/>
      <c r="AQ63" s="446"/>
      <c r="AR63" s="446"/>
      <c r="AS63" s="446"/>
      <c r="AT63" s="446"/>
    </row>
    <row r="64" spans="2:46" x14ac:dyDescent="0.2">
      <c r="AH64" s="445"/>
      <c r="AI64" s="445"/>
      <c r="AJ64" s="446"/>
      <c r="AL64" s="446"/>
      <c r="AM64" s="446"/>
      <c r="AN64" s="446"/>
      <c r="AO64" s="446"/>
      <c r="AP64" s="446"/>
      <c r="AQ64" s="446"/>
      <c r="AR64" s="446"/>
      <c r="AS64" s="446"/>
      <c r="AT64" s="446"/>
    </row>
    <row r="65" spans="19:46" s="447" customFormat="1" x14ac:dyDescent="0.2">
      <c r="S65" s="490"/>
      <c r="T65" s="445"/>
      <c r="W65" s="445"/>
      <c r="X65" s="445"/>
      <c r="Y65" s="445"/>
      <c r="Z65" s="445"/>
      <c r="AA65" s="445"/>
      <c r="AB65" s="445"/>
      <c r="AC65" s="445"/>
      <c r="AD65" s="445"/>
      <c r="AE65" s="445"/>
      <c r="AF65" s="445"/>
      <c r="AH65" s="445"/>
      <c r="AI65" s="445"/>
      <c r="AJ65" s="446"/>
      <c r="AL65" s="446"/>
      <c r="AM65" s="446"/>
      <c r="AN65" s="446"/>
      <c r="AO65" s="446"/>
      <c r="AP65" s="446"/>
      <c r="AQ65" s="446"/>
      <c r="AR65" s="446"/>
      <c r="AS65" s="446"/>
      <c r="AT65" s="446"/>
    </row>
    <row r="66" spans="19:46" s="447" customFormat="1" ht="15" x14ac:dyDescent="0.25">
      <c r="S66" s="490"/>
      <c r="T66"/>
      <c r="W66" s="445"/>
      <c r="X66" s="445"/>
      <c r="Y66" s="445"/>
      <c r="Z66" s="445"/>
      <c r="AA66" s="445"/>
      <c r="AB66" s="445"/>
      <c r="AC66" s="445"/>
      <c r="AD66" s="445"/>
      <c r="AE66" s="445"/>
      <c r="AF66" s="445"/>
      <c r="AH66" s="445"/>
      <c r="AI66" s="445"/>
      <c r="AJ66" s="446"/>
      <c r="AL66" s="446"/>
      <c r="AM66" s="446"/>
      <c r="AN66" s="446"/>
      <c r="AO66" s="446"/>
      <c r="AP66" s="446"/>
      <c r="AQ66" s="446"/>
      <c r="AR66" s="446"/>
      <c r="AS66" s="446"/>
      <c r="AT66" s="446"/>
    </row>
    <row r="67" spans="19:46" s="447" customFormat="1" ht="15" x14ac:dyDescent="0.25">
      <c r="S67"/>
      <c r="T67"/>
      <c r="W67" s="445"/>
      <c r="X67" s="445"/>
      <c r="Y67" s="445"/>
      <c r="Z67" s="445"/>
      <c r="AA67" s="445"/>
      <c r="AB67" s="445"/>
      <c r="AC67" s="445"/>
      <c r="AD67" s="445"/>
      <c r="AE67" s="445"/>
      <c r="AF67" s="445"/>
      <c r="AH67" s="445"/>
      <c r="AI67" s="445"/>
      <c r="AJ67" s="446"/>
      <c r="AL67" s="446"/>
      <c r="AM67" s="446"/>
      <c r="AN67" s="446"/>
      <c r="AO67" s="446"/>
      <c r="AP67" s="446"/>
      <c r="AQ67" s="446"/>
      <c r="AR67" s="446"/>
      <c r="AS67" s="446"/>
      <c r="AT67" s="446"/>
    </row>
    <row r="68" spans="19:46" s="447" customFormat="1" ht="15" x14ac:dyDescent="0.25">
      <c r="S68"/>
      <c r="T68"/>
      <c r="W68" s="445"/>
      <c r="X68" s="445"/>
      <c r="Y68" s="445"/>
      <c r="Z68" s="445"/>
      <c r="AA68" s="445"/>
      <c r="AB68" s="445"/>
      <c r="AC68" s="445"/>
      <c r="AD68" s="445"/>
      <c r="AE68" s="445"/>
      <c r="AF68" s="445"/>
      <c r="AH68" s="445"/>
      <c r="AI68" s="445"/>
      <c r="AJ68" s="446"/>
      <c r="AL68" s="446"/>
      <c r="AM68" s="446"/>
      <c r="AN68" s="446"/>
      <c r="AO68" s="446"/>
      <c r="AP68" s="446"/>
      <c r="AQ68" s="446"/>
      <c r="AR68" s="446"/>
      <c r="AS68" s="446"/>
      <c r="AT68" s="446"/>
    </row>
    <row r="69" spans="19:46" s="447" customFormat="1" ht="15" x14ac:dyDescent="0.25">
      <c r="S69"/>
      <c r="T69"/>
      <c r="W69" s="445"/>
      <c r="X69" s="445"/>
      <c r="Y69" s="445"/>
      <c r="Z69" s="445"/>
      <c r="AA69" s="445"/>
      <c r="AB69" s="445"/>
      <c r="AC69" s="445"/>
      <c r="AD69" s="445"/>
      <c r="AE69" s="445"/>
      <c r="AF69" s="445"/>
      <c r="AH69" s="445"/>
      <c r="AI69" s="445"/>
      <c r="AJ69" s="446"/>
      <c r="AL69" s="446"/>
      <c r="AM69" s="446"/>
      <c r="AN69" s="446"/>
      <c r="AO69" s="446"/>
      <c r="AP69" s="446"/>
      <c r="AQ69" s="446"/>
      <c r="AR69" s="446"/>
      <c r="AS69" s="446"/>
      <c r="AT69" s="446"/>
    </row>
    <row r="70" spans="19:46" s="447" customFormat="1" ht="15" x14ac:dyDescent="0.25">
      <c r="S70"/>
      <c r="T70"/>
      <c r="W70" s="445"/>
      <c r="X70" s="445"/>
      <c r="Y70" s="445"/>
      <c r="Z70" s="445"/>
      <c r="AA70" s="445"/>
      <c r="AB70" s="445"/>
      <c r="AC70" s="445"/>
      <c r="AD70" s="445"/>
      <c r="AE70" s="445"/>
      <c r="AF70" s="445"/>
      <c r="AH70" s="445"/>
      <c r="AI70" s="445"/>
      <c r="AJ70" s="446"/>
      <c r="AL70" s="446"/>
      <c r="AM70" s="446"/>
      <c r="AN70" s="446"/>
      <c r="AO70" s="446"/>
      <c r="AP70" s="446"/>
      <c r="AQ70" s="446"/>
      <c r="AR70" s="446"/>
      <c r="AS70" s="446"/>
      <c r="AT70" s="446"/>
    </row>
    <row r="71" spans="19:46" s="447" customFormat="1" ht="15" x14ac:dyDescent="0.25">
      <c r="S71"/>
      <c r="T71"/>
      <c r="W71" s="445"/>
      <c r="X71" s="445"/>
      <c r="Y71" s="445"/>
      <c r="Z71" s="445"/>
      <c r="AA71" s="445"/>
      <c r="AB71" s="445"/>
      <c r="AC71" s="445"/>
      <c r="AD71" s="445"/>
      <c r="AE71" s="445"/>
      <c r="AF71" s="445"/>
      <c r="AH71" s="445"/>
      <c r="AI71" s="445"/>
      <c r="AJ71" s="446"/>
      <c r="AL71" s="446"/>
      <c r="AM71" s="446"/>
      <c r="AN71" s="446"/>
      <c r="AO71" s="446"/>
      <c r="AP71" s="446"/>
      <c r="AQ71" s="446"/>
      <c r="AR71" s="446"/>
      <c r="AS71" s="446"/>
      <c r="AT71" s="446"/>
    </row>
    <row r="72" spans="19:46" s="447" customFormat="1" ht="15" x14ac:dyDescent="0.25">
      <c r="S72"/>
      <c r="T72"/>
      <c r="W72" s="445"/>
      <c r="X72" s="445"/>
      <c r="Y72" s="445"/>
      <c r="Z72" s="445"/>
      <c r="AA72" s="445"/>
      <c r="AB72" s="445"/>
      <c r="AC72" s="445"/>
      <c r="AD72" s="445"/>
      <c r="AE72" s="445"/>
      <c r="AF72" s="445"/>
      <c r="AH72" s="445"/>
      <c r="AI72" s="445"/>
      <c r="AJ72" s="446"/>
      <c r="AL72" s="446"/>
      <c r="AM72" s="446"/>
      <c r="AN72" s="446"/>
      <c r="AO72" s="446"/>
      <c r="AP72" s="446"/>
      <c r="AQ72" s="446"/>
      <c r="AR72" s="446"/>
      <c r="AS72" s="446"/>
      <c r="AT72" s="446"/>
    </row>
    <row r="73" spans="19:46" s="447" customFormat="1" ht="15" x14ac:dyDescent="0.25">
      <c r="S73"/>
      <c r="T73"/>
      <c r="W73" s="445"/>
      <c r="X73" s="445"/>
      <c r="Y73" s="445"/>
      <c r="Z73" s="445"/>
      <c r="AA73" s="445"/>
      <c r="AB73" s="445"/>
      <c r="AC73" s="445"/>
      <c r="AD73" s="445"/>
      <c r="AE73" s="445"/>
      <c r="AF73" s="445"/>
      <c r="AH73" s="445"/>
      <c r="AI73" s="445"/>
      <c r="AJ73" s="446"/>
      <c r="AL73" s="446"/>
      <c r="AM73" s="446"/>
      <c r="AN73" s="446"/>
      <c r="AO73" s="446"/>
      <c r="AP73" s="446"/>
      <c r="AQ73" s="446"/>
      <c r="AR73" s="446"/>
      <c r="AS73" s="446"/>
      <c r="AT73" s="446"/>
    </row>
    <row r="74" spans="19:46" s="447" customFormat="1" ht="15" x14ac:dyDescent="0.25">
      <c r="S74"/>
      <c r="T74"/>
      <c r="W74" s="445"/>
      <c r="X74" s="445"/>
      <c r="Y74" s="445"/>
      <c r="Z74" s="445"/>
      <c r="AA74" s="445"/>
      <c r="AB74" s="445"/>
      <c r="AC74" s="445"/>
      <c r="AD74" s="445"/>
      <c r="AE74" s="445"/>
      <c r="AF74" s="445"/>
      <c r="AH74" s="445"/>
      <c r="AI74" s="445"/>
      <c r="AJ74" s="446"/>
      <c r="AL74" s="446"/>
      <c r="AM74" s="446"/>
      <c r="AN74" s="446"/>
      <c r="AO74" s="446"/>
      <c r="AP74" s="446"/>
      <c r="AQ74" s="446"/>
      <c r="AR74" s="446"/>
      <c r="AS74" s="446"/>
      <c r="AT74" s="446"/>
    </row>
    <row r="75" spans="19:46" s="447" customFormat="1" ht="15" x14ac:dyDescent="0.25">
      <c r="S75"/>
      <c r="T75"/>
      <c r="W75" s="445"/>
      <c r="X75" s="445"/>
      <c r="Y75" s="445"/>
      <c r="Z75" s="445"/>
      <c r="AA75" s="445"/>
      <c r="AB75" s="445"/>
      <c r="AC75" s="445"/>
      <c r="AD75" s="445"/>
      <c r="AE75" s="445"/>
      <c r="AF75" s="445"/>
      <c r="AH75" s="445"/>
      <c r="AI75" s="445"/>
      <c r="AJ75" s="446"/>
      <c r="AL75" s="446"/>
      <c r="AM75" s="446"/>
      <c r="AN75" s="446"/>
      <c r="AO75" s="446"/>
      <c r="AP75" s="446"/>
      <c r="AQ75" s="446"/>
      <c r="AR75" s="446"/>
      <c r="AS75" s="446"/>
      <c r="AT75" s="446"/>
    </row>
    <row r="76" spans="19:46" s="447" customFormat="1" ht="15" x14ac:dyDescent="0.25">
      <c r="S76"/>
      <c r="T76"/>
      <c r="W76" s="445"/>
      <c r="X76" s="445"/>
      <c r="Y76" s="445"/>
      <c r="Z76" s="445"/>
      <c r="AA76" s="445"/>
      <c r="AB76" s="445"/>
      <c r="AC76" s="445"/>
      <c r="AD76" s="445"/>
      <c r="AE76" s="445"/>
      <c r="AF76" s="445"/>
      <c r="AH76" s="445"/>
      <c r="AI76" s="445"/>
      <c r="AJ76" s="446"/>
      <c r="AL76" s="446"/>
      <c r="AM76" s="446"/>
      <c r="AN76" s="446"/>
      <c r="AO76" s="446"/>
      <c r="AP76" s="446"/>
      <c r="AQ76" s="446"/>
      <c r="AR76" s="446"/>
      <c r="AS76" s="446"/>
      <c r="AT76" s="446"/>
    </row>
    <row r="77" spans="19:46" s="447" customFormat="1" ht="15" x14ac:dyDescent="0.25">
      <c r="S77"/>
      <c r="T77" s="445"/>
      <c r="W77" s="445"/>
      <c r="X77" s="445"/>
      <c r="Y77" s="445"/>
      <c r="Z77" s="445"/>
      <c r="AA77" s="445"/>
      <c r="AB77" s="445"/>
      <c r="AC77" s="445"/>
      <c r="AD77" s="445"/>
      <c r="AE77" s="445"/>
      <c r="AF77" s="445"/>
      <c r="AH77" s="445"/>
      <c r="AI77" s="445"/>
      <c r="AJ77" s="446"/>
      <c r="AL77" s="446"/>
      <c r="AM77" s="446"/>
      <c r="AN77" s="446"/>
      <c r="AO77" s="446"/>
      <c r="AP77" s="446"/>
      <c r="AQ77" s="446"/>
      <c r="AR77" s="446"/>
      <c r="AS77" s="446"/>
      <c r="AT77" s="446"/>
    </row>
  </sheetData>
  <mergeCells count="74">
    <mergeCell ref="C60:C62"/>
    <mergeCell ref="D60:O61"/>
    <mergeCell ref="J46:J47"/>
    <mergeCell ref="K46:K47"/>
    <mergeCell ref="L46:L47"/>
    <mergeCell ref="M46:M47"/>
    <mergeCell ref="N46:N47"/>
    <mergeCell ref="B48:O48"/>
    <mergeCell ref="M49:M50"/>
    <mergeCell ref="C52:O54"/>
    <mergeCell ref="C56:C57"/>
    <mergeCell ref="C58:C59"/>
    <mergeCell ref="D58:O58"/>
    <mergeCell ref="B43:O43"/>
    <mergeCell ref="D44:D45"/>
    <mergeCell ref="E44:E45"/>
    <mergeCell ref="F44:F45"/>
    <mergeCell ref="G44:G45"/>
    <mergeCell ref="J44:J45"/>
    <mergeCell ref="K44:K45"/>
    <mergeCell ref="L44:L45"/>
    <mergeCell ref="M44:M45"/>
    <mergeCell ref="N44:N45"/>
    <mergeCell ref="C35:F35"/>
    <mergeCell ref="J35:J40"/>
    <mergeCell ref="C37:G37"/>
    <mergeCell ref="C38:F38"/>
    <mergeCell ref="C39:F39"/>
    <mergeCell ref="C40:F40"/>
    <mergeCell ref="Q28:R29"/>
    <mergeCell ref="C29:F29"/>
    <mergeCell ref="C31:G31"/>
    <mergeCell ref="C32:F32"/>
    <mergeCell ref="C33:F33"/>
    <mergeCell ref="C34:F34"/>
    <mergeCell ref="J34:O34"/>
    <mergeCell ref="C23:F23"/>
    <mergeCell ref="C24:F24"/>
    <mergeCell ref="C26:G26"/>
    <mergeCell ref="C27:F27"/>
    <mergeCell ref="C28:F28"/>
    <mergeCell ref="J28:O28"/>
    <mergeCell ref="R13:T13"/>
    <mergeCell ref="B18:H18"/>
    <mergeCell ref="C19:G19"/>
    <mergeCell ref="C20:F20"/>
    <mergeCell ref="C21:F21"/>
    <mergeCell ref="AI7:AI8"/>
    <mergeCell ref="AJ7:AJ8"/>
    <mergeCell ref="AK7:AK8"/>
    <mergeCell ref="B9:H9"/>
    <mergeCell ref="J10:J11"/>
    <mergeCell ref="K10:K11"/>
    <mergeCell ref="L10:L11"/>
    <mergeCell ref="M10:M11"/>
    <mergeCell ref="N10:N11"/>
    <mergeCell ref="O10:O11"/>
    <mergeCell ref="AH7:AH8"/>
    <mergeCell ref="V3:AF3"/>
    <mergeCell ref="E5:F5"/>
    <mergeCell ref="E6:F6"/>
    <mergeCell ref="S7:S8"/>
    <mergeCell ref="T7:T8"/>
    <mergeCell ref="S3:T3"/>
    <mergeCell ref="B1:O1"/>
    <mergeCell ref="Q1:Q27"/>
    <mergeCell ref="B2:E2"/>
    <mergeCell ref="F2:G2"/>
    <mergeCell ref="J2:O2"/>
    <mergeCell ref="K13:O14"/>
    <mergeCell ref="J14:J19"/>
    <mergeCell ref="C15:E15"/>
    <mergeCell ref="J22:O22"/>
    <mergeCell ref="C22:F22"/>
  </mergeCells>
  <conditionalFormatting sqref="K46">
    <cfRule type="containsText" dxfId="8" priority="8" operator="containsText" text="NO">
      <formula>NOT(ISERROR(SEARCH("NO",K46)))</formula>
    </cfRule>
    <cfRule type="containsText" dxfId="7" priority="9" operator="containsText" text="YES">
      <formula>NOT(ISERROR(SEARCH("YES",K46)))</formula>
    </cfRule>
  </conditionalFormatting>
  <conditionalFormatting sqref="J46">
    <cfRule type="containsText" dxfId="6" priority="6" operator="containsText" text="YES">
      <formula>NOT(ISERROR(SEARCH("YES",J46)))</formula>
    </cfRule>
    <cfRule type="containsText" dxfId="5" priority="7" operator="containsText" text="NO">
      <formula>NOT(ISERROR(SEARCH("NO",J46)))</formula>
    </cfRule>
  </conditionalFormatting>
  <conditionalFormatting sqref="M12">
    <cfRule type="cellIs" dxfId="4" priority="5" operator="greaterThan">
      <formula>40</formula>
    </cfRule>
  </conditionalFormatting>
  <conditionalFormatting sqref="V49:AF49">
    <cfRule type="colorScale" priority="4">
      <colorScale>
        <cfvo type="min"/>
        <cfvo type="percentile" val="50"/>
        <cfvo type="max"/>
        <color rgb="FF63BE7B"/>
        <color rgb="FFFFEB84"/>
        <color rgb="FFF8696B"/>
      </colorScale>
    </cfRule>
  </conditionalFormatting>
  <conditionalFormatting sqref="V60:AF60">
    <cfRule type="colorScale" priority="3">
      <colorScale>
        <cfvo type="min"/>
        <cfvo type="percentile" val="50"/>
        <cfvo type="max"/>
        <color rgb="FF63BE7B"/>
        <color rgb="FFFFEB84"/>
        <color rgb="FFF8696B"/>
      </colorScale>
    </cfRule>
  </conditionalFormatting>
  <conditionalFormatting sqref="V61:AF61">
    <cfRule type="colorScale" priority="2">
      <colorScale>
        <cfvo type="min"/>
        <cfvo type="percentile" val="50"/>
        <cfvo type="max"/>
        <color rgb="FFF8696B"/>
        <color rgb="FFFFEB84"/>
        <color rgb="FF63BE7B"/>
      </colorScale>
    </cfRule>
  </conditionalFormatting>
  <conditionalFormatting sqref="V62:AF62">
    <cfRule type="colorScale" priority="1">
      <colorScale>
        <cfvo type="min"/>
        <cfvo type="percentile" val="50"/>
        <cfvo type="max"/>
        <color rgb="FF63BE7B"/>
        <color rgb="FFFFEB84"/>
        <color rgb="FFF8696B"/>
      </colorScale>
    </cfRule>
  </conditionalFormatting>
  <hyperlinks>
    <hyperlink ref="D59" r:id="rId1"/>
    <hyperlink ref="D55" r:id="rId2"/>
    <hyperlink ref="D57" r:id="rId3"/>
    <hyperlink ref="D62" r:id="rId4"/>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59745" r:id="rId7" name="Button 1">
              <controlPr defaultSize="0" print="0" autoFill="0" autoPict="0" macro="[0]!TOC">
                <anchor moveWithCells="1" sizeWithCells="1">
                  <from>
                    <xdr:col>2</xdr:col>
                    <xdr:colOff>209550</xdr:colOff>
                    <xdr:row>0</xdr:row>
                    <xdr:rowOff>47625</xdr:rowOff>
                  </from>
                  <to>
                    <xdr:col>3</xdr:col>
                    <xdr:colOff>590550</xdr:colOff>
                    <xdr:row>0</xdr:row>
                    <xdr:rowOff>257175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K1113"/>
  <sheetViews>
    <sheetView workbookViewId="0"/>
  </sheetViews>
  <sheetFormatPr defaultRowHeight="15" x14ac:dyDescent="0.25"/>
  <cols>
    <col min="3" max="5" width="14.28515625" style="407" customWidth="1"/>
    <col min="10" max="10" width="11" bestFit="1" customWidth="1"/>
  </cols>
  <sheetData>
    <row r="2" spans="2:11" ht="15.75" x14ac:dyDescent="0.25">
      <c r="C2" s="584" t="s">
        <v>654</v>
      </c>
      <c r="D2" s="584" t="s">
        <v>655</v>
      </c>
      <c r="E2" s="584" t="s">
        <v>656</v>
      </c>
    </row>
    <row r="3" spans="2:11" x14ac:dyDescent="0.25">
      <c r="B3" s="800" t="s">
        <v>657</v>
      </c>
      <c r="C3" s="585" t="s">
        <v>658</v>
      </c>
      <c r="D3" s="585" t="s">
        <v>659</v>
      </c>
      <c r="E3" s="585">
        <v>44.253728959999997</v>
      </c>
      <c r="G3" s="801" t="s">
        <v>660</v>
      </c>
      <c r="H3" s="801"/>
      <c r="I3" s="801"/>
      <c r="J3" s="801"/>
    </row>
    <row r="4" spans="2:11" x14ac:dyDescent="0.25">
      <c r="B4" s="800"/>
      <c r="C4" s="585" t="s">
        <v>658</v>
      </c>
      <c r="D4" s="585" t="s">
        <v>661</v>
      </c>
      <c r="E4" s="585">
        <f>E3/60</f>
        <v>0.73756214933333331</v>
      </c>
      <c r="G4" s="586" t="s">
        <v>46</v>
      </c>
      <c r="H4" s="587" t="s">
        <v>662</v>
      </c>
      <c r="I4" s="587" t="s">
        <v>152</v>
      </c>
      <c r="J4" s="587" t="s">
        <v>663</v>
      </c>
    </row>
    <row r="5" spans="2:11" x14ac:dyDescent="0.25">
      <c r="B5" s="800"/>
      <c r="C5" s="585" t="s">
        <v>658</v>
      </c>
      <c r="D5" s="585" t="s">
        <v>664</v>
      </c>
      <c r="E5" s="585">
        <f>E4*12</f>
        <v>8.8507457919999997</v>
      </c>
      <c r="G5" s="458">
        <v>16.8</v>
      </c>
      <c r="H5" s="5" t="s">
        <v>665</v>
      </c>
      <c r="I5" s="407">
        <f>G5*E4</f>
        <v>12.391044108799999</v>
      </c>
      <c r="J5" s="5" t="s">
        <v>661</v>
      </c>
    </row>
    <row r="6" spans="2:11" x14ac:dyDescent="0.25">
      <c r="B6" s="800"/>
      <c r="C6" s="585"/>
      <c r="D6" s="585"/>
      <c r="E6" s="585"/>
      <c r="G6" s="458"/>
      <c r="H6" s="5"/>
      <c r="I6" s="407"/>
      <c r="J6" s="5"/>
    </row>
    <row r="7" spans="2:11" x14ac:dyDescent="0.25">
      <c r="B7" s="800"/>
      <c r="C7" s="585"/>
      <c r="D7" s="585"/>
      <c r="E7" s="585"/>
      <c r="G7" s="458"/>
      <c r="H7" s="5"/>
      <c r="I7" s="407"/>
      <c r="J7" s="5"/>
    </row>
    <row r="8" spans="2:11" x14ac:dyDescent="0.25">
      <c r="B8" s="800"/>
      <c r="C8" s="585"/>
      <c r="D8" s="585"/>
      <c r="E8" s="585"/>
      <c r="G8" s="458"/>
      <c r="H8" s="5"/>
      <c r="I8" s="407"/>
      <c r="J8" s="5"/>
    </row>
    <row r="9" spans="2:11" x14ac:dyDescent="0.25">
      <c r="B9" s="800"/>
      <c r="C9" s="585"/>
      <c r="D9" s="585"/>
      <c r="E9" s="585"/>
    </row>
    <row r="10" spans="2:11" x14ac:dyDescent="0.25">
      <c r="B10" s="800"/>
      <c r="C10" s="585"/>
      <c r="D10" s="585"/>
      <c r="E10" s="585"/>
    </row>
    <row r="12" spans="2:11" x14ac:dyDescent="0.25">
      <c r="B12" s="800" t="s">
        <v>666</v>
      </c>
      <c r="C12" s="585" t="s">
        <v>667</v>
      </c>
      <c r="D12" s="585" t="s">
        <v>668</v>
      </c>
      <c r="E12" s="585">
        <v>1.3558179483313999</v>
      </c>
    </row>
    <row r="13" spans="2:11" x14ac:dyDescent="0.25">
      <c r="B13" s="800"/>
      <c r="C13" s="585"/>
      <c r="D13" s="585"/>
      <c r="E13" s="585"/>
    </row>
    <row r="14" spans="2:11" x14ac:dyDescent="0.25">
      <c r="B14" s="800"/>
      <c r="C14" s="585"/>
      <c r="D14" s="585"/>
      <c r="E14" s="585"/>
      <c r="G14" s="801" t="s">
        <v>669</v>
      </c>
      <c r="H14" s="801"/>
      <c r="I14" s="801"/>
      <c r="J14" s="588" t="s">
        <v>670</v>
      </c>
      <c r="K14" s="588">
        <f>2/1000</f>
        <v>2E-3</v>
      </c>
    </row>
    <row r="15" spans="2:11" x14ac:dyDescent="0.25">
      <c r="B15" s="800"/>
      <c r="C15" s="585"/>
      <c r="D15" s="585"/>
      <c r="E15" s="585"/>
      <c r="G15" s="407" t="s">
        <v>468</v>
      </c>
      <c r="H15" s="407">
        <v>1</v>
      </c>
      <c r="I15" s="407">
        <f>H15+1</f>
        <v>2</v>
      </c>
      <c r="J15" s="407">
        <f t="shared" ref="J15" si="0">I15+1</f>
        <v>3</v>
      </c>
      <c r="K15" s="407" t="s">
        <v>671</v>
      </c>
    </row>
    <row r="16" spans="2:11" x14ac:dyDescent="0.25">
      <c r="B16" s="800"/>
      <c r="C16" s="585"/>
      <c r="D16" s="585"/>
      <c r="E16" s="585"/>
      <c r="G16" s="589">
        <v>-1</v>
      </c>
      <c r="H16" s="407">
        <f>($G16^H$15*(-H$15)^(-1+H$15))/FACT(H$15)</f>
        <v>-1</v>
      </c>
      <c r="I16" s="407">
        <f t="shared" ref="I16:J31" si="1">($G16^I$15*(-I$15)^(-1+I$15))/FACT(I$15)</f>
        <v>-1</v>
      </c>
      <c r="J16" s="407">
        <f t="shared" si="1"/>
        <v>-1.5</v>
      </c>
      <c r="K16" s="589">
        <f t="shared" ref="K16:K79" si="2">SUM(H16:J16)</f>
        <v>-3.5</v>
      </c>
    </row>
    <row r="17" spans="2:11" x14ac:dyDescent="0.25">
      <c r="B17" s="800"/>
      <c r="C17" s="585"/>
      <c r="D17" s="585"/>
      <c r="E17" s="585"/>
      <c r="G17" s="589">
        <f t="shared" ref="G17:G80" si="3">G16+$K$14</f>
        <v>-0.998</v>
      </c>
      <c r="H17" s="407">
        <f t="shared" ref="H17:J56" si="4">($G17^H$15*(-H$15)^(-1+H$15))/FACT(H$15)</f>
        <v>-0.998</v>
      </c>
      <c r="I17" s="407">
        <f t="shared" si="1"/>
        <v>-0.996004</v>
      </c>
      <c r="J17" s="407">
        <f t="shared" si="1"/>
        <v>-1.4910179880000001</v>
      </c>
      <c r="K17" s="589">
        <f t="shared" si="2"/>
        <v>-3.4850219879999997</v>
      </c>
    </row>
    <row r="18" spans="2:11" x14ac:dyDescent="0.25">
      <c r="B18" s="800"/>
      <c r="C18" s="585"/>
      <c r="D18" s="585"/>
      <c r="E18" s="585"/>
      <c r="G18" s="589">
        <f t="shared" si="3"/>
        <v>-0.996</v>
      </c>
      <c r="H18" s="407">
        <f t="shared" si="4"/>
        <v>-0.996</v>
      </c>
      <c r="I18" s="407">
        <f t="shared" si="1"/>
        <v>-0.99201600000000001</v>
      </c>
      <c r="J18" s="407">
        <f t="shared" si="1"/>
        <v>-1.4820719039999999</v>
      </c>
      <c r="K18" s="589">
        <f t="shared" si="2"/>
        <v>-3.4700879039999997</v>
      </c>
    </row>
    <row r="19" spans="2:11" x14ac:dyDescent="0.25">
      <c r="B19" s="800"/>
      <c r="C19" s="585"/>
      <c r="D19" s="585"/>
      <c r="E19" s="585"/>
      <c r="G19" s="589">
        <f t="shared" si="3"/>
        <v>-0.99399999999999999</v>
      </c>
      <c r="H19" s="407">
        <f t="shared" si="4"/>
        <v>-0.99399999999999999</v>
      </c>
      <c r="I19" s="407">
        <f t="shared" si="1"/>
        <v>-0.98803600000000003</v>
      </c>
      <c r="J19" s="407">
        <f t="shared" si="1"/>
        <v>-1.4731616759999999</v>
      </c>
      <c r="K19" s="589">
        <f t="shared" si="2"/>
        <v>-3.4551976760000001</v>
      </c>
    </row>
    <row r="20" spans="2:11" x14ac:dyDescent="0.25">
      <c r="B20" s="800"/>
      <c r="C20" s="585"/>
      <c r="D20" s="585"/>
      <c r="E20" s="585"/>
      <c r="G20" s="589">
        <f t="shared" si="3"/>
        <v>-0.99199999999999999</v>
      </c>
      <c r="H20" s="407">
        <f t="shared" si="4"/>
        <v>-0.99199999999999999</v>
      </c>
      <c r="I20" s="407">
        <f t="shared" si="1"/>
        <v>-0.98406399999999994</v>
      </c>
      <c r="J20" s="407">
        <f t="shared" si="1"/>
        <v>-1.464287232</v>
      </c>
      <c r="K20" s="589">
        <f t="shared" si="2"/>
        <v>-3.4403512320000003</v>
      </c>
    </row>
    <row r="21" spans="2:11" x14ac:dyDescent="0.25">
      <c r="B21" s="800"/>
      <c r="C21" s="585"/>
      <c r="D21" s="585"/>
      <c r="E21" s="585"/>
      <c r="G21" s="589">
        <f t="shared" si="3"/>
        <v>-0.99</v>
      </c>
      <c r="H21" s="407">
        <f t="shared" si="4"/>
        <v>-0.99</v>
      </c>
      <c r="I21" s="407">
        <f t="shared" si="1"/>
        <v>-0.98009999999999997</v>
      </c>
      <c r="J21" s="407">
        <f t="shared" si="1"/>
        <v>-1.4554484999999999</v>
      </c>
      <c r="K21" s="589">
        <f t="shared" si="2"/>
        <v>-3.4255484999999997</v>
      </c>
    </row>
    <row r="22" spans="2:11" x14ac:dyDescent="0.25">
      <c r="G22" s="589">
        <f t="shared" si="3"/>
        <v>-0.98799999999999999</v>
      </c>
      <c r="H22" s="407">
        <f t="shared" si="4"/>
        <v>-0.98799999999999999</v>
      </c>
      <c r="I22" s="407">
        <f t="shared" si="1"/>
        <v>-0.97614400000000001</v>
      </c>
      <c r="J22" s="407">
        <f t="shared" si="1"/>
        <v>-1.446645408</v>
      </c>
      <c r="K22" s="589">
        <f t="shared" si="2"/>
        <v>-3.4107894080000003</v>
      </c>
    </row>
    <row r="23" spans="2:11" x14ac:dyDescent="0.25">
      <c r="B23" s="800" t="s">
        <v>86</v>
      </c>
      <c r="C23" s="585" t="s">
        <v>672</v>
      </c>
      <c r="D23" s="585" t="s">
        <v>673</v>
      </c>
      <c r="E23" s="585">
        <v>2.5399999999999999E-2</v>
      </c>
      <c r="G23" s="589">
        <f t="shared" si="3"/>
        <v>-0.98599999999999999</v>
      </c>
      <c r="H23" s="407">
        <f t="shared" si="4"/>
        <v>-0.98599999999999999</v>
      </c>
      <c r="I23" s="407">
        <f t="shared" si="1"/>
        <v>-0.97219599999999995</v>
      </c>
      <c r="J23" s="407">
        <f t="shared" si="1"/>
        <v>-1.4378778839999997</v>
      </c>
      <c r="K23" s="589">
        <f t="shared" si="2"/>
        <v>-3.3960738839999998</v>
      </c>
    </row>
    <row r="24" spans="2:11" x14ac:dyDescent="0.25">
      <c r="B24" s="800"/>
      <c r="C24" s="585"/>
      <c r="D24" s="585"/>
      <c r="E24" s="585"/>
      <c r="G24" s="589">
        <f t="shared" si="3"/>
        <v>-0.98399999999999999</v>
      </c>
      <c r="H24" s="407">
        <f t="shared" si="4"/>
        <v>-0.98399999999999999</v>
      </c>
      <c r="I24" s="407">
        <f t="shared" si="1"/>
        <v>-0.96825600000000001</v>
      </c>
      <c r="J24" s="407">
        <f t="shared" si="1"/>
        <v>-1.4291458559999999</v>
      </c>
      <c r="K24" s="589">
        <f t="shared" si="2"/>
        <v>-3.3814018560000001</v>
      </c>
    </row>
    <row r="25" spans="2:11" x14ac:dyDescent="0.25">
      <c r="B25" s="800"/>
      <c r="C25" s="585"/>
      <c r="D25" s="585"/>
      <c r="E25" s="585"/>
      <c r="G25" s="589">
        <f t="shared" si="3"/>
        <v>-0.98199999999999998</v>
      </c>
      <c r="H25" s="407">
        <f t="shared" si="4"/>
        <v>-0.98199999999999998</v>
      </c>
      <c r="I25" s="407">
        <f t="shared" si="1"/>
        <v>-0.96432399999999996</v>
      </c>
      <c r="J25" s="407">
        <f t="shared" si="1"/>
        <v>-1.4204492520000001</v>
      </c>
      <c r="K25" s="589">
        <f t="shared" si="2"/>
        <v>-3.3667732519999998</v>
      </c>
    </row>
    <row r="26" spans="2:11" x14ac:dyDescent="0.25">
      <c r="B26" s="800"/>
      <c r="C26" s="585"/>
      <c r="D26" s="585"/>
      <c r="E26" s="585"/>
      <c r="G26" s="589">
        <f t="shared" si="3"/>
        <v>-0.98</v>
      </c>
      <c r="H26" s="407">
        <f t="shared" si="4"/>
        <v>-0.98</v>
      </c>
      <c r="I26" s="407">
        <f t="shared" si="1"/>
        <v>-0.96039999999999992</v>
      </c>
      <c r="J26" s="407">
        <f t="shared" si="1"/>
        <v>-1.4117879999999998</v>
      </c>
      <c r="K26" s="589">
        <f t="shared" si="2"/>
        <v>-3.3521879999999999</v>
      </c>
    </row>
    <row r="27" spans="2:11" x14ac:dyDescent="0.25">
      <c r="B27" s="800"/>
      <c r="C27" s="585"/>
      <c r="D27" s="585"/>
      <c r="E27" s="585"/>
      <c r="G27" s="589">
        <f t="shared" si="3"/>
        <v>-0.97799999999999998</v>
      </c>
      <c r="H27" s="407">
        <f t="shared" si="4"/>
        <v>-0.97799999999999998</v>
      </c>
      <c r="I27" s="407">
        <f t="shared" si="1"/>
        <v>-0.956484</v>
      </c>
      <c r="J27" s="407">
        <f t="shared" si="1"/>
        <v>-1.4031620279999999</v>
      </c>
      <c r="K27" s="589">
        <f t="shared" si="2"/>
        <v>-3.337646028</v>
      </c>
    </row>
    <row r="28" spans="2:11" x14ac:dyDescent="0.25">
      <c r="G28" s="589">
        <f t="shared" si="3"/>
        <v>-0.97599999999999998</v>
      </c>
      <c r="H28" s="407">
        <f t="shared" si="4"/>
        <v>-0.97599999999999998</v>
      </c>
      <c r="I28" s="407">
        <f t="shared" si="1"/>
        <v>-0.95257599999999998</v>
      </c>
      <c r="J28" s="407">
        <f t="shared" si="1"/>
        <v>-1.3945712639999999</v>
      </c>
      <c r="K28" s="589">
        <f t="shared" si="2"/>
        <v>-3.3231472640000002</v>
      </c>
    </row>
    <row r="29" spans="2:11" x14ac:dyDescent="0.25">
      <c r="B29" s="799" t="s">
        <v>674</v>
      </c>
      <c r="C29" s="585" t="s">
        <v>675</v>
      </c>
      <c r="D29" s="585" t="s">
        <v>2</v>
      </c>
      <c r="E29" s="585">
        <v>0.4536</v>
      </c>
      <c r="G29" s="589">
        <f t="shared" si="3"/>
        <v>-0.97399999999999998</v>
      </c>
      <c r="H29" s="407">
        <f t="shared" si="4"/>
        <v>-0.97399999999999998</v>
      </c>
      <c r="I29" s="407">
        <f t="shared" si="1"/>
        <v>-0.94867599999999996</v>
      </c>
      <c r="J29" s="407">
        <f t="shared" si="1"/>
        <v>-1.386015636</v>
      </c>
      <c r="K29" s="589">
        <f t="shared" si="2"/>
        <v>-3.3086916359999998</v>
      </c>
    </row>
    <row r="30" spans="2:11" x14ac:dyDescent="0.25">
      <c r="B30" s="799"/>
      <c r="C30" s="585" t="s">
        <v>675</v>
      </c>
      <c r="D30" s="585" t="s">
        <v>676</v>
      </c>
      <c r="E30" s="585">
        <v>4.4482220000000003</v>
      </c>
      <c r="G30" s="589">
        <f t="shared" si="3"/>
        <v>-0.97199999999999998</v>
      </c>
      <c r="H30" s="407">
        <f t="shared" si="4"/>
        <v>-0.97199999999999998</v>
      </c>
      <c r="I30" s="407">
        <f t="shared" si="1"/>
        <v>-0.94478399999999996</v>
      </c>
      <c r="J30" s="407">
        <f t="shared" si="1"/>
        <v>-1.3774950720000001</v>
      </c>
      <c r="K30" s="589">
        <f t="shared" si="2"/>
        <v>-3.2942790720000001</v>
      </c>
    </row>
    <row r="31" spans="2:11" x14ac:dyDescent="0.25">
      <c r="G31" s="589">
        <f t="shared" si="3"/>
        <v>-0.97</v>
      </c>
      <c r="H31" s="407">
        <f t="shared" si="4"/>
        <v>-0.97</v>
      </c>
      <c r="I31" s="407">
        <f t="shared" si="1"/>
        <v>-0.94089999999999996</v>
      </c>
      <c r="J31" s="407">
        <f t="shared" si="1"/>
        <v>-1.3690095</v>
      </c>
      <c r="K31" s="589">
        <f t="shared" si="2"/>
        <v>-3.2799094999999996</v>
      </c>
    </row>
    <row r="32" spans="2:11" x14ac:dyDescent="0.25">
      <c r="G32" s="589">
        <f t="shared" si="3"/>
        <v>-0.96799999999999997</v>
      </c>
      <c r="H32" s="407">
        <f t="shared" si="4"/>
        <v>-0.96799999999999997</v>
      </c>
      <c r="I32" s="407">
        <f t="shared" si="4"/>
        <v>-0.93702399999999997</v>
      </c>
      <c r="J32" s="407">
        <f t="shared" si="4"/>
        <v>-1.3605588479999999</v>
      </c>
      <c r="K32" s="589">
        <f t="shared" si="2"/>
        <v>-3.2655828480000002</v>
      </c>
    </row>
    <row r="33" spans="7:11" customFormat="1" x14ac:dyDescent="0.25">
      <c r="G33" s="589">
        <f t="shared" si="3"/>
        <v>-0.96599999999999997</v>
      </c>
      <c r="H33" s="407">
        <f t="shared" si="4"/>
        <v>-0.96599999999999997</v>
      </c>
      <c r="I33" s="407">
        <f t="shared" si="4"/>
        <v>-0.93315599999999999</v>
      </c>
      <c r="J33" s="407">
        <f t="shared" si="4"/>
        <v>-1.352143044</v>
      </c>
      <c r="K33" s="589">
        <f t="shared" si="2"/>
        <v>-3.251299044</v>
      </c>
    </row>
    <row r="34" spans="7:11" customFormat="1" x14ac:dyDescent="0.25">
      <c r="G34" s="589">
        <f t="shared" si="3"/>
        <v>-0.96399999999999997</v>
      </c>
      <c r="H34" s="407">
        <f t="shared" si="4"/>
        <v>-0.96399999999999997</v>
      </c>
      <c r="I34" s="407">
        <f t="shared" si="4"/>
        <v>-0.9292959999999999</v>
      </c>
      <c r="J34" s="407">
        <f t="shared" si="4"/>
        <v>-1.3437620160000001</v>
      </c>
      <c r="K34" s="589">
        <f t="shared" si="2"/>
        <v>-3.2370580159999998</v>
      </c>
    </row>
    <row r="35" spans="7:11" customFormat="1" x14ac:dyDescent="0.25">
      <c r="G35" s="589">
        <f t="shared" si="3"/>
        <v>-0.96199999999999997</v>
      </c>
      <c r="H35" s="407">
        <f t="shared" si="4"/>
        <v>-0.96199999999999997</v>
      </c>
      <c r="I35" s="407">
        <f t="shared" si="4"/>
        <v>-0.92544399999999993</v>
      </c>
      <c r="J35" s="407">
        <f t="shared" si="4"/>
        <v>-1.3354156919999998</v>
      </c>
      <c r="K35" s="589">
        <f t="shared" si="2"/>
        <v>-3.2228596919999997</v>
      </c>
    </row>
    <row r="36" spans="7:11" customFormat="1" x14ac:dyDescent="0.25">
      <c r="G36" s="589">
        <f t="shared" si="3"/>
        <v>-0.96</v>
      </c>
      <c r="H36" s="407">
        <f t="shared" si="4"/>
        <v>-0.96</v>
      </c>
      <c r="I36" s="407">
        <f t="shared" si="4"/>
        <v>-0.92159999999999997</v>
      </c>
      <c r="J36" s="407">
        <f t="shared" si="4"/>
        <v>-1.3271040000000001</v>
      </c>
      <c r="K36" s="589">
        <f t="shared" si="2"/>
        <v>-3.208704</v>
      </c>
    </row>
    <row r="37" spans="7:11" customFormat="1" x14ac:dyDescent="0.25">
      <c r="G37" s="589">
        <f t="shared" si="3"/>
        <v>-0.95799999999999996</v>
      </c>
      <c r="H37" s="407">
        <f t="shared" si="4"/>
        <v>-0.95799999999999996</v>
      </c>
      <c r="I37" s="407">
        <f t="shared" si="4"/>
        <v>-0.91776399999999991</v>
      </c>
      <c r="J37" s="407">
        <f t="shared" si="4"/>
        <v>-1.3188268679999997</v>
      </c>
      <c r="K37" s="589">
        <f t="shared" si="2"/>
        <v>-3.1945908679999997</v>
      </c>
    </row>
    <row r="38" spans="7:11" customFormat="1" x14ac:dyDescent="0.25">
      <c r="G38" s="589">
        <f t="shared" si="3"/>
        <v>-0.95599999999999996</v>
      </c>
      <c r="H38" s="407">
        <f t="shared" si="4"/>
        <v>-0.95599999999999996</v>
      </c>
      <c r="I38" s="407">
        <f t="shared" si="4"/>
        <v>-0.91393599999999997</v>
      </c>
      <c r="J38" s="407">
        <f t="shared" si="4"/>
        <v>-1.3105842239999999</v>
      </c>
      <c r="K38" s="589">
        <f t="shared" si="2"/>
        <v>-3.1805202239999999</v>
      </c>
    </row>
    <row r="39" spans="7:11" customFormat="1" x14ac:dyDescent="0.25">
      <c r="G39" s="589">
        <f t="shared" si="3"/>
        <v>-0.95399999999999996</v>
      </c>
      <c r="H39" s="407">
        <f t="shared" si="4"/>
        <v>-0.95399999999999996</v>
      </c>
      <c r="I39" s="407">
        <f t="shared" si="4"/>
        <v>-0.91011599999999993</v>
      </c>
      <c r="J39" s="407">
        <f t="shared" si="4"/>
        <v>-1.3023759959999996</v>
      </c>
      <c r="K39" s="589">
        <f t="shared" si="2"/>
        <v>-3.1664919959999995</v>
      </c>
    </row>
    <row r="40" spans="7:11" customFormat="1" x14ac:dyDescent="0.25">
      <c r="G40" s="589">
        <f t="shared" si="3"/>
        <v>-0.95199999999999996</v>
      </c>
      <c r="H40" s="407">
        <f t="shared" si="4"/>
        <v>-0.95199999999999996</v>
      </c>
      <c r="I40" s="407">
        <f t="shared" si="4"/>
        <v>-0.90630399999999989</v>
      </c>
      <c r="J40" s="407">
        <f t="shared" si="4"/>
        <v>-1.2942021119999998</v>
      </c>
      <c r="K40" s="589">
        <f t="shared" si="2"/>
        <v>-3.1525061119999997</v>
      </c>
    </row>
    <row r="41" spans="7:11" customFormat="1" x14ac:dyDescent="0.25">
      <c r="G41" s="589">
        <f t="shared" si="3"/>
        <v>-0.95</v>
      </c>
      <c r="H41" s="407">
        <f t="shared" si="4"/>
        <v>-0.95</v>
      </c>
      <c r="I41" s="407">
        <f t="shared" si="4"/>
        <v>-0.90249999999999997</v>
      </c>
      <c r="J41" s="407">
        <f t="shared" si="4"/>
        <v>-1.2860624999999999</v>
      </c>
      <c r="K41" s="589">
        <f t="shared" si="2"/>
        <v>-3.1385624999999999</v>
      </c>
    </row>
    <row r="42" spans="7:11" customFormat="1" x14ac:dyDescent="0.25">
      <c r="G42" s="589">
        <f t="shared" si="3"/>
        <v>-0.94799999999999995</v>
      </c>
      <c r="H42" s="407">
        <f t="shared" si="4"/>
        <v>-0.94799999999999995</v>
      </c>
      <c r="I42" s="407">
        <f t="shared" si="4"/>
        <v>-0.89870399999999995</v>
      </c>
      <c r="J42" s="407">
        <f t="shared" si="4"/>
        <v>-1.277957088</v>
      </c>
      <c r="K42" s="589">
        <f t="shared" si="2"/>
        <v>-3.1246610879999999</v>
      </c>
    </row>
    <row r="43" spans="7:11" customFormat="1" x14ac:dyDescent="0.25">
      <c r="G43" s="589">
        <f t="shared" si="3"/>
        <v>-0.94599999999999995</v>
      </c>
      <c r="H43" s="407">
        <f t="shared" si="4"/>
        <v>-0.94599999999999995</v>
      </c>
      <c r="I43" s="407">
        <f t="shared" si="4"/>
        <v>-0.89491599999999993</v>
      </c>
      <c r="J43" s="407">
        <f t="shared" si="4"/>
        <v>-1.2698858039999998</v>
      </c>
      <c r="K43" s="589">
        <f t="shared" si="2"/>
        <v>-3.1108018039999998</v>
      </c>
    </row>
    <row r="44" spans="7:11" customFormat="1" x14ac:dyDescent="0.25">
      <c r="G44" s="589">
        <f t="shared" si="3"/>
        <v>-0.94399999999999995</v>
      </c>
      <c r="H44" s="407">
        <f t="shared" si="4"/>
        <v>-0.94399999999999995</v>
      </c>
      <c r="I44" s="407">
        <f t="shared" si="4"/>
        <v>-0.89113599999999993</v>
      </c>
      <c r="J44" s="407">
        <f t="shared" si="4"/>
        <v>-1.2618485759999998</v>
      </c>
      <c r="K44" s="589">
        <f t="shared" si="2"/>
        <v>-3.0969845759999997</v>
      </c>
    </row>
    <row r="45" spans="7:11" customFormat="1" x14ac:dyDescent="0.25">
      <c r="G45" s="589">
        <f t="shared" si="3"/>
        <v>-0.94199999999999995</v>
      </c>
      <c r="H45" s="407">
        <f t="shared" si="4"/>
        <v>-0.94199999999999995</v>
      </c>
      <c r="I45" s="407">
        <f t="shared" si="4"/>
        <v>-0.88736399999999993</v>
      </c>
      <c r="J45" s="407">
        <f t="shared" si="4"/>
        <v>-1.2538453319999998</v>
      </c>
      <c r="K45" s="589">
        <f t="shared" si="2"/>
        <v>-3.083209332</v>
      </c>
    </row>
    <row r="46" spans="7:11" customFormat="1" x14ac:dyDescent="0.25">
      <c r="G46" s="589">
        <f t="shared" si="3"/>
        <v>-0.94</v>
      </c>
      <c r="H46" s="407">
        <f t="shared" si="4"/>
        <v>-0.94</v>
      </c>
      <c r="I46" s="407">
        <f t="shared" si="4"/>
        <v>-0.88359999999999994</v>
      </c>
      <c r="J46" s="407">
        <f t="shared" si="4"/>
        <v>-1.2458759999999998</v>
      </c>
      <c r="K46" s="589">
        <f t="shared" si="2"/>
        <v>-3.0694759999999999</v>
      </c>
    </row>
    <row r="47" spans="7:11" customFormat="1" x14ac:dyDescent="0.25">
      <c r="G47" s="589">
        <f t="shared" si="3"/>
        <v>-0.93799999999999994</v>
      </c>
      <c r="H47" s="407">
        <f t="shared" si="4"/>
        <v>-0.93799999999999994</v>
      </c>
      <c r="I47" s="407">
        <f t="shared" si="4"/>
        <v>-0.87984399999999985</v>
      </c>
      <c r="J47" s="407">
        <f t="shared" si="4"/>
        <v>-1.2379405079999997</v>
      </c>
      <c r="K47" s="589">
        <f t="shared" si="2"/>
        <v>-3.0557845079999995</v>
      </c>
    </row>
    <row r="48" spans="7:11" customFormat="1" x14ac:dyDescent="0.25">
      <c r="G48" s="589">
        <f t="shared" si="3"/>
        <v>-0.93599999999999994</v>
      </c>
      <c r="H48" s="407">
        <f t="shared" si="4"/>
        <v>-0.93599999999999994</v>
      </c>
      <c r="I48" s="407">
        <f t="shared" si="4"/>
        <v>-0.87609599999999987</v>
      </c>
      <c r="J48" s="407">
        <f t="shared" si="4"/>
        <v>-1.2300387839999998</v>
      </c>
      <c r="K48" s="589">
        <f t="shared" si="2"/>
        <v>-3.0421347839999999</v>
      </c>
    </row>
    <row r="49" spans="7:11" customFormat="1" x14ac:dyDescent="0.25">
      <c r="G49" s="589">
        <f t="shared" si="3"/>
        <v>-0.93399999999999994</v>
      </c>
      <c r="H49" s="407">
        <f t="shared" si="4"/>
        <v>-0.93399999999999994</v>
      </c>
      <c r="I49" s="407">
        <f t="shared" si="4"/>
        <v>-0.87235599999999991</v>
      </c>
      <c r="J49" s="407">
        <f t="shared" si="4"/>
        <v>-1.2221707559999999</v>
      </c>
      <c r="K49" s="589">
        <f t="shared" si="2"/>
        <v>-3.0285267559999998</v>
      </c>
    </row>
    <row r="50" spans="7:11" customFormat="1" x14ac:dyDescent="0.25">
      <c r="G50" s="589">
        <f t="shared" si="3"/>
        <v>-0.93199999999999994</v>
      </c>
      <c r="H50" s="407">
        <f t="shared" si="4"/>
        <v>-0.93199999999999994</v>
      </c>
      <c r="I50" s="407">
        <f t="shared" si="4"/>
        <v>-0.86862399999999984</v>
      </c>
      <c r="J50" s="407">
        <f t="shared" si="4"/>
        <v>-1.2143363519999997</v>
      </c>
      <c r="K50" s="589">
        <f t="shared" si="2"/>
        <v>-3.0149603519999992</v>
      </c>
    </row>
    <row r="51" spans="7:11" customFormat="1" x14ac:dyDescent="0.25">
      <c r="G51" s="589">
        <f t="shared" si="3"/>
        <v>-0.92999999999999994</v>
      </c>
      <c r="H51" s="407">
        <f t="shared" si="4"/>
        <v>-0.92999999999999994</v>
      </c>
      <c r="I51" s="407">
        <f t="shared" si="4"/>
        <v>-0.86489999999999989</v>
      </c>
      <c r="J51" s="407">
        <f t="shared" si="4"/>
        <v>-1.2065354999999998</v>
      </c>
      <c r="K51" s="589">
        <f t="shared" si="2"/>
        <v>-3.0014354999999995</v>
      </c>
    </row>
    <row r="52" spans="7:11" customFormat="1" x14ac:dyDescent="0.25">
      <c r="G52" s="589">
        <f t="shared" si="3"/>
        <v>-0.92799999999999994</v>
      </c>
      <c r="H52" s="407">
        <f t="shared" si="4"/>
        <v>-0.92799999999999994</v>
      </c>
      <c r="I52" s="407">
        <f t="shared" si="4"/>
        <v>-0.86118399999999984</v>
      </c>
      <c r="J52" s="407">
        <f t="shared" si="4"/>
        <v>-1.1987681279999995</v>
      </c>
      <c r="K52" s="589">
        <f t="shared" si="2"/>
        <v>-2.987952127999999</v>
      </c>
    </row>
    <row r="53" spans="7:11" customFormat="1" x14ac:dyDescent="0.25">
      <c r="G53" s="589">
        <f t="shared" si="3"/>
        <v>-0.92599999999999993</v>
      </c>
      <c r="H53" s="407">
        <f t="shared" si="4"/>
        <v>-0.92599999999999993</v>
      </c>
      <c r="I53" s="407">
        <f t="shared" si="4"/>
        <v>-0.8574759999999999</v>
      </c>
      <c r="J53" s="407">
        <f t="shared" si="4"/>
        <v>-1.1910341639999997</v>
      </c>
      <c r="K53" s="589">
        <f t="shared" si="2"/>
        <v>-2.9745101639999998</v>
      </c>
    </row>
    <row r="54" spans="7:11" customFormat="1" x14ac:dyDescent="0.25">
      <c r="G54" s="589">
        <f t="shared" si="3"/>
        <v>-0.92399999999999993</v>
      </c>
      <c r="H54" s="407">
        <f t="shared" si="4"/>
        <v>-0.92399999999999993</v>
      </c>
      <c r="I54" s="407">
        <f t="shared" si="4"/>
        <v>-0.85377599999999987</v>
      </c>
      <c r="J54" s="407">
        <f t="shared" si="4"/>
        <v>-1.1833335359999997</v>
      </c>
      <c r="K54" s="589">
        <f t="shared" si="2"/>
        <v>-2.9611095359999995</v>
      </c>
    </row>
    <row r="55" spans="7:11" customFormat="1" x14ac:dyDescent="0.25">
      <c r="G55" s="589">
        <f t="shared" si="3"/>
        <v>-0.92199999999999993</v>
      </c>
      <c r="H55" s="407">
        <f t="shared" si="4"/>
        <v>-0.92199999999999993</v>
      </c>
      <c r="I55" s="407">
        <f t="shared" si="4"/>
        <v>-0.85008399999999984</v>
      </c>
      <c r="J55" s="407">
        <f t="shared" si="4"/>
        <v>-1.1756661719999997</v>
      </c>
      <c r="K55" s="589">
        <f t="shared" si="2"/>
        <v>-2.9477501719999992</v>
      </c>
    </row>
    <row r="56" spans="7:11" customFormat="1" x14ac:dyDescent="0.25">
      <c r="G56" s="589">
        <f t="shared" si="3"/>
        <v>-0.91999999999999993</v>
      </c>
      <c r="H56" s="407">
        <f t="shared" si="4"/>
        <v>-0.91999999999999993</v>
      </c>
      <c r="I56" s="407">
        <f t="shared" si="4"/>
        <v>-0.84639999999999982</v>
      </c>
      <c r="J56" s="407">
        <f t="shared" si="4"/>
        <v>-1.1680319999999997</v>
      </c>
      <c r="K56" s="589">
        <f t="shared" si="2"/>
        <v>-2.9344319999999993</v>
      </c>
    </row>
    <row r="57" spans="7:11" customFormat="1" x14ac:dyDescent="0.25">
      <c r="G57" s="589">
        <f t="shared" si="3"/>
        <v>-0.91799999999999993</v>
      </c>
      <c r="H57" s="407">
        <f t="shared" ref="H57:J73" si="5">($G57^H$15*(-H$15)^(-1+H$15))/FACT(H$15)</f>
        <v>-0.91799999999999993</v>
      </c>
      <c r="I57" s="407">
        <f t="shared" si="5"/>
        <v>-0.84272399999999992</v>
      </c>
      <c r="J57" s="407">
        <f t="shared" si="5"/>
        <v>-1.1604309479999999</v>
      </c>
      <c r="K57" s="589">
        <f t="shared" si="2"/>
        <v>-2.9211549479999999</v>
      </c>
    </row>
    <row r="58" spans="7:11" customFormat="1" x14ac:dyDescent="0.25">
      <c r="G58" s="589">
        <f t="shared" si="3"/>
        <v>-0.91599999999999993</v>
      </c>
      <c r="H58" s="407">
        <f t="shared" si="5"/>
        <v>-0.91599999999999993</v>
      </c>
      <c r="I58" s="407">
        <f t="shared" si="5"/>
        <v>-0.83905599999999991</v>
      </c>
      <c r="J58" s="407">
        <f t="shared" si="5"/>
        <v>-1.1528629439999998</v>
      </c>
      <c r="K58" s="589">
        <f t="shared" si="2"/>
        <v>-2.9079189439999995</v>
      </c>
    </row>
    <row r="59" spans="7:11" customFormat="1" x14ac:dyDescent="0.25">
      <c r="G59" s="589">
        <f t="shared" si="3"/>
        <v>-0.91399999999999992</v>
      </c>
      <c r="H59" s="407">
        <f t="shared" si="5"/>
        <v>-0.91399999999999992</v>
      </c>
      <c r="I59" s="407">
        <f t="shared" si="5"/>
        <v>-0.83539599999999981</v>
      </c>
      <c r="J59" s="407">
        <f t="shared" si="5"/>
        <v>-1.1453279159999996</v>
      </c>
      <c r="K59" s="589">
        <f t="shared" si="2"/>
        <v>-2.8947239159999993</v>
      </c>
    </row>
    <row r="60" spans="7:11" customFormat="1" x14ac:dyDescent="0.25">
      <c r="G60" s="589">
        <f t="shared" si="3"/>
        <v>-0.91199999999999992</v>
      </c>
      <c r="H60" s="407">
        <f t="shared" si="5"/>
        <v>-0.91199999999999992</v>
      </c>
      <c r="I60" s="407">
        <f t="shared" si="5"/>
        <v>-0.83174399999999982</v>
      </c>
      <c r="J60" s="407">
        <f t="shared" si="5"/>
        <v>-1.1378257919999997</v>
      </c>
      <c r="K60" s="589">
        <f t="shared" si="2"/>
        <v>-2.8815697919999996</v>
      </c>
    </row>
    <row r="61" spans="7:11" customFormat="1" x14ac:dyDescent="0.25">
      <c r="G61" s="589">
        <f t="shared" si="3"/>
        <v>-0.90999999999999992</v>
      </c>
      <c r="H61" s="407">
        <f t="shared" si="5"/>
        <v>-0.90999999999999992</v>
      </c>
      <c r="I61" s="407">
        <f t="shared" si="5"/>
        <v>-0.82809999999999984</v>
      </c>
      <c r="J61" s="407">
        <f t="shared" si="5"/>
        <v>-1.1303564999999998</v>
      </c>
      <c r="K61" s="589">
        <f t="shared" si="2"/>
        <v>-2.8684564999999997</v>
      </c>
    </row>
    <row r="62" spans="7:11" customFormat="1" x14ac:dyDescent="0.25">
      <c r="G62" s="589">
        <f t="shared" si="3"/>
        <v>-0.90799999999999992</v>
      </c>
      <c r="H62" s="407">
        <f t="shared" si="5"/>
        <v>-0.90799999999999992</v>
      </c>
      <c r="I62" s="407">
        <f t="shared" si="5"/>
        <v>-0.82446399999999986</v>
      </c>
      <c r="J62" s="407">
        <f t="shared" si="5"/>
        <v>-1.1229199679999997</v>
      </c>
      <c r="K62" s="589">
        <f t="shared" si="2"/>
        <v>-2.8553839679999995</v>
      </c>
    </row>
    <row r="63" spans="7:11" customFormat="1" x14ac:dyDescent="0.25">
      <c r="G63" s="589">
        <f t="shared" si="3"/>
        <v>-0.90599999999999992</v>
      </c>
      <c r="H63" s="407">
        <f t="shared" si="5"/>
        <v>-0.90599999999999992</v>
      </c>
      <c r="I63" s="407">
        <f t="shared" si="5"/>
        <v>-0.8208359999999999</v>
      </c>
      <c r="J63" s="407">
        <f t="shared" si="5"/>
        <v>-1.1155161239999998</v>
      </c>
      <c r="K63" s="589">
        <f t="shared" si="2"/>
        <v>-2.8423521239999996</v>
      </c>
    </row>
    <row r="64" spans="7:11" customFormat="1" x14ac:dyDescent="0.25">
      <c r="G64" s="589">
        <f t="shared" si="3"/>
        <v>-0.90399999999999991</v>
      </c>
      <c r="H64" s="407">
        <f t="shared" si="5"/>
        <v>-0.90399999999999991</v>
      </c>
      <c r="I64" s="407">
        <f t="shared" si="5"/>
        <v>-0.81721599999999983</v>
      </c>
      <c r="J64" s="407">
        <f t="shared" si="5"/>
        <v>-1.1081448959999998</v>
      </c>
      <c r="K64" s="589">
        <f t="shared" si="2"/>
        <v>-2.8293608959999994</v>
      </c>
    </row>
    <row r="65" spans="7:11" customFormat="1" x14ac:dyDescent="0.25">
      <c r="G65" s="589">
        <f t="shared" si="3"/>
        <v>-0.90199999999999991</v>
      </c>
      <c r="H65" s="407">
        <f t="shared" si="5"/>
        <v>-0.90199999999999991</v>
      </c>
      <c r="I65" s="407">
        <f t="shared" si="5"/>
        <v>-0.81360399999999988</v>
      </c>
      <c r="J65" s="407">
        <f t="shared" si="5"/>
        <v>-1.1008062119999997</v>
      </c>
      <c r="K65" s="589">
        <f t="shared" si="2"/>
        <v>-2.8164102119999996</v>
      </c>
    </row>
    <row r="66" spans="7:11" customFormat="1" x14ac:dyDescent="0.25">
      <c r="G66" s="589">
        <f t="shared" si="3"/>
        <v>-0.89999999999999991</v>
      </c>
      <c r="H66" s="407">
        <f t="shared" si="5"/>
        <v>-0.89999999999999991</v>
      </c>
      <c r="I66" s="407">
        <f t="shared" si="5"/>
        <v>-0.80999999999999983</v>
      </c>
      <c r="J66" s="407">
        <f t="shared" si="5"/>
        <v>-1.0934999999999997</v>
      </c>
      <c r="K66" s="589">
        <f t="shared" si="2"/>
        <v>-2.8034999999999997</v>
      </c>
    </row>
    <row r="67" spans="7:11" customFormat="1" x14ac:dyDescent="0.25">
      <c r="G67" s="589">
        <f t="shared" si="3"/>
        <v>-0.89799999999999991</v>
      </c>
      <c r="H67" s="407">
        <f t="shared" si="5"/>
        <v>-0.89799999999999991</v>
      </c>
      <c r="I67" s="407">
        <f t="shared" si="5"/>
        <v>-0.80640399999999979</v>
      </c>
      <c r="J67" s="407">
        <f t="shared" si="5"/>
        <v>-1.0862261879999997</v>
      </c>
      <c r="K67" s="589">
        <f t="shared" si="2"/>
        <v>-2.7906301879999997</v>
      </c>
    </row>
    <row r="68" spans="7:11" customFormat="1" x14ac:dyDescent="0.25">
      <c r="G68" s="589">
        <f t="shared" si="3"/>
        <v>-0.89599999999999991</v>
      </c>
      <c r="H68" s="407">
        <f t="shared" si="5"/>
        <v>-0.89599999999999991</v>
      </c>
      <c r="I68" s="407">
        <f t="shared" si="5"/>
        <v>-0.80281599999999986</v>
      </c>
      <c r="J68" s="407">
        <f t="shared" si="5"/>
        <v>-1.0789847039999996</v>
      </c>
      <c r="K68" s="589">
        <f t="shared" si="2"/>
        <v>-2.7778007039999997</v>
      </c>
    </row>
    <row r="69" spans="7:11" customFormat="1" x14ac:dyDescent="0.25">
      <c r="G69" s="589">
        <f t="shared" si="3"/>
        <v>-0.89399999999999991</v>
      </c>
      <c r="H69" s="407">
        <f t="shared" si="5"/>
        <v>-0.89399999999999991</v>
      </c>
      <c r="I69" s="407">
        <f t="shared" si="5"/>
        <v>-0.79923599999999984</v>
      </c>
      <c r="J69" s="407">
        <f t="shared" si="5"/>
        <v>-1.0717754759999996</v>
      </c>
      <c r="K69" s="589">
        <f t="shared" si="2"/>
        <v>-2.7650114759999993</v>
      </c>
    </row>
    <row r="70" spans="7:11" customFormat="1" x14ac:dyDescent="0.25">
      <c r="G70" s="589">
        <f t="shared" si="3"/>
        <v>-0.8919999999999999</v>
      </c>
      <c r="H70" s="407">
        <f t="shared" si="5"/>
        <v>-0.8919999999999999</v>
      </c>
      <c r="I70" s="407">
        <f t="shared" si="5"/>
        <v>-0.79566399999999982</v>
      </c>
      <c r="J70" s="407">
        <f t="shared" si="5"/>
        <v>-1.0645984319999997</v>
      </c>
      <c r="K70" s="589">
        <f t="shared" si="2"/>
        <v>-2.7522624319999993</v>
      </c>
    </row>
    <row r="71" spans="7:11" customFormat="1" x14ac:dyDescent="0.25">
      <c r="G71" s="589">
        <f t="shared" si="3"/>
        <v>-0.8899999999999999</v>
      </c>
      <c r="H71" s="407">
        <f t="shared" si="5"/>
        <v>-0.8899999999999999</v>
      </c>
      <c r="I71" s="407">
        <f t="shared" si="5"/>
        <v>-0.7920999999999998</v>
      </c>
      <c r="J71" s="407">
        <f t="shared" si="5"/>
        <v>-1.0574534999999996</v>
      </c>
      <c r="K71" s="589">
        <f t="shared" si="2"/>
        <v>-2.7395534999999995</v>
      </c>
    </row>
    <row r="72" spans="7:11" customFormat="1" x14ac:dyDescent="0.25">
      <c r="G72" s="589">
        <f t="shared" si="3"/>
        <v>-0.8879999999999999</v>
      </c>
      <c r="H72" s="407">
        <f t="shared" si="5"/>
        <v>-0.8879999999999999</v>
      </c>
      <c r="I72" s="407">
        <f t="shared" si="5"/>
        <v>-0.7885439999999998</v>
      </c>
      <c r="J72" s="407">
        <f t="shared" si="5"/>
        <v>-1.0503406079999997</v>
      </c>
      <c r="K72" s="589">
        <f t="shared" si="2"/>
        <v>-2.7268846079999998</v>
      </c>
    </row>
    <row r="73" spans="7:11" customFormat="1" x14ac:dyDescent="0.25">
      <c r="G73" s="589">
        <f t="shared" si="3"/>
        <v>-0.8859999999999999</v>
      </c>
      <c r="H73" s="407">
        <f t="shared" si="5"/>
        <v>-0.8859999999999999</v>
      </c>
      <c r="I73" s="407">
        <f t="shared" si="5"/>
        <v>-0.78499599999999981</v>
      </c>
      <c r="J73" s="407">
        <f t="shared" si="5"/>
        <v>-1.0432596839999995</v>
      </c>
      <c r="K73" s="589">
        <f t="shared" si="2"/>
        <v>-2.7142556839999994</v>
      </c>
    </row>
    <row r="74" spans="7:11" customFormat="1" x14ac:dyDescent="0.25">
      <c r="G74" s="589">
        <f t="shared" si="3"/>
        <v>-0.8839999999999999</v>
      </c>
      <c r="H74" s="407">
        <f t="shared" ref="H74:J89" si="6">($G74^H$15*(-H$15)^(-1+H$15))/FACT(H$15)</f>
        <v>-0.8839999999999999</v>
      </c>
      <c r="I74" s="407">
        <f t="shared" si="6"/>
        <v>-0.78145599999999982</v>
      </c>
      <c r="J74" s="407">
        <f t="shared" si="6"/>
        <v>-1.0362106559999997</v>
      </c>
      <c r="K74" s="589">
        <f t="shared" si="2"/>
        <v>-2.7016666559999996</v>
      </c>
    </row>
    <row r="75" spans="7:11" customFormat="1" x14ac:dyDescent="0.25">
      <c r="G75" s="589">
        <f t="shared" si="3"/>
        <v>-0.8819999999999999</v>
      </c>
      <c r="H75" s="407">
        <f t="shared" si="6"/>
        <v>-0.8819999999999999</v>
      </c>
      <c r="I75" s="407">
        <f t="shared" si="6"/>
        <v>-0.77792399999999984</v>
      </c>
      <c r="J75" s="407">
        <f t="shared" si="6"/>
        <v>-1.0291934519999997</v>
      </c>
      <c r="K75" s="589">
        <f t="shared" si="2"/>
        <v>-2.6891174519999996</v>
      </c>
    </row>
    <row r="76" spans="7:11" customFormat="1" x14ac:dyDescent="0.25">
      <c r="G76" s="589">
        <f t="shared" si="3"/>
        <v>-0.87999999999999989</v>
      </c>
      <c r="H76" s="407">
        <f t="shared" si="6"/>
        <v>-0.87999999999999989</v>
      </c>
      <c r="I76" s="407">
        <f t="shared" si="6"/>
        <v>-0.77439999999999987</v>
      </c>
      <c r="J76" s="407">
        <f t="shared" si="6"/>
        <v>-1.0222079999999996</v>
      </c>
      <c r="K76" s="589">
        <f t="shared" si="2"/>
        <v>-2.6766079999999994</v>
      </c>
    </row>
    <row r="77" spans="7:11" customFormat="1" x14ac:dyDescent="0.25">
      <c r="G77" s="589">
        <f t="shared" si="3"/>
        <v>-0.87799999999999989</v>
      </c>
      <c r="H77" s="407">
        <f t="shared" si="6"/>
        <v>-0.87799999999999989</v>
      </c>
      <c r="I77" s="407">
        <f t="shared" si="6"/>
        <v>-0.77088399999999979</v>
      </c>
      <c r="J77" s="407">
        <f t="shared" si="6"/>
        <v>-1.0152542279999996</v>
      </c>
      <c r="K77" s="589">
        <f t="shared" si="2"/>
        <v>-2.6641382279999997</v>
      </c>
    </row>
    <row r="78" spans="7:11" customFormat="1" x14ac:dyDescent="0.25">
      <c r="G78" s="589">
        <f t="shared" si="3"/>
        <v>-0.87599999999999989</v>
      </c>
      <c r="H78" s="407">
        <f t="shared" si="6"/>
        <v>-0.87599999999999989</v>
      </c>
      <c r="I78" s="407">
        <f t="shared" si="6"/>
        <v>-0.76737599999999984</v>
      </c>
      <c r="J78" s="407">
        <f t="shared" si="6"/>
        <v>-1.0083320639999995</v>
      </c>
      <c r="K78" s="589">
        <f t="shared" si="2"/>
        <v>-2.6517080639999993</v>
      </c>
    </row>
    <row r="79" spans="7:11" customFormat="1" x14ac:dyDescent="0.25">
      <c r="G79" s="589">
        <f t="shared" si="3"/>
        <v>-0.87399999999999989</v>
      </c>
      <c r="H79" s="407">
        <f t="shared" si="6"/>
        <v>-0.87399999999999989</v>
      </c>
      <c r="I79" s="407">
        <f t="shared" si="6"/>
        <v>-0.76387599999999978</v>
      </c>
      <c r="J79" s="407">
        <f t="shared" si="6"/>
        <v>-1.0014414359999997</v>
      </c>
      <c r="K79" s="589">
        <f t="shared" si="2"/>
        <v>-2.6393174359999994</v>
      </c>
    </row>
    <row r="80" spans="7:11" customFormat="1" x14ac:dyDescent="0.25">
      <c r="G80" s="589">
        <f t="shared" si="3"/>
        <v>-0.87199999999999989</v>
      </c>
      <c r="H80" s="407">
        <f t="shared" si="6"/>
        <v>-0.87199999999999989</v>
      </c>
      <c r="I80" s="407">
        <f t="shared" si="6"/>
        <v>-0.76038399999999984</v>
      </c>
      <c r="J80" s="407">
        <f t="shared" si="6"/>
        <v>-0.99458227199999971</v>
      </c>
      <c r="K80" s="589">
        <f t="shared" ref="K80:K116" si="7">SUM(H80:J80)</f>
        <v>-2.6269662719999993</v>
      </c>
    </row>
    <row r="81" spans="7:11" customFormat="1" x14ac:dyDescent="0.25">
      <c r="G81" s="589">
        <f t="shared" ref="G81:G144" si="8">G80+$K$14</f>
        <v>-0.86999999999999988</v>
      </c>
      <c r="H81" s="407">
        <f t="shared" si="6"/>
        <v>-0.86999999999999988</v>
      </c>
      <c r="I81" s="407">
        <f t="shared" si="6"/>
        <v>-0.7568999999999998</v>
      </c>
      <c r="J81" s="407">
        <f t="shared" si="6"/>
        <v>-0.98775449999999954</v>
      </c>
      <c r="K81" s="589">
        <f t="shared" si="7"/>
        <v>-2.614654499999999</v>
      </c>
    </row>
    <row r="82" spans="7:11" customFormat="1" x14ac:dyDescent="0.25">
      <c r="G82" s="589">
        <f t="shared" si="8"/>
        <v>-0.86799999999999988</v>
      </c>
      <c r="H82" s="407">
        <f t="shared" si="6"/>
        <v>-0.86799999999999988</v>
      </c>
      <c r="I82" s="407">
        <f t="shared" si="6"/>
        <v>-0.75342399999999976</v>
      </c>
      <c r="J82" s="407">
        <f t="shared" si="6"/>
        <v>-0.98095804799999964</v>
      </c>
      <c r="K82" s="589">
        <f t="shared" si="7"/>
        <v>-2.6023820479999995</v>
      </c>
    </row>
    <row r="83" spans="7:11" customFormat="1" x14ac:dyDescent="0.25">
      <c r="G83" s="589">
        <f t="shared" si="8"/>
        <v>-0.86599999999999988</v>
      </c>
      <c r="H83" s="407">
        <f t="shared" si="6"/>
        <v>-0.86599999999999988</v>
      </c>
      <c r="I83" s="407">
        <f t="shared" si="6"/>
        <v>-0.74995599999999984</v>
      </c>
      <c r="J83" s="407">
        <f t="shared" si="6"/>
        <v>-0.97419284399999972</v>
      </c>
      <c r="K83" s="589">
        <f t="shared" si="7"/>
        <v>-2.5901488439999993</v>
      </c>
    </row>
    <row r="84" spans="7:11" customFormat="1" x14ac:dyDescent="0.25">
      <c r="G84" s="589">
        <f t="shared" si="8"/>
        <v>-0.86399999999999988</v>
      </c>
      <c r="H84" s="407">
        <f t="shared" si="6"/>
        <v>-0.86399999999999988</v>
      </c>
      <c r="I84" s="407">
        <f t="shared" si="6"/>
        <v>-0.74649599999999983</v>
      </c>
      <c r="J84" s="407">
        <f t="shared" si="6"/>
        <v>-0.96745881599999972</v>
      </c>
      <c r="K84" s="589">
        <f t="shared" si="7"/>
        <v>-2.5779548159999992</v>
      </c>
    </row>
    <row r="85" spans="7:11" customFormat="1" x14ac:dyDescent="0.25">
      <c r="G85" s="589">
        <f t="shared" si="8"/>
        <v>-0.86199999999999988</v>
      </c>
      <c r="H85" s="407">
        <f t="shared" si="6"/>
        <v>-0.86199999999999988</v>
      </c>
      <c r="I85" s="407">
        <f t="shared" si="6"/>
        <v>-0.74304399999999982</v>
      </c>
      <c r="J85" s="407">
        <f t="shared" si="6"/>
        <v>-0.96075589199999956</v>
      </c>
      <c r="K85" s="589">
        <f t="shared" si="7"/>
        <v>-2.5657998919999994</v>
      </c>
    </row>
    <row r="86" spans="7:11" customFormat="1" x14ac:dyDescent="0.25">
      <c r="G86" s="589">
        <f t="shared" si="8"/>
        <v>-0.85999999999999988</v>
      </c>
      <c r="H86" s="407">
        <f t="shared" si="6"/>
        <v>-0.85999999999999988</v>
      </c>
      <c r="I86" s="407">
        <f t="shared" si="6"/>
        <v>-0.73959999999999981</v>
      </c>
      <c r="J86" s="407">
        <f t="shared" si="6"/>
        <v>-0.9540839999999996</v>
      </c>
      <c r="K86" s="589">
        <f t="shared" si="7"/>
        <v>-2.5536839999999992</v>
      </c>
    </row>
    <row r="87" spans="7:11" customFormat="1" x14ac:dyDescent="0.25">
      <c r="G87" s="589">
        <f t="shared" si="8"/>
        <v>-0.85799999999999987</v>
      </c>
      <c r="H87" s="407">
        <f t="shared" si="6"/>
        <v>-0.85799999999999987</v>
      </c>
      <c r="I87" s="407">
        <f t="shared" si="6"/>
        <v>-0.73616399999999982</v>
      </c>
      <c r="J87" s="407">
        <f t="shared" si="6"/>
        <v>-0.94744306799999956</v>
      </c>
      <c r="K87" s="589">
        <f t="shared" si="7"/>
        <v>-2.5416070679999994</v>
      </c>
    </row>
    <row r="88" spans="7:11" customFormat="1" x14ac:dyDescent="0.25">
      <c r="G88" s="589">
        <f t="shared" si="8"/>
        <v>-0.85599999999999987</v>
      </c>
      <c r="H88" s="407">
        <f t="shared" si="6"/>
        <v>-0.85599999999999987</v>
      </c>
      <c r="I88" s="407">
        <f t="shared" si="6"/>
        <v>-0.73273599999999983</v>
      </c>
      <c r="J88" s="407">
        <f t="shared" si="6"/>
        <v>-0.94083302399999946</v>
      </c>
      <c r="K88" s="589">
        <f t="shared" si="7"/>
        <v>-2.5295690239999993</v>
      </c>
    </row>
    <row r="89" spans="7:11" customFormat="1" x14ac:dyDescent="0.25">
      <c r="G89" s="589">
        <f t="shared" si="8"/>
        <v>-0.85399999999999987</v>
      </c>
      <c r="H89" s="407">
        <f t="shared" si="6"/>
        <v>-0.85399999999999987</v>
      </c>
      <c r="I89" s="407">
        <f t="shared" si="6"/>
        <v>-0.72931599999999974</v>
      </c>
      <c r="J89" s="407">
        <f t="shared" si="6"/>
        <v>-0.93425379599999958</v>
      </c>
      <c r="K89" s="589">
        <f t="shared" si="7"/>
        <v>-2.5175697959999992</v>
      </c>
    </row>
    <row r="90" spans="7:11" customFormat="1" x14ac:dyDescent="0.25">
      <c r="G90" s="589">
        <f t="shared" si="8"/>
        <v>-0.85199999999999987</v>
      </c>
      <c r="H90" s="407">
        <f t="shared" ref="H90:J105" si="9">($G90^H$15*(-H$15)^(-1+H$15))/FACT(H$15)</f>
        <v>-0.85199999999999987</v>
      </c>
      <c r="I90" s="407">
        <f t="shared" si="9"/>
        <v>-0.72590399999999977</v>
      </c>
      <c r="J90" s="407">
        <f t="shared" si="9"/>
        <v>-0.92770531199999962</v>
      </c>
      <c r="K90" s="589">
        <f t="shared" si="7"/>
        <v>-2.5056093119999994</v>
      </c>
    </row>
    <row r="91" spans="7:11" customFormat="1" x14ac:dyDescent="0.25">
      <c r="G91" s="589">
        <f t="shared" si="8"/>
        <v>-0.84999999999999987</v>
      </c>
      <c r="H91" s="407">
        <f t="shared" si="9"/>
        <v>-0.84999999999999987</v>
      </c>
      <c r="I91" s="407">
        <f t="shared" si="9"/>
        <v>-0.72249999999999981</v>
      </c>
      <c r="J91" s="407">
        <f t="shared" si="9"/>
        <v>-0.92118749999999949</v>
      </c>
      <c r="K91" s="589">
        <f t="shared" si="7"/>
        <v>-2.4936874999999992</v>
      </c>
    </row>
    <row r="92" spans="7:11" customFormat="1" x14ac:dyDescent="0.25">
      <c r="G92" s="589">
        <f t="shared" si="8"/>
        <v>-0.84799999999999986</v>
      </c>
      <c r="H92" s="407">
        <f t="shared" si="9"/>
        <v>-0.84799999999999986</v>
      </c>
      <c r="I92" s="407">
        <f t="shared" si="9"/>
        <v>-0.71910399999999974</v>
      </c>
      <c r="J92" s="407">
        <f t="shared" si="9"/>
        <v>-0.91470028799999958</v>
      </c>
      <c r="K92" s="589">
        <f t="shared" si="7"/>
        <v>-2.4818042879999993</v>
      </c>
    </row>
    <row r="93" spans="7:11" customFormat="1" x14ac:dyDescent="0.25">
      <c r="G93" s="589">
        <f t="shared" si="8"/>
        <v>-0.84599999999999986</v>
      </c>
      <c r="H93" s="407">
        <f t="shared" si="9"/>
        <v>-0.84599999999999986</v>
      </c>
      <c r="I93" s="407">
        <f t="shared" si="9"/>
        <v>-0.7157159999999998</v>
      </c>
      <c r="J93" s="407">
        <f t="shared" si="9"/>
        <v>-0.90824360399999959</v>
      </c>
      <c r="K93" s="589">
        <f t="shared" si="7"/>
        <v>-2.4699596039999991</v>
      </c>
    </row>
    <row r="94" spans="7:11" customFormat="1" x14ac:dyDescent="0.25">
      <c r="G94" s="589">
        <f t="shared" si="8"/>
        <v>-0.84399999999999986</v>
      </c>
      <c r="H94" s="407">
        <f t="shared" si="9"/>
        <v>-0.84399999999999986</v>
      </c>
      <c r="I94" s="407">
        <f t="shared" si="9"/>
        <v>-0.71233599999999975</v>
      </c>
      <c r="J94" s="407">
        <f t="shared" si="9"/>
        <v>-0.90181737599999945</v>
      </c>
      <c r="K94" s="589">
        <f t="shared" si="7"/>
        <v>-2.4581533759999989</v>
      </c>
    </row>
    <row r="95" spans="7:11" customFormat="1" x14ac:dyDescent="0.25">
      <c r="G95" s="589">
        <f t="shared" si="8"/>
        <v>-0.84199999999999986</v>
      </c>
      <c r="H95" s="407">
        <f t="shared" si="9"/>
        <v>-0.84199999999999986</v>
      </c>
      <c r="I95" s="407">
        <f t="shared" si="9"/>
        <v>-0.70896399999999982</v>
      </c>
      <c r="J95" s="407">
        <f t="shared" si="9"/>
        <v>-0.89542153199999974</v>
      </c>
      <c r="K95" s="589">
        <f t="shared" si="7"/>
        <v>-2.4463855319999994</v>
      </c>
    </row>
    <row r="96" spans="7:11" customFormat="1" x14ac:dyDescent="0.25">
      <c r="G96" s="589">
        <f t="shared" si="8"/>
        <v>-0.83999999999999986</v>
      </c>
      <c r="H96" s="407">
        <f t="shared" si="9"/>
        <v>-0.83999999999999986</v>
      </c>
      <c r="I96" s="407">
        <f t="shared" si="9"/>
        <v>-0.70559999999999978</v>
      </c>
      <c r="J96" s="407">
        <f t="shared" si="9"/>
        <v>-0.88905599999999951</v>
      </c>
      <c r="K96" s="589">
        <f t="shared" si="7"/>
        <v>-2.434655999999999</v>
      </c>
    </row>
    <row r="97" spans="7:11" customFormat="1" x14ac:dyDescent="0.25">
      <c r="G97" s="589">
        <f t="shared" si="8"/>
        <v>-0.83799999999999986</v>
      </c>
      <c r="H97" s="407">
        <f t="shared" si="9"/>
        <v>-0.83799999999999986</v>
      </c>
      <c r="I97" s="407">
        <f t="shared" si="9"/>
        <v>-0.70224399999999976</v>
      </c>
      <c r="J97" s="407">
        <f t="shared" si="9"/>
        <v>-0.88272070799999947</v>
      </c>
      <c r="K97" s="589">
        <f t="shared" si="7"/>
        <v>-2.422964707999999</v>
      </c>
    </row>
    <row r="98" spans="7:11" customFormat="1" x14ac:dyDescent="0.25">
      <c r="G98" s="589">
        <f t="shared" si="8"/>
        <v>-0.83599999999999985</v>
      </c>
      <c r="H98" s="407">
        <f t="shared" si="9"/>
        <v>-0.83599999999999985</v>
      </c>
      <c r="I98" s="407">
        <f t="shared" si="9"/>
        <v>-0.69889599999999974</v>
      </c>
      <c r="J98" s="407">
        <f t="shared" si="9"/>
        <v>-0.87641558399999953</v>
      </c>
      <c r="K98" s="589">
        <f t="shared" si="7"/>
        <v>-2.411311583999999</v>
      </c>
    </row>
    <row r="99" spans="7:11" customFormat="1" x14ac:dyDescent="0.25">
      <c r="G99" s="589">
        <f t="shared" si="8"/>
        <v>-0.83399999999999985</v>
      </c>
      <c r="H99" s="407">
        <f t="shared" si="9"/>
        <v>-0.83399999999999985</v>
      </c>
      <c r="I99" s="407">
        <f t="shared" si="9"/>
        <v>-0.69555599999999973</v>
      </c>
      <c r="J99" s="407">
        <f t="shared" si="9"/>
        <v>-0.87014055599999951</v>
      </c>
      <c r="K99" s="589">
        <f t="shared" si="7"/>
        <v>-2.399696555999999</v>
      </c>
    </row>
    <row r="100" spans="7:11" customFormat="1" x14ac:dyDescent="0.25">
      <c r="G100" s="589">
        <f t="shared" si="8"/>
        <v>-0.83199999999999985</v>
      </c>
      <c r="H100" s="407">
        <f t="shared" si="9"/>
        <v>-0.83199999999999985</v>
      </c>
      <c r="I100" s="407">
        <f t="shared" si="9"/>
        <v>-0.69222399999999973</v>
      </c>
      <c r="J100" s="407">
        <f t="shared" si="9"/>
        <v>-0.86389555199999946</v>
      </c>
      <c r="K100" s="589">
        <f t="shared" si="7"/>
        <v>-2.3881195519999991</v>
      </c>
    </row>
    <row r="101" spans="7:11" customFormat="1" x14ac:dyDescent="0.25">
      <c r="G101" s="589">
        <f t="shared" si="8"/>
        <v>-0.82999999999999985</v>
      </c>
      <c r="H101" s="407">
        <f t="shared" si="9"/>
        <v>-0.82999999999999985</v>
      </c>
      <c r="I101" s="407">
        <f t="shared" si="9"/>
        <v>-0.68889999999999973</v>
      </c>
      <c r="J101" s="407">
        <f t="shared" si="9"/>
        <v>-0.85768049999999951</v>
      </c>
      <c r="K101" s="589">
        <f t="shared" si="7"/>
        <v>-2.3765804999999989</v>
      </c>
    </row>
    <row r="102" spans="7:11" customFormat="1" x14ac:dyDescent="0.25">
      <c r="G102" s="589">
        <f t="shared" si="8"/>
        <v>-0.82799999999999985</v>
      </c>
      <c r="H102" s="407">
        <f t="shared" si="9"/>
        <v>-0.82799999999999985</v>
      </c>
      <c r="I102" s="407">
        <f t="shared" si="9"/>
        <v>-0.68558399999999975</v>
      </c>
      <c r="J102" s="407">
        <f t="shared" si="9"/>
        <v>-0.85149532799999961</v>
      </c>
      <c r="K102" s="589">
        <f t="shared" si="7"/>
        <v>-2.3650793279999993</v>
      </c>
    </row>
    <row r="103" spans="7:11" customFormat="1" x14ac:dyDescent="0.25">
      <c r="G103" s="589">
        <f t="shared" si="8"/>
        <v>-0.82599999999999985</v>
      </c>
      <c r="H103" s="407">
        <f t="shared" si="9"/>
        <v>-0.82599999999999985</v>
      </c>
      <c r="I103" s="407">
        <f t="shared" si="9"/>
        <v>-0.68227599999999977</v>
      </c>
      <c r="J103" s="407">
        <f t="shared" si="9"/>
        <v>-0.84533996399999956</v>
      </c>
      <c r="K103" s="589">
        <f t="shared" si="7"/>
        <v>-2.353615963999999</v>
      </c>
    </row>
    <row r="104" spans="7:11" customFormat="1" x14ac:dyDescent="0.25">
      <c r="G104" s="589">
        <f t="shared" si="8"/>
        <v>-0.82399999999999984</v>
      </c>
      <c r="H104" s="407">
        <f t="shared" si="9"/>
        <v>-0.82399999999999984</v>
      </c>
      <c r="I104" s="407">
        <f t="shared" si="9"/>
        <v>-0.67897599999999969</v>
      </c>
      <c r="J104" s="407">
        <f t="shared" si="9"/>
        <v>-0.83921433599999951</v>
      </c>
      <c r="K104" s="589">
        <f t="shared" si="7"/>
        <v>-2.3421903359999989</v>
      </c>
    </row>
    <row r="105" spans="7:11" customFormat="1" x14ac:dyDescent="0.25">
      <c r="G105" s="589">
        <f t="shared" si="8"/>
        <v>-0.82199999999999984</v>
      </c>
      <c r="H105" s="407">
        <f t="shared" si="9"/>
        <v>-0.82199999999999984</v>
      </c>
      <c r="I105" s="407">
        <f t="shared" si="9"/>
        <v>-0.67568399999999973</v>
      </c>
      <c r="J105" s="407">
        <f t="shared" si="9"/>
        <v>-0.8331183719999995</v>
      </c>
      <c r="K105" s="589">
        <f t="shared" si="7"/>
        <v>-2.3308023719999991</v>
      </c>
    </row>
    <row r="106" spans="7:11" customFormat="1" x14ac:dyDescent="0.25">
      <c r="G106" s="589">
        <f t="shared" si="8"/>
        <v>-0.81999999999999984</v>
      </c>
      <c r="H106" s="407">
        <f t="shared" ref="H106:J121" si="10">($G106^H$15*(-H$15)^(-1+H$15))/FACT(H$15)</f>
        <v>-0.81999999999999984</v>
      </c>
      <c r="I106" s="407">
        <f t="shared" si="10"/>
        <v>-0.67239999999999978</v>
      </c>
      <c r="J106" s="407">
        <f t="shared" si="10"/>
        <v>-0.82705199999999968</v>
      </c>
      <c r="K106" s="589">
        <f t="shared" si="7"/>
        <v>-2.3194519999999992</v>
      </c>
    </row>
    <row r="107" spans="7:11" customFormat="1" x14ac:dyDescent="0.25">
      <c r="G107" s="589">
        <f t="shared" si="8"/>
        <v>-0.81799999999999984</v>
      </c>
      <c r="H107" s="407">
        <f t="shared" si="10"/>
        <v>-0.81799999999999984</v>
      </c>
      <c r="I107" s="407">
        <f t="shared" si="10"/>
        <v>-0.66912399999999972</v>
      </c>
      <c r="J107" s="407">
        <f t="shared" si="10"/>
        <v>-0.82101514799999953</v>
      </c>
      <c r="K107" s="589">
        <f t="shared" si="7"/>
        <v>-2.3081391479999991</v>
      </c>
    </row>
    <row r="108" spans="7:11" customFormat="1" x14ac:dyDescent="0.25">
      <c r="G108" s="589">
        <f t="shared" si="8"/>
        <v>-0.81599999999999984</v>
      </c>
      <c r="H108" s="407">
        <f t="shared" si="10"/>
        <v>-0.81599999999999984</v>
      </c>
      <c r="I108" s="407">
        <f t="shared" si="10"/>
        <v>-0.66585599999999978</v>
      </c>
      <c r="J108" s="407">
        <f t="shared" si="10"/>
        <v>-0.81500774399999953</v>
      </c>
      <c r="K108" s="589">
        <f t="shared" si="7"/>
        <v>-2.296863743999999</v>
      </c>
    </row>
    <row r="109" spans="7:11" customFormat="1" x14ac:dyDescent="0.25">
      <c r="G109" s="589">
        <f t="shared" si="8"/>
        <v>-0.81399999999999983</v>
      </c>
      <c r="H109" s="407">
        <f t="shared" si="10"/>
        <v>-0.81399999999999983</v>
      </c>
      <c r="I109" s="407">
        <f t="shared" si="10"/>
        <v>-0.66259599999999974</v>
      </c>
      <c r="J109" s="407">
        <f t="shared" si="10"/>
        <v>-0.80902971599999951</v>
      </c>
      <c r="K109" s="589">
        <f t="shared" si="7"/>
        <v>-2.2856257159999993</v>
      </c>
    </row>
    <row r="110" spans="7:11" customFormat="1" x14ac:dyDescent="0.25">
      <c r="G110" s="589">
        <f t="shared" si="8"/>
        <v>-0.81199999999999983</v>
      </c>
      <c r="H110" s="407">
        <f t="shared" si="10"/>
        <v>-0.81199999999999983</v>
      </c>
      <c r="I110" s="407">
        <f t="shared" si="10"/>
        <v>-0.65934399999999971</v>
      </c>
      <c r="J110" s="407">
        <f t="shared" si="10"/>
        <v>-0.80308099199999949</v>
      </c>
      <c r="K110" s="589">
        <f t="shared" si="7"/>
        <v>-2.2744249919999993</v>
      </c>
    </row>
    <row r="111" spans="7:11" customFormat="1" x14ac:dyDescent="0.25">
      <c r="G111" s="589">
        <f t="shared" si="8"/>
        <v>-0.80999999999999983</v>
      </c>
      <c r="H111" s="407">
        <f t="shared" si="10"/>
        <v>-0.80999999999999983</v>
      </c>
      <c r="I111" s="407">
        <f t="shared" si="10"/>
        <v>-0.65609999999999968</v>
      </c>
      <c r="J111" s="407">
        <f t="shared" si="10"/>
        <v>-0.7971614999999993</v>
      </c>
      <c r="K111" s="589">
        <f t="shared" si="7"/>
        <v>-2.2632614999999987</v>
      </c>
    </row>
    <row r="112" spans="7:11" customFormat="1" x14ac:dyDescent="0.25">
      <c r="G112" s="589">
        <f t="shared" si="8"/>
        <v>-0.80799999999999983</v>
      </c>
      <c r="H112" s="407">
        <f t="shared" si="10"/>
        <v>-0.80799999999999983</v>
      </c>
      <c r="I112" s="407">
        <f t="shared" si="10"/>
        <v>-0.65286399999999978</v>
      </c>
      <c r="J112" s="407">
        <f t="shared" si="10"/>
        <v>-0.79127116799999964</v>
      </c>
      <c r="K112" s="589">
        <f t="shared" si="7"/>
        <v>-2.2521351679999992</v>
      </c>
    </row>
    <row r="113" spans="7:11" customFormat="1" x14ac:dyDescent="0.25">
      <c r="G113" s="589">
        <f t="shared" si="8"/>
        <v>-0.80599999999999983</v>
      </c>
      <c r="H113" s="407">
        <f t="shared" si="10"/>
        <v>-0.80599999999999983</v>
      </c>
      <c r="I113" s="407">
        <f t="shared" si="10"/>
        <v>-0.64963599999999977</v>
      </c>
      <c r="J113" s="407">
        <f t="shared" si="10"/>
        <v>-0.78540992399999954</v>
      </c>
      <c r="K113" s="589">
        <f t="shared" si="7"/>
        <v>-2.2410459239999994</v>
      </c>
    </row>
    <row r="114" spans="7:11" customFormat="1" x14ac:dyDescent="0.25">
      <c r="G114" s="589">
        <f t="shared" si="8"/>
        <v>-0.80399999999999983</v>
      </c>
      <c r="H114" s="407">
        <f t="shared" si="10"/>
        <v>-0.80399999999999983</v>
      </c>
      <c r="I114" s="407">
        <f t="shared" si="10"/>
        <v>-0.64641599999999977</v>
      </c>
      <c r="J114" s="407">
        <f t="shared" si="10"/>
        <v>-0.77957769599999949</v>
      </c>
      <c r="K114" s="589">
        <f t="shared" si="7"/>
        <v>-2.2299936959999993</v>
      </c>
    </row>
    <row r="115" spans="7:11" customFormat="1" x14ac:dyDescent="0.25">
      <c r="G115" s="589">
        <f t="shared" si="8"/>
        <v>-0.80199999999999982</v>
      </c>
      <c r="H115" s="407">
        <f t="shared" si="10"/>
        <v>-0.80199999999999982</v>
      </c>
      <c r="I115" s="407">
        <f t="shared" si="10"/>
        <v>-0.64320399999999966</v>
      </c>
      <c r="J115" s="407">
        <f t="shared" si="10"/>
        <v>-0.77377441199999941</v>
      </c>
      <c r="K115" s="589">
        <f t="shared" si="7"/>
        <v>-2.2189784119999989</v>
      </c>
    </row>
    <row r="116" spans="7:11" customFormat="1" x14ac:dyDescent="0.25">
      <c r="G116" s="589">
        <f t="shared" si="8"/>
        <v>-0.79999999999999982</v>
      </c>
      <c r="H116" s="407">
        <f t="shared" si="10"/>
        <v>-0.79999999999999982</v>
      </c>
      <c r="I116" s="407">
        <f t="shared" si="10"/>
        <v>-0.63999999999999968</v>
      </c>
      <c r="J116" s="407">
        <f t="shared" si="10"/>
        <v>-0.76799999999999946</v>
      </c>
      <c r="K116" s="589">
        <f t="shared" si="7"/>
        <v>-2.2079999999999989</v>
      </c>
    </row>
    <row r="117" spans="7:11" customFormat="1" x14ac:dyDescent="0.25">
      <c r="G117" s="589">
        <f t="shared" si="8"/>
        <v>-0.79799999999999982</v>
      </c>
      <c r="H117" s="407">
        <f t="shared" si="10"/>
        <v>-0.79799999999999982</v>
      </c>
      <c r="I117" s="407">
        <f t="shared" si="10"/>
        <v>-0.6368039999999997</v>
      </c>
      <c r="J117" s="407">
        <f t="shared" si="10"/>
        <v>-0.76225438799999956</v>
      </c>
      <c r="K117" s="589">
        <f t="shared" ref="K117:K180" si="11">SUM(H117:J117)</f>
        <v>-2.197058387999999</v>
      </c>
    </row>
    <row r="118" spans="7:11" customFormat="1" x14ac:dyDescent="0.25">
      <c r="G118" s="589">
        <f t="shared" si="8"/>
        <v>-0.79599999999999982</v>
      </c>
      <c r="H118" s="407">
        <f t="shared" si="10"/>
        <v>-0.79599999999999982</v>
      </c>
      <c r="I118" s="407">
        <f t="shared" si="10"/>
        <v>-0.63361599999999973</v>
      </c>
      <c r="J118" s="407">
        <f t="shared" si="10"/>
        <v>-0.75653750399999942</v>
      </c>
      <c r="K118" s="589">
        <f t="shared" si="11"/>
        <v>-2.1861535039999991</v>
      </c>
    </row>
    <row r="119" spans="7:11" customFormat="1" x14ac:dyDescent="0.25">
      <c r="G119" s="589">
        <f t="shared" si="8"/>
        <v>-0.79399999999999982</v>
      </c>
      <c r="H119" s="407">
        <f t="shared" si="10"/>
        <v>-0.79399999999999982</v>
      </c>
      <c r="I119" s="407">
        <f t="shared" si="10"/>
        <v>-0.63043599999999966</v>
      </c>
      <c r="J119" s="407">
        <f t="shared" si="10"/>
        <v>-0.7508492759999994</v>
      </c>
      <c r="K119" s="589">
        <f t="shared" si="11"/>
        <v>-2.175285275999999</v>
      </c>
    </row>
    <row r="120" spans="7:11" customFormat="1" x14ac:dyDescent="0.25">
      <c r="G120" s="589">
        <f t="shared" si="8"/>
        <v>-0.79199999999999982</v>
      </c>
      <c r="H120" s="407">
        <f t="shared" si="10"/>
        <v>-0.79199999999999982</v>
      </c>
      <c r="I120" s="407">
        <f t="shared" si="10"/>
        <v>-0.62726399999999971</v>
      </c>
      <c r="J120" s="407">
        <f t="shared" si="10"/>
        <v>-0.74518963199999944</v>
      </c>
      <c r="K120" s="589">
        <f t="shared" si="11"/>
        <v>-2.164453631999999</v>
      </c>
    </row>
    <row r="121" spans="7:11" customFormat="1" x14ac:dyDescent="0.25">
      <c r="G121" s="589">
        <f t="shared" si="8"/>
        <v>-0.78999999999999981</v>
      </c>
      <c r="H121" s="407">
        <f t="shared" si="10"/>
        <v>-0.78999999999999981</v>
      </c>
      <c r="I121" s="407">
        <f t="shared" si="10"/>
        <v>-0.62409999999999966</v>
      </c>
      <c r="J121" s="407">
        <f t="shared" si="10"/>
        <v>-0.73955849999999945</v>
      </c>
      <c r="K121" s="589">
        <f t="shared" si="11"/>
        <v>-2.1536584999999988</v>
      </c>
    </row>
    <row r="122" spans="7:11" customFormat="1" x14ac:dyDescent="0.25">
      <c r="G122" s="589">
        <f t="shared" si="8"/>
        <v>-0.78799999999999981</v>
      </c>
      <c r="H122" s="407">
        <f t="shared" ref="H122:J185" si="12">($G122^H$15*(-H$15)^(-1+H$15))/FACT(H$15)</f>
        <v>-0.78799999999999981</v>
      </c>
      <c r="I122" s="407">
        <f t="shared" si="12"/>
        <v>-0.62094399999999972</v>
      </c>
      <c r="J122" s="407">
        <f t="shared" si="12"/>
        <v>-0.73395580799999938</v>
      </c>
      <c r="K122" s="589">
        <f t="shared" si="11"/>
        <v>-2.1428998079999988</v>
      </c>
    </row>
    <row r="123" spans="7:11" customFormat="1" x14ac:dyDescent="0.25">
      <c r="G123" s="589">
        <f t="shared" si="8"/>
        <v>-0.78599999999999981</v>
      </c>
      <c r="H123" s="407">
        <f t="shared" si="12"/>
        <v>-0.78599999999999981</v>
      </c>
      <c r="I123" s="407">
        <f t="shared" si="12"/>
        <v>-0.61779599999999968</v>
      </c>
      <c r="J123" s="407">
        <f t="shared" si="12"/>
        <v>-0.72838148399999947</v>
      </c>
      <c r="K123" s="589">
        <f t="shared" si="11"/>
        <v>-2.1321774839999987</v>
      </c>
    </row>
    <row r="124" spans="7:11" customFormat="1" x14ac:dyDescent="0.25">
      <c r="G124" s="589">
        <f t="shared" si="8"/>
        <v>-0.78399999999999981</v>
      </c>
      <c r="H124" s="407">
        <f t="shared" si="12"/>
        <v>-0.78399999999999981</v>
      </c>
      <c r="I124" s="407">
        <f t="shared" si="12"/>
        <v>-0.61465599999999965</v>
      </c>
      <c r="J124" s="407">
        <f t="shared" si="12"/>
        <v>-0.72283545599999943</v>
      </c>
      <c r="K124" s="589">
        <f t="shared" si="11"/>
        <v>-2.1214914559999989</v>
      </c>
    </row>
    <row r="125" spans="7:11" customFormat="1" x14ac:dyDescent="0.25">
      <c r="G125" s="589">
        <f t="shared" si="8"/>
        <v>-0.78199999999999981</v>
      </c>
      <c r="H125" s="407">
        <f t="shared" si="12"/>
        <v>-0.78199999999999981</v>
      </c>
      <c r="I125" s="407">
        <f t="shared" si="12"/>
        <v>-0.61152399999999973</v>
      </c>
      <c r="J125" s="407">
        <f t="shared" si="12"/>
        <v>-0.71731765199999942</v>
      </c>
      <c r="K125" s="589">
        <f t="shared" si="11"/>
        <v>-2.1108416519999991</v>
      </c>
    </row>
    <row r="126" spans="7:11" customFormat="1" x14ac:dyDescent="0.25">
      <c r="G126" s="589">
        <f t="shared" si="8"/>
        <v>-0.7799999999999998</v>
      </c>
      <c r="H126" s="407">
        <f t="shared" si="12"/>
        <v>-0.7799999999999998</v>
      </c>
      <c r="I126" s="407">
        <f t="shared" si="12"/>
        <v>-0.60839999999999972</v>
      </c>
      <c r="J126" s="407">
        <f t="shared" si="12"/>
        <v>-0.71182799999999935</v>
      </c>
      <c r="K126" s="589">
        <f t="shared" si="11"/>
        <v>-2.1002279999999987</v>
      </c>
    </row>
    <row r="127" spans="7:11" customFormat="1" x14ac:dyDescent="0.25">
      <c r="G127" s="589">
        <f t="shared" si="8"/>
        <v>-0.7779999999999998</v>
      </c>
      <c r="H127" s="407">
        <f t="shared" si="12"/>
        <v>-0.7779999999999998</v>
      </c>
      <c r="I127" s="407">
        <f t="shared" si="12"/>
        <v>-0.60528399999999971</v>
      </c>
      <c r="J127" s="407">
        <f t="shared" si="12"/>
        <v>-0.70636642799999949</v>
      </c>
      <c r="K127" s="589">
        <f t="shared" si="11"/>
        <v>-2.0896504279999988</v>
      </c>
    </row>
    <row r="128" spans="7:11" customFormat="1" x14ac:dyDescent="0.25">
      <c r="G128" s="589">
        <f t="shared" si="8"/>
        <v>-0.7759999999999998</v>
      </c>
      <c r="H128" s="407">
        <f t="shared" si="12"/>
        <v>-0.7759999999999998</v>
      </c>
      <c r="I128" s="407">
        <f t="shared" si="12"/>
        <v>-0.60217599999999971</v>
      </c>
      <c r="J128" s="407">
        <f t="shared" si="12"/>
        <v>-0.70093286399999954</v>
      </c>
      <c r="K128" s="589">
        <f t="shared" si="11"/>
        <v>-2.0791088639999988</v>
      </c>
    </row>
    <row r="129" spans="7:11" customFormat="1" x14ac:dyDescent="0.25">
      <c r="G129" s="589">
        <f t="shared" si="8"/>
        <v>-0.7739999999999998</v>
      </c>
      <c r="H129" s="407">
        <f t="shared" si="12"/>
        <v>-0.7739999999999998</v>
      </c>
      <c r="I129" s="407">
        <f t="shared" si="12"/>
        <v>-0.59907599999999972</v>
      </c>
      <c r="J129" s="407">
        <f t="shared" si="12"/>
        <v>-0.69552723599999944</v>
      </c>
      <c r="K129" s="589">
        <f t="shared" si="11"/>
        <v>-2.0686032359999991</v>
      </c>
    </row>
    <row r="130" spans="7:11" customFormat="1" x14ac:dyDescent="0.25">
      <c r="G130" s="589">
        <f t="shared" si="8"/>
        <v>-0.7719999999999998</v>
      </c>
      <c r="H130" s="407">
        <f t="shared" si="12"/>
        <v>-0.7719999999999998</v>
      </c>
      <c r="I130" s="407">
        <f t="shared" si="12"/>
        <v>-0.59598399999999974</v>
      </c>
      <c r="J130" s="407">
        <f t="shared" si="12"/>
        <v>-0.69014947199999954</v>
      </c>
      <c r="K130" s="589">
        <f t="shared" si="11"/>
        <v>-2.0581334719999989</v>
      </c>
    </row>
    <row r="131" spans="7:11" customFormat="1" x14ac:dyDescent="0.25">
      <c r="G131" s="589">
        <f t="shared" si="8"/>
        <v>-0.7699999999999998</v>
      </c>
      <c r="H131" s="407">
        <f t="shared" si="12"/>
        <v>-0.7699999999999998</v>
      </c>
      <c r="I131" s="407">
        <f t="shared" si="12"/>
        <v>-0.59289999999999965</v>
      </c>
      <c r="J131" s="407">
        <f t="shared" si="12"/>
        <v>-0.68479949999999945</v>
      </c>
      <c r="K131" s="589">
        <f t="shared" si="11"/>
        <v>-2.0476994999999989</v>
      </c>
    </row>
    <row r="132" spans="7:11" customFormat="1" x14ac:dyDescent="0.25">
      <c r="G132" s="589">
        <f t="shared" si="8"/>
        <v>-0.76799999999999979</v>
      </c>
      <c r="H132" s="407">
        <f t="shared" si="12"/>
        <v>-0.76799999999999979</v>
      </c>
      <c r="I132" s="407">
        <f t="shared" si="12"/>
        <v>-0.58982399999999968</v>
      </c>
      <c r="J132" s="407">
        <f t="shared" si="12"/>
        <v>-0.67947724799999942</v>
      </c>
      <c r="K132" s="589">
        <f t="shared" si="11"/>
        <v>-2.037301247999999</v>
      </c>
    </row>
    <row r="133" spans="7:11" customFormat="1" x14ac:dyDescent="0.25">
      <c r="G133" s="589">
        <f t="shared" si="8"/>
        <v>-0.76599999999999979</v>
      </c>
      <c r="H133" s="407">
        <f t="shared" si="12"/>
        <v>-0.76599999999999979</v>
      </c>
      <c r="I133" s="407">
        <f t="shared" si="12"/>
        <v>-0.58675599999999972</v>
      </c>
      <c r="J133" s="407">
        <f t="shared" si="12"/>
        <v>-0.6741826439999995</v>
      </c>
      <c r="K133" s="589">
        <f t="shared" si="11"/>
        <v>-2.026938643999999</v>
      </c>
    </row>
    <row r="134" spans="7:11" customFormat="1" x14ac:dyDescent="0.25">
      <c r="G134" s="589">
        <f t="shared" si="8"/>
        <v>-0.76399999999999979</v>
      </c>
      <c r="H134" s="407">
        <f t="shared" si="12"/>
        <v>-0.76399999999999979</v>
      </c>
      <c r="I134" s="407">
        <f t="shared" si="12"/>
        <v>-0.58369599999999966</v>
      </c>
      <c r="J134" s="407">
        <f t="shared" si="12"/>
        <v>-0.66891561599999949</v>
      </c>
      <c r="K134" s="589">
        <f t="shared" si="11"/>
        <v>-2.0166116159999992</v>
      </c>
    </row>
    <row r="135" spans="7:11" customFormat="1" x14ac:dyDescent="0.25">
      <c r="G135" s="589">
        <f t="shared" si="8"/>
        <v>-0.76199999999999979</v>
      </c>
      <c r="H135" s="407">
        <f t="shared" si="12"/>
        <v>-0.76199999999999979</v>
      </c>
      <c r="I135" s="407">
        <f t="shared" si="12"/>
        <v>-0.58064399999999972</v>
      </c>
      <c r="J135" s="407">
        <f t="shared" si="12"/>
        <v>-0.66367609199999955</v>
      </c>
      <c r="K135" s="589">
        <f t="shared" si="11"/>
        <v>-2.0063200919999993</v>
      </c>
    </row>
    <row r="136" spans="7:11" customFormat="1" x14ac:dyDescent="0.25">
      <c r="G136" s="589">
        <f t="shared" si="8"/>
        <v>-0.75999999999999979</v>
      </c>
      <c r="H136" s="407">
        <f t="shared" si="12"/>
        <v>-0.75999999999999979</v>
      </c>
      <c r="I136" s="407">
        <f t="shared" si="12"/>
        <v>-0.57759999999999967</v>
      </c>
      <c r="J136" s="407">
        <f t="shared" si="12"/>
        <v>-0.65846399999999949</v>
      </c>
      <c r="K136" s="589">
        <f t="shared" si="11"/>
        <v>-1.996063999999999</v>
      </c>
    </row>
    <row r="137" spans="7:11" customFormat="1" x14ac:dyDescent="0.25">
      <c r="G137" s="589">
        <f t="shared" si="8"/>
        <v>-0.75799999999999979</v>
      </c>
      <c r="H137" s="407">
        <f t="shared" si="12"/>
        <v>-0.75799999999999979</v>
      </c>
      <c r="I137" s="407">
        <f t="shared" si="12"/>
        <v>-0.57456399999999963</v>
      </c>
      <c r="J137" s="407">
        <f t="shared" si="12"/>
        <v>-0.65327926799999936</v>
      </c>
      <c r="K137" s="589">
        <f t="shared" si="11"/>
        <v>-1.9858432679999987</v>
      </c>
    </row>
    <row r="138" spans="7:11" customFormat="1" x14ac:dyDescent="0.25">
      <c r="G138" s="589">
        <f t="shared" si="8"/>
        <v>-0.75599999999999978</v>
      </c>
      <c r="H138" s="407">
        <f t="shared" si="12"/>
        <v>-0.75599999999999978</v>
      </c>
      <c r="I138" s="407">
        <f t="shared" si="12"/>
        <v>-0.57153599999999971</v>
      </c>
      <c r="J138" s="407">
        <f t="shared" si="12"/>
        <v>-0.64812182399999951</v>
      </c>
      <c r="K138" s="589">
        <f t="shared" si="11"/>
        <v>-1.9756578239999989</v>
      </c>
    </row>
    <row r="139" spans="7:11" customFormat="1" x14ac:dyDescent="0.25">
      <c r="G139" s="589">
        <f t="shared" si="8"/>
        <v>-0.75399999999999978</v>
      </c>
      <c r="H139" s="407">
        <f t="shared" si="12"/>
        <v>-0.75399999999999978</v>
      </c>
      <c r="I139" s="407">
        <f t="shared" si="12"/>
        <v>-0.56851599999999969</v>
      </c>
      <c r="J139" s="407">
        <f t="shared" si="12"/>
        <v>-0.64299159599999944</v>
      </c>
      <c r="K139" s="589">
        <f t="shared" si="11"/>
        <v>-1.9655075959999988</v>
      </c>
    </row>
    <row r="140" spans="7:11" customFormat="1" x14ac:dyDescent="0.25">
      <c r="G140" s="589">
        <f t="shared" si="8"/>
        <v>-0.75199999999999978</v>
      </c>
      <c r="H140" s="407">
        <f t="shared" si="12"/>
        <v>-0.75199999999999978</v>
      </c>
      <c r="I140" s="407">
        <f t="shared" si="12"/>
        <v>-0.56550399999999967</v>
      </c>
      <c r="J140" s="407">
        <f t="shared" si="12"/>
        <v>-0.63788851199999941</v>
      </c>
      <c r="K140" s="589">
        <f t="shared" si="11"/>
        <v>-1.9553925119999991</v>
      </c>
    </row>
    <row r="141" spans="7:11" customFormat="1" x14ac:dyDescent="0.25">
      <c r="G141" s="589">
        <f t="shared" si="8"/>
        <v>-0.74999999999999978</v>
      </c>
      <c r="H141" s="407">
        <f t="shared" si="12"/>
        <v>-0.74999999999999978</v>
      </c>
      <c r="I141" s="407">
        <f t="shared" si="12"/>
        <v>-0.56249999999999967</v>
      </c>
      <c r="J141" s="407">
        <f t="shared" si="12"/>
        <v>-0.63281249999999944</v>
      </c>
      <c r="K141" s="589">
        <f t="shared" si="11"/>
        <v>-1.9453124999999991</v>
      </c>
    </row>
    <row r="142" spans="7:11" customFormat="1" x14ac:dyDescent="0.25">
      <c r="G142" s="589">
        <f t="shared" si="8"/>
        <v>-0.74799999999999978</v>
      </c>
      <c r="H142" s="407">
        <f t="shared" si="12"/>
        <v>-0.74799999999999978</v>
      </c>
      <c r="I142" s="407">
        <f t="shared" si="12"/>
        <v>-0.55950399999999967</v>
      </c>
      <c r="J142" s="407">
        <f t="shared" si="12"/>
        <v>-0.62776348799999948</v>
      </c>
      <c r="K142" s="589">
        <f t="shared" si="11"/>
        <v>-1.9352674879999987</v>
      </c>
    </row>
    <row r="143" spans="7:11" customFormat="1" x14ac:dyDescent="0.25">
      <c r="G143" s="589">
        <f t="shared" si="8"/>
        <v>-0.74599999999999977</v>
      </c>
      <c r="H143" s="407">
        <f t="shared" si="12"/>
        <v>-0.74599999999999977</v>
      </c>
      <c r="I143" s="407">
        <f t="shared" si="12"/>
        <v>-0.55651599999999968</v>
      </c>
      <c r="J143" s="407">
        <f t="shared" si="12"/>
        <v>-0.62274140399999944</v>
      </c>
      <c r="K143" s="589">
        <f t="shared" si="11"/>
        <v>-1.9252574039999988</v>
      </c>
    </row>
    <row r="144" spans="7:11" customFormat="1" x14ac:dyDescent="0.25">
      <c r="G144" s="589">
        <f t="shared" si="8"/>
        <v>-0.74399999999999977</v>
      </c>
      <c r="H144" s="407">
        <f t="shared" si="12"/>
        <v>-0.74399999999999977</v>
      </c>
      <c r="I144" s="407">
        <f t="shared" si="12"/>
        <v>-0.55353599999999969</v>
      </c>
      <c r="J144" s="407">
        <f t="shared" si="12"/>
        <v>-0.61774617599999948</v>
      </c>
      <c r="K144" s="589">
        <f t="shared" si="11"/>
        <v>-1.9152821759999989</v>
      </c>
    </row>
    <row r="145" spans="7:11" customFormat="1" x14ac:dyDescent="0.25">
      <c r="G145" s="589">
        <f t="shared" ref="G145:G208" si="13">G144+$K$14</f>
        <v>-0.74199999999999977</v>
      </c>
      <c r="H145" s="407">
        <f t="shared" si="12"/>
        <v>-0.74199999999999977</v>
      </c>
      <c r="I145" s="407">
        <f t="shared" si="12"/>
        <v>-0.55056399999999961</v>
      </c>
      <c r="J145" s="407">
        <f t="shared" si="12"/>
        <v>-0.6127777319999993</v>
      </c>
      <c r="K145" s="589">
        <f t="shared" si="11"/>
        <v>-1.9053417319999988</v>
      </c>
    </row>
    <row r="146" spans="7:11" customFormat="1" x14ac:dyDescent="0.25">
      <c r="G146" s="589">
        <f t="shared" si="13"/>
        <v>-0.73999999999999977</v>
      </c>
      <c r="H146" s="407">
        <f t="shared" si="12"/>
        <v>-0.73999999999999977</v>
      </c>
      <c r="I146" s="407">
        <f t="shared" si="12"/>
        <v>-0.54759999999999964</v>
      </c>
      <c r="J146" s="407">
        <f t="shared" si="12"/>
        <v>-0.60783599999999938</v>
      </c>
      <c r="K146" s="589">
        <f t="shared" si="11"/>
        <v>-1.8954359999999988</v>
      </c>
    </row>
    <row r="147" spans="7:11" customFormat="1" x14ac:dyDescent="0.25">
      <c r="G147" s="589">
        <f t="shared" si="13"/>
        <v>-0.73799999999999977</v>
      </c>
      <c r="H147" s="407">
        <f t="shared" si="12"/>
        <v>-0.73799999999999977</v>
      </c>
      <c r="I147" s="407">
        <f t="shared" si="12"/>
        <v>-0.54464399999999968</v>
      </c>
      <c r="J147" s="407">
        <f t="shared" si="12"/>
        <v>-0.60292090799999942</v>
      </c>
      <c r="K147" s="589">
        <f t="shared" si="11"/>
        <v>-1.8855649079999988</v>
      </c>
    </row>
    <row r="148" spans="7:11" customFormat="1" x14ac:dyDescent="0.25">
      <c r="G148" s="589">
        <f t="shared" si="13"/>
        <v>-0.73599999999999977</v>
      </c>
      <c r="H148" s="407">
        <f t="shared" si="12"/>
        <v>-0.73599999999999977</v>
      </c>
      <c r="I148" s="407">
        <f t="shared" si="12"/>
        <v>-0.54169599999999962</v>
      </c>
      <c r="J148" s="407">
        <f t="shared" si="12"/>
        <v>-0.59803238399999936</v>
      </c>
      <c r="K148" s="589">
        <f t="shared" si="11"/>
        <v>-1.8757283839999985</v>
      </c>
    </row>
    <row r="149" spans="7:11" customFormat="1" x14ac:dyDescent="0.25">
      <c r="G149" s="589">
        <f t="shared" si="13"/>
        <v>-0.73399999999999976</v>
      </c>
      <c r="H149" s="407">
        <f t="shared" si="12"/>
        <v>-0.73399999999999976</v>
      </c>
      <c r="I149" s="407">
        <f t="shared" si="12"/>
        <v>-0.53875599999999968</v>
      </c>
      <c r="J149" s="407">
        <f t="shared" si="12"/>
        <v>-0.59317035599999945</v>
      </c>
      <c r="K149" s="589">
        <f t="shared" si="11"/>
        <v>-1.8659263559999988</v>
      </c>
    </row>
    <row r="150" spans="7:11" customFormat="1" x14ac:dyDescent="0.25">
      <c r="G150" s="589">
        <f t="shared" si="13"/>
        <v>-0.73199999999999976</v>
      </c>
      <c r="H150" s="407">
        <f t="shared" si="12"/>
        <v>-0.73199999999999976</v>
      </c>
      <c r="I150" s="407">
        <f t="shared" si="12"/>
        <v>-0.53582399999999963</v>
      </c>
      <c r="J150" s="407">
        <f t="shared" si="12"/>
        <v>-0.58833475199999941</v>
      </c>
      <c r="K150" s="589">
        <f t="shared" si="11"/>
        <v>-1.8561587519999989</v>
      </c>
    </row>
    <row r="151" spans="7:11" customFormat="1" x14ac:dyDescent="0.25">
      <c r="G151" s="589">
        <f t="shared" si="13"/>
        <v>-0.72999999999999976</v>
      </c>
      <c r="H151" s="407">
        <f t="shared" si="12"/>
        <v>-0.72999999999999976</v>
      </c>
      <c r="I151" s="407">
        <f t="shared" si="12"/>
        <v>-0.5328999999999996</v>
      </c>
      <c r="J151" s="407">
        <f t="shared" si="12"/>
        <v>-0.58352549999999936</v>
      </c>
      <c r="K151" s="589">
        <f t="shared" si="11"/>
        <v>-1.8464254999999987</v>
      </c>
    </row>
    <row r="152" spans="7:11" customFormat="1" x14ac:dyDescent="0.25">
      <c r="G152" s="589">
        <f t="shared" si="13"/>
        <v>-0.72799999999999976</v>
      </c>
      <c r="H152" s="407">
        <f t="shared" si="12"/>
        <v>-0.72799999999999976</v>
      </c>
      <c r="I152" s="407">
        <f t="shared" si="12"/>
        <v>-0.52998399999999968</v>
      </c>
      <c r="J152" s="407">
        <f t="shared" si="12"/>
        <v>-0.57874252799999948</v>
      </c>
      <c r="K152" s="589">
        <f t="shared" si="11"/>
        <v>-1.8367265279999989</v>
      </c>
    </row>
    <row r="153" spans="7:11" customFormat="1" x14ac:dyDescent="0.25">
      <c r="G153" s="589">
        <f t="shared" si="13"/>
        <v>-0.72599999999999976</v>
      </c>
      <c r="H153" s="407">
        <f t="shared" si="12"/>
        <v>-0.72599999999999976</v>
      </c>
      <c r="I153" s="407">
        <f t="shared" si="12"/>
        <v>-0.52707599999999966</v>
      </c>
      <c r="J153" s="407">
        <f t="shared" si="12"/>
        <v>-0.57398576399999934</v>
      </c>
      <c r="K153" s="589">
        <f t="shared" si="11"/>
        <v>-1.8270617639999989</v>
      </c>
    </row>
    <row r="154" spans="7:11" customFormat="1" x14ac:dyDescent="0.25">
      <c r="G154" s="589">
        <f t="shared" si="13"/>
        <v>-0.72399999999999975</v>
      </c>
      <c r="H154" s="407">
        <f t="shared" si="12"/>
        <v>-0.72399999999999975</v>
      </c>
      <c r="I154" s="407">
        <f t="shared" si="12"/>
        <v>-0.52417599999999964</v>
      </c>
      <c r="J154" s="407">
        <f t="shared" si="12"/>
        <v>-0.56925513599999944</v>
      </c>
      <c r="K154" s="589">
        <f t="shared" si="11"/>
        <v>-1.8174311359999988</v>
      </c>
    </row>
    <row r="155" spans="7:11" customFormat="1" x14ac:dyDescent="0.25">
      <c r="G155" s="589">
        <f t="shared" si="13"/>
        <v>-0.72199999999999975</v>
      </c>
      <c r="H155" s="407">
        <f t="shared" si="12"/>
        <v>-0.72199999999999975</v>
      </c>
      <c r="I155" s="407">
        <f t="shared" si="12"/>
        <v>-0.52128399999999964</v>
      </c>
      <c r="J155" s="407">
        <f t="shared" si="12"/>
        <v>-0.56455057199999936</v>
      </c>
      <c r="K155" s="589">
        <f t="shared" si="11"/>
        <v>-1.8078345719999986</v>
      </c>
    </row>
    <row r="156" spans="7:11" customFormat="1" x14ac:dyDescent="0.25">
      <c r="G156" s="589">
        <f t="shared" si="13"/>
        <v>-0.71999999999999975</v>
      </c>
      <c r="H156" s="407">
        <f t="shared" si="12"/>
        <v>-0.71999999999999975</v>
      </c>
      <c r="I156" s="407">
        <f t="shared" si="12"/>
        <v>-0.51839999999999964</v>
      </c>
      <c r="J156" s="407">
        <f t="shared" si="12"/>
        <v>-0.55987199999999948</v>
      </c>
      <c r="K156" s="589">
        <f t="shared" si="11"/>
        <v>-1.798271999999999</v>
      </c>
    </row>
    <row r="157" spans="7:11" customFormat="1" x14ac:dyDescent="0.25">
      <c r="G157" s="589">
        <f t="shared" si="13"/>
        <v>-0.71799999999999975</v>
      </c>
      <c r="H157" s="407">
        <f t="shared" si="12"/>
        <v>-0.71799999999999975</v>
      </c>
      <c r="I157" s="407">
        <f t="shared" si="12"/>
        <v>-0.51552399999999965</v>
      </c>
      <c r="J157" s="407">
        <f t="shared" si="12"/>
        <v>-0.5552193479999995</v>
      </c>
      <c r="K157" s="589">
        <f t="shared" si="11"/>
        <v>-1.7887433479999988</v>
      </c>
    </row>
    <row r="158" spans="7:11" customFormat="1" x14ac:dyDescent="0.25">
      <c r="G158" s="589">
        <f t="shared" si="13"/>
        <v>-0.71599999999999975</v>
      </c>
      <c r="H158" s="407">
        <f t="shared" si="12"/>
        <v>-0.71599999999999975</v>
      </c>
      <c r="I158" s="407">
        <f t="shared" si="12"/>
        <v>-0.51265599999999967</v>
      </c>
      <c r="J158" s="407">
        <f t="shared" si="12"/>
        <v>-0.55059254399999946</v>
      </c>
      <c r="K158" s="589">
        <f t="shared" si="11"/>
        <v>-1.779248543999999</v>
      </c>
    </row>
    <row r="159" spans="7:11" customFormat="1" x14ac:dyDescent="0.25">
      <c r="G159" s="589">
        <f t="shared" si="13"/>
        <v>-0.71399999999999975</v>
      </c>
      <c r="H159" s="407">
        <f t="shared" si="12"/>
        <v>-0.71399999999999975</v>
      </c>
      <c r="I159" s="407">
        <f t="shared" si="12"/>
        <v>-0.50979599999999958</v>
      </c>
      <c r="J159" s="407">
        <f t="shared" si="12"/>
        <v>-0.5459915159999994</v>
      </c>
      <c r="K159" s="589">
        <f t="shared" si="11"/>
        <v>-1.7697875159999987</v>
      </c>
    </row>
    <row r="160" spans="7:11" customFormat="1" x14ac:dyDescent="0.25">
      <c r="G160" s="589">
        <f t="shared" si="13"/>
        <v>-0.71199999999999974</v>
      </c>
      <c r="H160" s="407">
        <f t="shared" si="12"/>
        <v>-0.71199999999999974</v>
      </c>
      <c r="I160" s="407">
        <f t="shared" si="12"/>
        <v>-0.50694399999999962</v>
      </c>
      <c r="J160" s="407">
        <f t="shared" si="12"/>
        <v>-0.54141619199999935</v>
      </c>
      <c r="K160" s="589">
        <f t="shared" si="11"/>
        <v>-1.7603601919999987</v>
      </c>
    </row>
    <row r="161" spans="7:11" customFormat="1" x14ac:dyDescent="0.25">
      <c r="G161" s="589">
        <f t="shared" si="13"/>
        <v>-0.70999999999999974</v>
      </c>
      <c r="H161" s="407">
        <f t="shared" si="12"/>
        <v>-0.70999999999999974</v>
      </c>
      <c r="I161" s="407">
        <f t="shared" si="12"/>
        <v>-0.50409999999999966</v>
      </c>
      <c r="J161" s="407">
        <f t="shared" si="12"/>
        <v>-0.53686649999999947</v>
      </c>
      <c r="K161" s="589">
        <f t="shared" si="11"/>
        <v>-1.7509664999999988</v>
      </c>
    </row>
    <row r="162" spans="7:11" customFormat="1" x14ac:dyDescent="0.25">
      <c r="G162" s="589">
        <f t="shared" si="13"/>
        <v>-0.70799999999999974</v>
      </c>
      <c r="H162" s="407">
        <f t="shared" si="12"/>
        <v>-0.70799999999999974</v>
      </c>
      <c r="I162" s="407">
        <f t="shared" si="12"/>
        <v>-0.5012639999999996</v>
      </c>
      <c r="J162" s="407">
        <f t="shared" si="12"/>
        <v>-0.53234236799999934</v>
      </c>
      <c r="K162" s="589">
        <f t="shared" si="11"/>
        <v>-1.7416063679999985</v>
      </c>
    </row>
    <row r="163" spans="7:11" customFormat="1" x14ac:dyDescent="0.25">
      <c r="G163" s="589">
        <f t="shared" si="13"/>
        <v>-0.70599999999999974</v>
      </c>
      <c r="H163" s="407">
        <f t="shared" si="12"/>
        <v>-0.70599999999999974</v>
      </c>
      <c r="I163" s="407">
        <f t="shared" si="12"/>
        <v>-0.49843599999999966</v>
      </c>
      <c r="J163" s="407">
        <f t="shared" si="12"/>
        <v>-0.52784372399999946</v>
      </c>
      <c r="K163" s="589">
        <f t="shared" si="11"/>
        <v>-1.7322797239999987</v>
      </c>
    </row>
    <row r="164" spans="7:11" customFormat="1" x14ac:dyDescent="0.25">
      <c r="G164" s="589">
        <f t="shared" si="13"/>
        <v>-0.70399999999999974</v>
      </c>
      <c r="H164" s="407">
        <f t="shared" si="12"/>
        <v>-0.70399999999999974</v>
      </c>
      <c r="I164" s="407">
        <f t="shared" si="12"/>
        <v>-0.49561599999999961</v>
      </c>
      <c r="J164" s="407">
        <f t="shared" si="12"/>
        <v>-0.52337049599999941</v>
      </c>
      <c r="K164" s="589">
        <f t="shared" si="11"/>
        <v>-1.7229864959999988</v>
      </c>
    </row>
    <row r="165" spans="7:11" customFormat="1" x14ac:dyDescent="0.25">
      <c r="G165" s="589">
        <f t="shared" si="13"/>
        <v>-0.70199999999999974</v>
      </c>
      <c r="H165" s="407">
        <f t="shared" si="12"/>
        <v>-0.70199999999999974</v>
      </c>
      <c r="I165" s="407">
        <f t="shared" si="12"/>
        <v>-0.49280399999999963</v>
      </c>
      <c r="J165" s="407">
        <f t="shared" si="12"/>
        <v>-0.51892261199999934</v>
      </c>
      <c r="K165" s="589">
        <f t="shared" si="11"/>
        <v>-1.7137266119999985</v>
      </c>
    </row>
    <row r="166" spans="7:11" customFormat="1" x14ac:dyDescent="0.25">
      <c r="G166" s="589">
        <f t="shared" si="13"/>
        <v>-0.69999999999999973</v>
      </c>
      <c r="H166" s="407">
        <f t="shared" si="12"/>
        <v>-0.69999999999999973</v>
      </c>
      <c r="I166" s="407">
        <f t="shared" si="12"/>
        <v>-0.4899999999999996</v>
      </c>
      <c r="J166" s="407">
        <f t="shared" si="12"/>
        <v>-0.5144999999999994</v>
      </c>
      <c r="K166" s="589">
        <f t="shared" si="11"/>
        <v>-1.7044999999999986</v>
      </c>
    </row>
    <row r="167" spans="7:11" customFormat="1" x14ac:dyDescent="0.25">
      <c r="G167" s="589">
        <f t="shared" si="13"/>
        <v>-0.69799999999999973</v>
      </c>
      <c r="H167" s="407">
        <f t="shared" si="12"/>
        <v>-0.69799999999999973</v>
      </c>
      <c r="I167" s="407">
        <f t="shared" si="12"/>
        <v>-0.48720399999999964</v>
      </c>
      <c r="J167" s="407">
        <f t="shared" si="12"/>
        <v>-0.51010258799999941</v>
      </c>
      <c r="K167" s="589">
        <f t="shared" si="11"/>
        <v>-1.6953065879999987</v>
      </c>
    </row>
    <row r="168" spans="7:11" customFormat="1" x14ac:dyDescent="0.25">
      <c r="G168" s="589">
        <f t="shared" si="13"/>
        <v>-0.69599999999999973</v>
      </c>
      <c r="H168" s="407">
        <f t="shared" si="12"/>
        <v>-0.69599999999999973</v>
      </c>
      <c r="I168" s="407">
        <f t="shared" si="12"/>
        <v>-0.48441599999999962</v>
      </c>
      <c r="J168" s="407">
        <f t="shared" si="12"/>
        <v>-0.50573030399999941</v>
      </c>
      <c r="K168" s="589">
        <f t="shared" si="11"/>
        <v>-1.6861463039999987</v>
      </c>
    </row>
    <row r="169" spans="7:11" customFormat="1" x14ac:dyDescent="0.25">
      <c r="G169" s="589">
        <f t="shared" si="13"/>
        <v>-0.69399999999999973</v>
      </c>
      <c r="H169" s="407">
        <f t="shared" si="12"/>
        <v>-0.69399999999999973</v>
      </c>
      <c r="I169" s="407">
        <f t="shared" si="12"/>
        <v>-0.48163599999999962</v>
      </c>
      <c r="J169" s="407">
        <f t="shared" si="12"/>
        <v>-0.50138307599999943</v>
      </c>
      <c r="K169" s="589">
        <f t="shared" si="11"/>
        <v>-1.6770190759999988</v>
      </c>
    </row>
    <row r="170" spans="7:11" customFormat="1" x14ac:dyDescent="0.25">
      <c r="G170" s="589">
        <f t="shared" si="13"/>
        <v>-0.69199999999999973</v>
      </c>
      <c r="H170" s="407">
        <f t="shared" si="12"/>
        <v>-0.69199999999999973</v>
      </c>
      <c r="I170" s="407">
        <f t="shared" si="12"/>
        <v>-0.47886399999999962</v>
      </c>
      <c r="J170" s="407">
        <f t="shared" si="12"/>
        <v>-0.4970608319999994</v>
      </c>
      <c r="K170" s="589">
        <f t="shared" si="11"/>
        <v>-1.6679248319999989</v>
      </c>
    </row>
    <row r="171" spans="7:11" customFormat="1" x14ac:dyDescent="0.25">
      <c r="G171" s="589">
        <f t="shared" si="13"/>
        <v>-0.68999999999999972</v>
      </c>
      <c r="H171" s="407">
        <f t="shared" si="12"/>
        <v>-0.68999999999999972</v>
      </c>
      <c r="I171" s="407">
        <f t="shared" si="12"/>
        <v>-0.47609999999999963</v>
      </c>
      <c r="J171" s="407">
        <f t="shared" si="12"/>
        <v>-0.49276349999999941</v>
      </c>
      <c r="K171" s="589">
        <f t="shared" si="11"/>
        <v>-1.6588634999999987</v>
      </c>
    </row>
    <row r="172" spans="7:11" customFormat="1" x14ac:dyDescent="0.25">
      <c r="G172" s="589">
        <f t="shared" si="13"/>
        <v>-0.68799999999999972</v>
      </c>
      <c r="H172" s="407">
        <f t="shared" si="12"/>
        <v>-0.68799999999999972</v>
      </c>
      <c r="I172" s="407">
        <f t="shared" si="12"/>
        <v>-0.4733439999999996</v>
      </c>
      <c r="J172" s="407">
        <f t="shared" si="12"/>
        <v>-0.48849100799999939</v>
      </c>
      <c r="K172" s="589">
        <f t="shared" si="11"/>
        <v>-1.6498350079999986</v>
      </c>
    </row>
    <row r="173" spans="7:11" customFormat="1" x14ac:dyDescent="0.25">
      <c r="G173" s="589">
        <f t="shared" si="13"/>
        <v>-0.68599999999999972</v>
      </c>
      <c r="H173" s="407">
        <f t="shared" si="12"/>
        <v>-0.68599999999999972</v>
      </c>
      <c r="I173" s="407">
        <f t="shared" si="12"/>
        <v>-0.47059599999999963</v>
      </c>
      <c r="J173" s="407">
        <f t="shared" si="12"/>
        <v>-0.48424328399999944</v>
      </c>
      <c r="K173" s="589">
        <f t="shared" si="11"/>
        <v>-1.6408392839999988</v>
      </c>
    </row>
    <row r="174" spans="7:11" customFormat="1" x14ac:dyDescent="0.25">
      <c r="G174" s="589">
        <f t="shared" si="13"/>
        <v>-0.68399999999999972</v>
      </c>
      <c r="H174" s="407">
        <f t="shared" si="12"/>
        <v>-0.68399999999999972</v>
      </c>
      <c r="I174" s="407">
        <f t="shared" si="12"/>
        <v>-0.46785599999999961</v>
      </c>
      <c r="J174" s="407">
        <f t="shared" si="12"/>
        <v>-0.48002025599999937</v>
      </c>
      <c r="K174" s="589">
        <f t="shared" si="11"/>
        <v>-1.6318762559999986</v>
      </c>
    </row>
    <row r="175" spans="7:11" customFormat="1" x14ac:dyDescent="0.25">
      <c r="G175" s="589">
        <f t="shared" si="13"/>
        <v>-0.68199999999999972</v>
      </c>
      <c r="H175" s="407">
        <f t="shared" si="12"/>
        <v>-0.68199999999999972</v>
      </c>
      <c r="I175" s="407">
        <f t="shared" si="12"/>
        <v>-0.46512399999999959</v>
      </c>
      <c r="J175" s="407">
        <f t="shared" si="12"/>
        <v>-0.47582185199999943</v>
      </c>
      <c r="K175" s="589">
        <f t="shared" si="11"/>
        <v>-1.6229458519999989</v>
      </c>
    </row>
    <row r="176" spans="7:11" customFormat="1" x14ac:dyDescent="0.25">
      <c r="G176" s="589">
        <f t="shared" si="13"/>
        <v>-0.67999999999999972</v>
      </c>
      <c r="H176" s="407">
        <f t="shared" si="12"/>
        <v>-0.67999999999999972</v>
      </c>
      <c r="I176" s="407">
        <f t="shared" si="12"/>
        <v>-0.46239999999999959</v>
      </c>
      <c r="J176" s="407">
        <f t="shared" si="12"/>
        <v>-0.4716479999999994</v>
      </c>
      <c r="K176" s="589">
        <f t="shared" si="11"/>
        <v>-1.6140479999999988</v>
      </c>
    </row>
    <row r="177" spans="7:11" customFormat="1" x14ac:dyDescent="0.25">
      <c r="G177" s="589">
        <f t="shared" si="13"/>
        <v>-0.67799999999999971</v>
      </c>
      <c r="H177" s="407">
        <f t="shared" si="12"/>
        <v>-0.67799999999999971</v>
      </c>
      <c r="I177" s="407">
        <f t="shared" si="12"/>
        <v>-0.45968399999999959</v>
      </c>
      <c r="J177" s="407">
        <f t="shared" si="12"/>
        <v>-0.46749862799999936</v>
      </c>
      <c r="K177" s="589">
        <f t="shared" si="11"/>
        <v>-1.6051826279999986</v>
      </c>
    </row>
    <row r="178" spans="7:11" customFormat="1" x14ac:dyDescent="0.25">
      <c r="G178" s="589">
        <f t="shared" si="13"/>
        <v>-0.67599999999999971</v>
      </c>
      <c r="H178" s="407">
        <f t="shared" si="12"/>
        <v>-0.67599999999999971</v>
      </c>
      <c r="I178" s="407">
        <f t="shared" si="12"/>
        <v>-0.4569759999999996</v>
      </c>
      <c r="J178" s="407">
        <f t="shared" si="12"/>
        <v>-0.46337366399999941</v>
      </c>
      <c r="K178" s="589">
        <f t="shared" si="11"/>
        <v>-1.5963496639999988</v>
      </c>
    </row>
    <row r="179" spans="7:11" customFormat="1" x14ac:dyDescent="0.25">
      <c r="G179" s="589">
        <f t="shared" si="13"/>
        <v>-0.67399999999999971</v>
      </c>
      <c r="H179" s="407">
        <f t="shared" si="12"/>
        <v>-0.67399999999999971</v>
      </c>
      <c r="I179" s="407">
        <f t="shared" si="12"/>
        <v>-0.45427599999999962</v>
      </c>
      <c r="J179" s="407">
        <f t="shared" si="12"/>
        <v>-0.45927303599999941</v>
      </c>
      <c r="K179" s="589">
        <f t="shared" si="11"/>
        <v>-1.5875490359999989</v>
      </c>
    </row>
    <row r="180" spans="7:11" customFormat="1" x14ac:dyDescent="0.25">
      <c r="G180" s="589">
        <f t="shared" si="13"/>
        <v>-0.67199999999999971</v>
      </c>
      <c r="H180" s="407">
        <f t="shared" si="12"/>
        <v>-0.67199999999999971</v>
      </c>
      <c r="I180" s="407">
        <f t="shared" si="12"/>
        <v>-0.4515839999999996</v>
      </c>
      <c r="J180" s="407">
        <f t="shared" si="12"/>
        <v>-0.45519667199999941</v>
      </c>
      <c r="K180" s="589">
        <f t="shared" si="11"/>
        <v>-1.5787806719999986</v>
      </c>
    </row>
    <row r="181" spans="7:11" customFormat="1" x14ac:dyDescent="0.25">
      <c r="G181" s="589">
        <f t="shared" si="13"/>
        <v>-0.66999999999999971</v>
      </c>
      <c r="H181" s="407">
        <f t="shared" si="12"/>
        <v>-0.66999999999999971</v>
      </c>
      <c r="I181" s="407">
        <f t="shared" si="12"/>
        <v>-0.44889999999999963</v>
      </c>
      <c r="J181" s="407">
        <f t="shared" si="12"/>
        <v>-0.45114449999999939</v>
      </c>
      <c r="K181" s="589">
        <f t="shared" ref="K181:K244" si="14">SUM(H181:J181)</f>
        <v>-1.5700444999999987</v>
      </c>
    </row>
    <row r="182" spans="7:11" customFormat="1" x14ac:dyDescent="0.25">
      <c r="G182" s="589">
        <f t="shared" si="13"/>
        <v>-0.66799999999999971</v>
      </c>
      <c r="H182" s="407">
        <f t="shared" si="12"/>
        <v>-0.66799999999999971</v>
      </c>
      <c r="I182" s="407">
        <f t="shared" si="12"/>
        <v>-0.44622399999999962</v>
      </c>
      <c r="J182" s="407">
        <f t="shared" si="12"/>
        <v>-0.44711644799999939</v>
      </c>
      <c r="K182" s="589">
        <f t="shared" si="14"/>
        <v>-1.5613404479999986</v>
      </c>
    </row>
    <row r="183" spans="7:11" customFormat="1" x14ac:dyDescent="0.25">
      <c r="G183" s="589">
        <f t="shared" si="13"/>
        <v>-0.6659999999999997</v>
      </c>
      <c r="H183" s="407">
        <f t="shared" si="12"/>
        <v>-0.6659999999999997</v>
      </c>
      <c r="I183" s="407">
        <f t="shared" si="12"/>
        <v>-0.44355599999999962</v>
      </c>
      <c r="J183" s="407">
        <f t="shared" si="12"/>
        <v>-0.44311244399999944</v>
      </c>
      <c r="K183" s="589">
        <f t="shared" si="14"/>
        <v>-1.5526684439999987</v>
      </c>
    </row>
    <row r="184" spans="7:11" customFormat="1" x14ac:dyDescent="0.25">
      <c r="G184" s="589">
        <f t="shared" si="13"/>
        <v>-0.6639999999999997</v>
      </c>
      <c r="H184" s="407">
        <f t="shared" si="12"/>
        <v>-0.6639999999999997</v>
      </c>
      <c r="I184" s="407">
        <f t="shared" si="12"/>
        <v>-0.44089599999999962</v>
      </c>
      <c r="J184" s="407">
        <f t="shared" si="12"/>
        <v>-0.43913241599999941</v>
      </c>
      <c r="K184" s="589">
        <f t="shared" si="14"/>
        <v>-1.5440284159999986</v>
      </c>
    </row>
    <row r="185" spans="7:11" customFormat="1" x14ac:dyDescent="0.25">
      <c r="G185" s="589">
        <f t="shared" si="13"/>
        <v>-0.6619999999999997</v>
      </c>
      <c r="H185" s="407">
        <f t="shared" si="12"/>
        <v>-0.6619999999999997</v>
      </c>
      <c r="I185" s="407">
        <f t="shared" si="12"/>
        <v>-0.43824399999999958</v>
      </c>
      <c r="J185" s="407">
        <f t="shared" si="12"/>
        <v>-0.43517629199999935</v>
      </c>
      <c r="K185" s="589">
        <f t="shared" si="14"/>
        <v>-1.5354202919999986</v>
      </c>
    </row>
    <row r="186" spans="7:11" customFormat="1" x14ac:dyDescent="0.25">
      <c r="G186" s="589">
        <f t="shared" si="13"/>
        <v>-0.6599999999999997</v>
      </c>
      <c r="H186" s="407">
        <f t="shared" ref="H186:J249" si="15">($G186^H$15*(-H$15)^(-1+H$15))/FACT(H$15)</f>
        <v>-0.6599999999999997</v>
      </c>
      <c r="I186" s="407">
        <f t="shared" si="15"/>
        <v>-0.4355999999999996</v>
      </c>
      <c r="J186" s="407">
        <f t="shared" si="15"/>
        <v>-0.43124399999999935</v>
      </c>
      <c r="K186" s="589">
        <f t="shared" si="14"/>
        <v>-1.5268439999999985</v>
      </c>
    </row>
    <row r="187" spans="7:11" customFormat="1" x14ac:dyDescent="0.25">
      <c r="G187" s="589">
        <f t="shared" si="13"/>
        <v>-0.6579999999999997</v>
      </c>
      <c r="H187" s="407">
        <f t="shared" si="15"/>
        <v>-0.6579999999999997</v>
      </c>
      <c r="I187" s="407">
        <f t="shared" si="15"/>
        <v>-0.43296399999999963</v>
      </c>
      <c r="J187" s="407">
        <f t="shared" si="15"/>
        <v>-0.42733546799999944</v>
      </c>
      <c r="K187" s="589">
        <f t="shared" si="14"/>
        <v>-1.5182994679999988</v>
      </c>
    </row>
    <row r="188" spans="7:11" customFormat="1" x14ac:dyDescent="0.25">
      <c r="G188" s="589">
        <f t="shared" si="13"/>
        <v>-0.65599999999999969</v>
      </c>
      <c r="H188" s="407">
        <f t="shared" si="15"/>
        <v>-0.65599999999999969</v>
      </c>
      <c r="I188" s="407">
        <f t="shared" si="15"/>
        <v>-0.43033599999999961</v>
      </c>
      <c r="J188" s="407">
        <f t="shared" si="15"/>
        <v>-0.42345062399999939</v>
      </c>
      <c r="K188" s="589">
        <f t="shared" si="14"/>
        <v>-1.5097866239999986</v>
      </c>
    </row>
    <row r="189" spans="7:11" customFormat="1" x14ac:dyDescent="0.25">
      <c r="G189" s="589">
        <f t="shared" si="13"/>
        <v>-0.65399999999999969</v>
      </c>
      <c r="H189" s="407">
        <f t="shared" si="15"/>
        <v>-0.65399999999999969</v>
      </c>
      <c r="I189" s="407">
        <f t="shared" si="15"/>
        <v>-0.4277159999999996</v>
      </c>
      <c r="J189" s="407">
        <f t="shared" si="15"/>
        <v>-0.41958939599999945</v>
      </c>
      <c r="K189" s="589">
        <f t="shared" si="14"/>
        <v>-1.5013053959999987</v>
      </c>
    </row>
    <row r="190" spans="7:11" customFormat="1" x14ac:dyDescent="0.25">
      <c r="G190" s="589">
        <f t="shared" si="13"/>
        <v>-0.65199999999999969</v>
      </c>
      <c r="H190" s="407">
        <f t="shared" si="15"/>
        <v>-0.65199999999999969</v>
      </c>
      <c r="I190" s="407">
        <f t="shared" si="15"/>
        <v>-0.42510399999999959</v>
      </c>
      <c r="J190" s="407">
        <f t="shared" si="15"/>
        <v>-0.41575171199999944</v>
      </c>
      <c r="K190" s="589">
        <f t="shared" si="14"/>
        <v>-1.4928557119999988</v>
      </c>
    </row>
    <row r="191" spans="7:11" customFormat="1" x14ac:dyDescent="0.25">
      <c r="G191" s="589">
        <f t="shared" si="13"/>
        <v>-0.64999999999999969</v>
      </c>
      <c r="H191" s="407">
        <f t="shared" si="15"/>
        <v>-0.64999999999999969</v>
      </c>
      <c r="I191" s="407">
        <f t="shared" si="15"/>
        <v>-0.4224999999999996</v>
      </c>
      <c r="J191" s="407">
        <f t="shared" si="15"/>
        <v>-0.4119374999999994</v>
      </c>
      <c r="K191" s="589">
        <f t="shared" si="14"/>
        <v>-1.4844374999999987</v>
      </c>
    </row>
    <row r="192" spans="7:11" customFormat="1" x14ac:dyDescent="0.25">
      <c r="G192" s="589">
        <f t="shared" si="13"/>
        <v>-0.64799999999999969</v>
      </c>
      <c r="H192" s="407">
        <f t="shared" si="15"/>
        <v>-0.64799999999999969</v>
      </c>
      <c r="I192" s="407">
        <f t="shared" si="15"/>
        <v>-0.41990399999999961</v>
      </c>
      <c r="J192" s="407">
        <f t="shared" si="15"/>
        <v>-0.40814668799999937</v>
      </c>
      <c r="K192" s="589">
        <f t="shared" si="14"/>
        <v>-1.4760506879999986</v>
      </c>
    </row>
    <row r="193" spans="7:11" customFormat="1" x14ac:dyDescent="0.25">
      <c r="G193" s="589">
        <f t="shared" si="13"/>
        <v>-0.64599999999999969</v>
      </c>
      <c r="H193" s="407">
        <f t="shared" si="15"/>
        <v>-0.64599999999999969</v>
      </c>
      <c r="I193" s="407">
        <f t="shared" si="15"/>
        <v>-0.41731599999999958</v>
      </c>
      <c r="J193" s="407">
        <f t="shared" si="15"/>
        <v>-0.40437920399999938</v>
      </c>
      <c r="K193" s="589">
        <f t="shared" si="14"/>
        <v>-1.4676952039999986</v>
      </c>
    </row>
    <row r="194" spans="7:11" customFormat="1" x14ac:dyDescent="0.25">
      <c r="G194" s="589">
        <f t="shared" si="13"/>
        <v>-0.64399999999999968</v>
      </c>
      <c r="H194" s="407">
        <f t="shared" si="15"/>
        <v>-0.64399999999999968</v>
      </c>
      <c r="I194" s="407">
        <f t="shared" si="15"/>
        <v>-0.4147359999999996</v>
      </c>
      <c r="J194" s="407">
        <f t="shared" si="15"/>
        <v>-0.40063497599999942</v>
      </c>
      <c r="K194" s="589">
        <f t="shared" si="14"/>
        <v>-1.4593709759999987</v>
      </c>
    </row>
    <row r="195" spans="7:11" customFormat="1" x14ac:dyDescent="0.25">
      <c r="G195" s="589">
        <f t="shared" si="13"/>
        <v>-0.64199999999999968</v>
      </c>
      <c r="H195" s="407">
        <f t="shared" si="15"/>
        <v>-0.64199999999999968</v>
      </c>
      <c r="I195" s="407">
        <f t="shared" si="15"/>
        <v>-0.41216399999999959</v>
      </c>
      <c r="J195" s="407">
        <f t="shared" si="15"/>
        <v>-0.39691393199999941</v>
      </c>
      <c r="K195" s="589">
        <f t="shared" si="14"/>
        <v>-1.4510779319999987</v>
      </c>
    </row>
    <row r="196" spans="7:11" customFormat="1" x14ac:dyDescent="0.25">
      <c r="G196" s="589">
        <f t="shared" si="13"/>
        <v>-0.63999999999999968</v>
      </c>
      <c r="H196" s="407">
        <f t="shared" si="15"/>
        <v>-0.63999999999999968</v>
      </c>
      <c r="I196" s="407">
        <f t="shared" si="15"/>
        <v>-0.40959999999999958</v>
      </c>
      <c r="J196" s="407">
        <f t="shared" si="15"/>
        <v>-0.3932159999999994</v>
      </c>
      <c r="K196" s="589">
        <f t="shared" si="14"/>
        <v>-1.4428159999999985</v>
      </c>
    </row>
    <row r="197" spans="7:11" customFormat="1" x14ac:dyDescent="0.25">
      <c r="G197" s="589">
        <f t="shared" si="13"/>
        <v>-0.63799999999999968</v>
      </c>
      <c r="H197" s="407">
        <f t="shared" si="15"/>
        <v>-0.63799999999999968</v>
      </c>
      <c r="I197" s="407">
        <f t="shared" si="15"/>
        <v>-0.40704399999999957</v>
      </c>
      <c r="J197" s="407">
        <f t="shared" si="15"/>
        <v>-0.38954110799999936</v>
      </c>
      <c r="K197" s="589">
        <f t="shared" si="14"/>
        <v>-1.4345851079999985</v>
      </c>
    </row>
    <row r="198" spans="7:11" customFormat="1" x14ac:dyDescent="0.25">
      <c r="G198" s="589">
        <f t="shared" si="13"/>
        <v>-0.63599999999999968</v>
      </c>
      <c r="H198" s="407">
        <f t="shared" si="15"/>
        <v>-0.63599999999999968</v>
      </c>
      <c r="I198" s="407">
        <f t="shared" si="15"/>
        <v>-0.40449599999999958</v>
      </c>
      <c r="J198" s="407">
        <f t="shared" si="15"/>
        <v>-0.38588918399999939</v>
      </c>
      <c r="K198" s="589">
        <f t="shared" si="14"/>
        <v>-1.4263851839999986</v>
      </c>
    </row>
    <row r="199" spans="7:11" customFormat="1" x14ac:dyDescent="0.25">
      <c r="G199" s="589">
        <f t="shared" si="13"/>
        <v>-0.63399999999999967</v>
      </c>
      <c r="H199" s="407">
        <f t="shared" si="15"/>
        <v>-0.63399999999999967</v>
      </c>
      <c r="I199" s="407">
        <f t="shared" si="15"/>
        <v>-0.40195599999999959</v>
      </c>
      <c r="J199" s="407">
        <f t="shared" si="15"/>
        <v>-0.38226015599999941</v>
      </c>
      <c r="K199" s="589">
        <f t="shared" si="14"/>
        <v>-1.4182161559999986</v>
      </c>
    </row>
    <row r="200" spans="7:11" customFormat="1" x14ac:dyDescent="0.25">
      <c r="G200" s="589">
        <f t="shared" si="13"/>
        <v>-0.63199999999999967</v>
      </c>
      <c r="H200" s="407">
        <f t="shared" si="15"/>
        <v>-0.63199999999999967</v>
      </c>
      <c r="I200" s="407">
        <f t="shared" si="15"/>
        <v>-0.39942399999999961</v>
      </c>
      <c r="J200" s="407">
        <f t="shared" si="15"/>
        <v>-0.37865395199999941</v>
      </c>
      <c r="K200" s="589">
        <f t="shared" si="14"/>
        <v>-1.4100779519999986</v>
      </c>
    </row>
    <row r="201" spans="7:11" customFormat="1" x14ac:dyDescent="0.25">
      <c r="G201" s="589">
        <f t="shared" si="13"/>
        <v>-0.62999999999999967</v>
      </c>
      <c r="H201" s="407">
        <f t="shared" si="15"/>
        <v>-0.62999999999999967</v>
      </c>
      <c r="I201" s="407">
        <f t="shared" si="15"/>
        <v>-0.39689999999999959</v>
      </c>
      <c r="J201" s="407">
        <f t="shared" si="15"/>
        <v>-0.37507049999999942</v>
      </c>
      <c r="K201" s="589">
        <f t="shared" si="14"/>
        <v>-1.4019704999999987</v>
      </c>
    </row>
    <row r="202" spans="7:11" customFormat="1" x14ac:dyDescent="0.25">
      <c r="G202" s="589">
        <f t="shared" si="13"/>
        <v>-0.62799999999999967</v>
      </c>
      <c r="H202" s="407">
        <f t="shared" si="15"/>
        <v>-0.62799999999999967</v>
      </c>
      <c r="I202" s="407">
        <f t="shared" si="15"/>
        <v>-0.39438399999999957</v>
      </c>
      <c r="J202" s="407">
        <f t="shared" si="15"/>
        <v>-0.37150972799999943</v>
      </c>
      <c r="K202" s="589">
        <f t="shared" si="14"/>
        <v>-1.3938937279999988</v>
      </c>
    </row>
    <row r="203" spans="7:11" customFormat="1" x14ac:dyDescent="0.25">
      <c r="G203" s="589">
        <f t="shared" si="13"/>
        <v>-0.62599999999999967</v>
      </c>
      <c r="H203" s="407">
        <f t="shared" si="15"/>
        <v>-0.62599999999999967</v>
      </c>
      <c r="I203" s="407">
        <f t="shared" si="15"/>
        <v>-0.39187599999999956</v>
      </c>
      <c r="J203" s="407">
        <f t="shared" si="15"/>
        <v>-0.36797156399999936</v>
      </c>
      <c r="K203" s="589">
        <f t="shared" si="14"/>
        <v>-1.3858475639999988</v>
      </c>
    </row>
    <row r="204" spans="7:11" customFormat="1" x14ac:dyDescent="0.25">
      <c r="G204" s="589">
        <f t="shared" si="13"/>
        <v>-0.62399999999999967</v>
      </c>
      <c r="H204" s="407">
        <f t="shared" si="15"/>
        <v>-0.62399999999999967</v>
      </c>
      <c r="I204" s="407">
        <f t="shared" si="15"/>
        <v>-0.38937599999999956</v>
      </c>
      <c r="J204" s="407">
        <f t="shared" si="15"/>
        <v>-0.36445593599999943</v>
      </c>
      <c r="K204" s="589">
        <f t="shared" si="14"/>
        <v>-1.3778319359999986</v>
      </c>
    </row>
    <row r="205" spans="7:11" customFormat="1" x14ac:dyDescent="0.25">
      <c r="G205" s="589">
        <f t="shared" si="13"/>
        <v>-0.62199999999999966</v>
      </c>
      <c r="H205" s="407">
        <f t="shared" si="15"/>
        <v>-0.62199999999999966</v>
      </c>
      <c r="I205" s="407">
        <f t="shared" si="15"/>
        <v>-0.38688399999999956</v>
      </c>
      <c r="J205" s="407">
        <f t="shared" si="15"/>
        <v>-0.36096277199999943</v>
      </c>
      <c r="K205" s="589">
        <f t="shared" si="14"/>
        <v>-1.3698467719999987</v>
      </c>
    </row>
    <row r="206" spans="7:11" customFormat="1" x14ac:dyDescent="0.25">
      <c r="G206" s="589">
        <f t="shared" si="13"/>
        <v>-0.61999999999999966</v>
      </c>
      <c r="H206" s="407">
        <f t="shared" si="15"/>
        <v>-0.61999999999999966</v>
      </c>
      <c r="I206" s="407">
        <f t="shared" si="15"/>
        <v>-0.38439999999999958</v>
      </c>
      <c r="J206" s="407">
        <f t="shared" si="15"/>
        <v>-0.35749199999999942</v>
      </c>
      <c r="K206" s="589">
        <f t="shared" si="14"/>
        <v>-1.3618919999999988</v>
      </c>
    </row>
    <row r="207" spans="7:11" customFormat="1" x14ac:dyDescent="0.25">
      <c r="G207" s="589">
        <f t="shared" si="13"/>
        <v>-0.61799999999999966</v>
      </c>
      <c r="H207" s="407">
        <f t="shared" si="15"/>
        <v>-0.61799999999999966</v>
      </c>
      <c r="I207" s="407">
        <f t="shared" si="15"/>
        <v>-0.3819239999999996</v>
      </c>
      <c r="J207" s="407">
        <f t="shared" si="15"/>
        <v>-0.35404354799999943</v>
      </c>
      <c r="K207" s="589">
        <f t="shared" si="14"/>
        <v>-1.3539675479999986</v>
      </c>
    </row>
    <row r="208" spans="7:11" customFormat="1" x14ac:dyDescent="0.25">
      <c r="G208" s="589">
        <f t="shared" si="13"/>
        <v>-0.61599999999999966</v>
      </c>
      <c r="H208" s="407">
        <f t="shared" si="15"/>
        <v>-0.61599999999999966</v>
      </c>
      <c r="I208" s="407">
        <f t="shared" si="15"/>
        <v>-0.37945599999999957</v>
      </c>
      <c r="J208" s="407">
        <f t="shared" si="15"/>
        <v>-0.35061734399999939</v>
      </c>
      <c r="K208" s="589">
        <f t="shared" si="14"/>
        <v>-1.3460733439999986</v>
      </c>
    </row>
    <row r="209" spans="7:11" customFormat="1" x14ac:dyDescent="0.25">
      <c r="G209" s="589">
        <f t="shared" ref="G209:G272" si="16">G208+$K$14</f>
        <v>-0.61399999999999966</v>
      </c>
      <c r="H209" s="407">
        <f t="shared" si="15"/>
        <v>-0.61399999999999966</v>
      </c>
      <c r="I209" s="407">
        <f t="shared" si="15"/>
        <v>-0.37699599999999955</v>
      </c>
      <c r="J209" s="407">
        <f t="shared" si="15"/>
        <v>-0.34721331599999933</v>
      </c>
      <c r="K209" s="589">
        <f t="shared" si="14"/>
        <v>-1.3382093159999986</v>
      </c>
    </row>
    <row r="210" spans="7:11" customFormat="1" x14ac:dyDescent="0.25">
      <c r="G210" s="589">
        <f t="shared" si="16"/>
        <v>-0.61199999999999966</v>
      </c>
      <c r="H210" s="407">
        <f t="shared" si="15"/>
        <v>-0.61199999999999966</v>
      </c>
      <c r="I210" s="407">
        <f t="shared" si="15"/>
        <v>-0.3745439999999996</v>
      </c>
      <c r="J210" s="407">
        <f t="shared" si="15"/>
        <v>-0.3438313919999994</v>
      </c>
      <c r="K210" s="589">
        <f t="shared" si="14"/>
        <v>-1.3303753919999985</v>
      </c>
    </row>
    <row r="211" spans="7:11" customFormat="1" x14ac:dyDescent="0.25">
      <c r="G211" s="589">
        <f t="shared" si="16"/>
        <v>-0.60999999999999965</v>
      </c>
      <c r="H211" s="407">
        <f t="shared" si="15"/>
        <v>-0.60999999999999965</v>
      </c>
      <c r="I211" s="407">
        <f t="shared" si="15"/>
        <v>-0.3720999999999996</v>
      </c>
      <c r="J211" s="407">
        <f t="shared" si="15"/>
        <v>-0.34047149999999943</v>
      </c>
      <c r="K211" s="589">
        <f t="shared" si="14"/>
        <v>-1.3225714999999987</v>
      </c>
    </row>
    <row r="212" spans="7:11" customFormat="1" x14ac:dyDescent="0.25">
      <c r="G212" s="589">
        <f t="shared" si="16"/>
        <v>-0.60799999999999965</v>
      </c>
      <c r="H212" s="407">
        <f t="shared" si="15"/>
        <v>-0.60799999999999965</v>
      </c>
      <c r="I212" s="407">
        <f t="shared" si="15"/>
        <v>-0.3696639999999996</v>
      </c>
      <c r="J212" s="407">
        <f t="shared" si="15"/>
        <v>-0.33713356799999944</v>
      </c>
      <c r="K212" s="589">
        <f t="shared" si="14"/>
        <v>-1.3147975679999986</v>
      </c>
    </row>
    <row r="213" spans="7:11" customFormat="1" x14ac:dyDescent="0.25">
      <c r="G213" s="589">
        <f t="shared" si="16"/>
        <v>-0.60599999999999965</v>
      </c>
      <c r="H213" s="407">
        <f t="shared" si="15"/>
        <v>-0.60599999999999965</v>
      </c>
      <c r="I213" s="407">
        <f t="shared" si="15"/>
        <v>-0.36723599999999956</v>
      </c>
      <c r="J213" s="407">
        <f t="shared" si="15"/>
        <v>-0.33381752399999942</v>
      </c>
      <c r="K213" s="589">
        <f t="shared" si="14"/>
        <v>-1.3070535239999987</v>
      </c>
    </row>
    <row r="214" spans="7:11" customFormat="1" x14ac:dyDescent="0.25">
      <c r="G214" s="589">
        <f t="shared" si="16"/>
        <v>-0.60399999999999965</v>
      </c>
      <c r="H214" s="407">
        <f t="shared" si="15"/>
        <v>-0.60399999999999965</v>
      </c>
      <c r="I214" s="407">
        <f t="shared" si="15"/>
        <v>-0.36481599999999959</v>
      </c>
      <c r="J214" s="407">
        <f t="shared" si="15"/>
        <v>-0.33052329599999941</v>
      </c>
      <c r="K214" s="589">
        <f t="shared" si="14"/>
        <v>-1.2993392959999985</v>
      </c>
    </row>
    <row r="215" spans="7:11" customFormat="1" x14ac:dyDescent="0.25">
      <c r="G215" s="589">
        <f t="shared" si="16"/>
        <v>-0.60199999999999965</v>
      </c>
      <c r="H215" s="407">
        <f t="shared" si="15"/>
        <v>-0.60199999999999965</v>
      </c>
      <c r="I215" s="407">
        <f t="shared" si="15"/>
        <v>-0.36240399999999956</v>
      </c>
      <c r="J215" s="407">
        <f t="shared" si="15"/>
        <v>-0.32725081199999945</v>
      </c>
      <c r="K215" s="589">
        <f t="shared" si="14"/>
        <v>-1.2916548119999987</v>
      </c>
    </row>
    <row r="216" spans="7:11" customFormat="1" x14ac:dyDescent="0.25">
      <c r="G216" s="589">
        <f t="shared" si="16"/>
        <v>-0.59999999999999964</v>
      </c>
      <c r="H216" s="407">
        <f t="shared" si="15"/>
        <v>-0.59999999999999964</v>
      </c>
      <c r="I216" s="407">
        <f t="shared" si="15"/>
        <v>-0.3599999999999996</v>
      </c>
      <c r="J216" s="407">
        <f t="shared" si="15"/>
        <v>-0.32399999999999946</v>
      </c>
      <c r="K216" s="589">
        <f t="shared" si="14"/>
        <v>-1.2839999999999987</v>
      </c>
    </row>
    <row r="217" spans="7:11" customFormat="1" x14ac:dyDescent="0.25">
      <c r="G217" s="589">
        <f t="shared" si="16"/>
        <v>-0.59799999999999964</v>
      </c>
      <c r="H217" s="407">
        <f t="shared" si="15"/>
        <v>-0.59799999999999964</v>
      </c>
      <c r="I217" s="407">
        <f t="shared" si="15"/>
        <v>-0.35760399999999959</v>
      </c>
      <c r="J217" s="407">
        <f t="shared" si="15"/>
        <v>-0.32077078799999942</v>
      </c>
      <c r="K217" s="589">
        <f t="shared" si="14"/>
        <v>-1.2763747879999987</v>
      </c>
    </row>
    <row r="218" spans="7:11" customFormat="1" x14ac:dyDescent="0.25">
      <c r="G218" s="589">
        <f t="shared" si="16"/>
        <v>-0.59599999999999964</v>
      </c>
      <c r="H218" s="407">
        <f t="shared" si="15"/>
        <v>-0.59599999999999964</v>
      </c>
      <c r="I218" s="407">
        <f t="shared" si="15"/>
        <v>-0.35521599999999959</v>
      </c>
      <c r="J218" s="407">
        <f t="shared" si="15"/>
        <v>-0.31756310399999943</v>
      </c>
      <c r="K218" s="589">
        <f t="shared" si="14"/>
        <v>-1.2687791039999987</v>
      </c>
    </row>
    <row r="219" spans="7:11" customFormat="1" x14ac:dyDescent="0.25">
      <c r="G219" s="589">
        <f t="shared" si="16"/>
        <v>-0.59399999999999964</v>
      </c>
      <c r="H219" s="407">
        <f t="shared" si="15"/>
        <v>-0.59399999999999964</v>
      </c>
      <c r="I219" s="407">
        <f t="shared" si="15"/>
        <v>-0.35283599999999959</v>
      </c>
      <c r="J219" s="407">
        <f t="shared" si="15"/>
        <v>-0.31437687599999947</v>
      </c>
      <c r="K219" s="589">
        <f t="shared" si="14"/>
        <v>-1.2612128759999988</v>
      </c>
    </row>
    <row r="220" spans="7:11" customFormat="1" x14ac:dyDescent="0.25">
      <c r="G220" s="589">
        <f t="shared" si="16"/>
        <v>-0.59199999999999964</v>
      </c>
      <c r="H220" s="407">
        <f t="shared" si="15"/>
        <v>-0.59199999999999964</v>
      </c>
      <c r="I220" s="407">
        <f t="shared" si="15"/>
        <v>-0.35046399999999955</v>
      </c>
      <c r="J220" s="407">
        <f t="shared" si="15"/>
        <v>-0.31121203199999942</v>
      </c>
      <c r="K220" s="589">
        <f t="shared" si="14"/>
        <v>-1.2536760319999987</v>
      </c>
    </row>
    <row r="221" spans="7:11" customFormat="1" x14ac:dyDescent="0.25">
      <c r="G221" s="589">
        <f t="shared" si="16"/>
        <v>-0.58999999999999964</v>
      </c>
      <c r="H221" s="407">
        <f t="shared" si="15"/>
        <v>-0.58999999999999964</v>
      </c>
      <c r="I221" s="407">
        <f t="shared" si="15"/>
        <v>-0.34809999999999958</v>
      </c>
      <c r="J221" s="407">
        <f t="shared" si="15"/>
        <v>-0.30806849999999941</v>
      </c>
      <c r="K221" s="589">
        <f t="shared" si="14"/>
        <v>-1.2461684999999987</v>
      </c>
    </row>
    <row r="222" spans="7:11" customFormat="1" x14ac:dyDescent="0.25">
      <c r="G222" s="589">
        <f t="shared" si="16"/>
        <v>-0.58799999999999963</v>
      </c>
      <c r="H222" s="407">
        <f t="shared" si="15"/>
        <v>-0.58799999999999963</v>
      </c>
      <c r="I222" s="407">
        <f t="shared" si="15"/>
        <v>-0.34574399999999955</v>
      </c>
      <c r="J222" s="407">
        <f t="shared" si="15"/>
        <v>-0.30494620799999944</v>
      </c>
      <c r="K222" s="589">
        <f t="shared" si="14"/>
        <v>-1.2386902079999986</v>
      </c>
    </row>
    <row r="223" spans="7:11" customFormat="1" x14ac:dyDescent="0.25">
      <c r="G223" s="589">
        <f t="shared" si="16"/>
        <v>-0.58599999999999963</v>
      </c>
      <c r="H223" s="407">
        <f t="shared" si="15"/>
        <v>-0.58599999999999963</v>
      </c>
      <c r="I223" s="407">
        <f t="shared" si="15"/>
        <v>-0.34339599999999959</v>
      </c>
      <c r="J223" s="407">
        <f t="shared" si="15"/>
        <v>-0.30184508399999943</v>
      </c>
      <c r="K223" s="589">
        <f t="shared" si="14"/>
        <v>-1.2312410839999988</v>
      </c>
    </row>
    <row r="224" spans="7:11" customFormat="1" x14ac:dyDescent="0.25">
      <c r="G224" s="589">
        <f t="shared" si="16"/>
        <v>-0.58399999999999963</v>
      </c>
      <c r="H224" s="407">
        <f t="shared" si="15"/>
        <v>-0.58399999999999963</v>
      </c>
      <c r="I224" s="407">
        <f t="shared" si="15"/>
        <v>-0.34105599999999958</v>
      </c>
      <c r="J224" s="407">
        <f t="shared" si="15"/>
        <v>-0.29876505599999942</v>
      </c>
      <c r="K224" s="589">
        <f t="shared" si="14"/>
        <v>-1.2238210559999987</v>
      </c>
    </row>
    <row r="225" spans="7:11" customFormat="1" x14ac:dyDescent="0.25">
      <c r="G225" s="589">
        <f t="shared" si="16"/>
        <v>-0.58199999999999963</v>
      </c>
      <c r="H225" s="407">
        <f t="shared" si="15"/>
        <v>-0.58199999999999963</v>
      </c>
      <c r="I225" s="407">
        <f t="shared" si="15"/>
        <v>-0.33872399999999958</v>
      </c>
      <c r="J225" s="407">
        <f t="shared" si="15"/>
        <v>-0.29570605199999944</v>
      </c>
      <c r="K225" s="589">
        <f t="shared" si="14"/>
        <v>-1.2164300519999987</v>
      </c>
    </row>
    <row r="226" spans="7:11" customFormat="1" x14ac:dyDescent="0.25">
      <c r="G226" s="589">
        <f t="shared" si="16"/>
        <v>-0.57999999999999963</v>
      </c>
      <c r="H226" s="407">
        <f t="shared" si="15"/>
        <v>-0.57999999999999963</v>
      </c>
      <c r="I226" s="407">
        <f t="shared" si="15"/>
        <v>-0.33639999999999959</v>
      </c>
      <c r="J226" s="407">
        <f t="shared" si="15"/>
        <v>-0.29266799999999948</v>
      </c>
      <c r="K226" s="589">
        <f t="shared" si="14"/>
        <v>-1.2090679999999987</v>
      </c>
    </row>
    <row r="227" spans="7:11" customFormat="1" x14ac:dyDescent="0.25">
      <c r="G227" s="589">
        <f t="shared" si="16"/>
        <v>-0.57799999999999963</v>
      </c>
      <c r="H227" s="407">
        <f t="shared" si="15"/>
        <v>-0.57799999999999963</v>
      </c>
      <c r="I227" s="407">
        <f t="shared" si="15"/>
        <v>-0.33408399999999955</v>
      </c>
      <c r="J227" s="407">
        <f t="shared" si="15"/>
        <v>-0.28965082799999942</v>
      </c>
      <c r="K227" s="589">
        <f t="shared" si="14"/>
        <v>-1.2017348279999986</v>
      </c>
    </row>
    <row r="228" spans="7:11" customFormat="1" x14ac:dyDescent="0.25">
      <c r="G228" s="589">
        <f t="shared" si="16"/>
        <v>-0.57599999999999962</v>
      </c>
      <c r="H228" s="407">
        <f t="shared" si="15"/>
        <v>-0.57599999999999962</v>
      </c>
      <c r="I228" s="407">
        <f t="shared" si="15"/>
        <v>-0.33177599999999957</v>
      </c>
      <c r="J228" s="407">
        <f t="shared" si="15"/>
        <v>-0.28665446399999944</v>
      </c>
      <c r="K228" s="589">
        <f t="shared" si="14"/>
        <v>-1.1944304639999987</v>
      </c>
    </row>
    <row r="229" spans="7:11" customFormat="1" x14ac:dyDescent="0.25">
      <c r="G229" s="589">
        <f t="shared" si="16"/>
        <v>-0.57399999999999962</v>
      </c>
      <c r="H229" s="407">
        <f t="shared" si="15"/>
        <v>-0.57399999999999962</v>
      </c>
      <c r="I229" s="407">
        <f t="shared" si="15"/>
        <v>-0.32947599999999955</v>
      </c>
      <c r="J229" s="407">
        <f t="shared" si="15"/>
        <v>-0.28367883599999943</v>
      </c>
      <c r="K229" s="589">
        <f t="shared" si="14"/>
        <v>-1.1871548359999986</v>
      </c>
    </row>
    <row r="230" spans="7:11" customFormat="1" x14ac:dyDescent="0.25">
      <c r="G230" s="589">
        <f t="shared" si="16"/>
        <v>-0.57199999999999962</v>
      </c>
      <c r="H230" s="407">
        <f t="shared" si="15"/>
        <v>-0.57199999999999962</v>
      </c>
      <c r="I230" s="407">
        <f t="shared" si="15"/>
        <v>-0.32718399999999959</v>
      </c>
      <c r="J230" s="407">
        <f t="shared" si="15"/>
        <v>-0.28072387199999943</v>
      </c>
      <c r="K230" s="589">
        <f t="shared" si="14"/>
        <v>-1.1799078719999987</v>
      </c>
    </row>
    <row r="231" spans="7:11" customFormat="1" x14ac:dyDescent="0.25">
      <c r="G231" s="589">
        <f t="shared" si="16"/>
        <v>-0.56999999999999962</v>
      </c>
      <c r="H231" s="407">
        <f t="shared" si="15"/>
        <v>-0.56999999999999962</v>
      </c>
      <c r="I231" s="407">
        <f t="shared" si="15"/>
        <v>-0.32489999999999958</v>
      </c>
      <c r="J231" s="407">
        <f t="shared" si="15"/>
        <v>-0.27778949999999947</v>
      </c>
      <c r="K231" s="589">
        <f t="shared" si="14"/>
        <v>-1.1726894999999986</v>
      </c>
    </row>
    <row r="232" spans="7:11" customFormat="1" x14ac:dyDescent="0.25">
      <c r="G232" s="589">
        <f t="shared" si="16"/>
        <v>-0.56799999999999962</v>
      </c>
      <c r="H232" s="407">
        <f t="shared" si="15"/>
        <v>-0.56799999999999962</v>
      </c>
      <c r="I232" s="407">
        <f t="shared" si="15"/>
        <v>-0.32262399999999958</v>
      </c>
      <c r="J232" s="407">
        <f t="shared" si="15"/>
        <v>-0.27487564799999947</v>
      </c>
      <c r="K232" s="589">
        <f t="shared" si="14"/>
        <v>-1.1654996479999986</v>
      </c>
    </row>
    <row r="233" spans="7:11" customFormat="1" x14ac:dyDescent="0.25">
      <c r="G233" s="589">
        <f t="shared" si="16"/>
        <v>-0.56599999999999961</v>
      </c>
      <c r="H233" s="407">
        <f t="shared" si="15"/>
        <v>-0.56599999999999961</v>
      </c>
      <c r="I233" s="407">
        <f t="shared" si="15"/>
        <v>-0.32035599999999959</v>
      </c>
      <c r="J233" s="407">
        <f t="shared" si="15"/>
        <v>-0.27198224399999943</v>
      </c>
      <c r="K233" s="589">
        <f t="shared" si="14"/>
        <v>-1.1583382439999987</v>
      </c>
    </row>
    <row r="234" spans="7:11" customFormat="1" x14ac:dyDescent="0.25">
      <c r="G234" s="589">
        <f t="shared" si="16"/>
        <v>-0.56399999999999961</v>
      </c>
      <c r="H234" s="407">
        <f t="shared" si="15"/>
        <v>-0.56399999999999961</v>
      </c>
      <c r="I234" s="407">
        <f t="shared" si="15"/>
        <v>-0.31809599999999955</v>
      </c>
      <c r="J234" s="407">
        <f t="shared" si="15"/>
        <v>-0.26910921599999943</v>
      </c>
      <c r="K234" s="589">
        <f t="shared" si="14"/>
        <v>-1.1512052159999986</v>
      </c>
    </row>
    <row r="235" spans="7:11" customFormat="1" x14ac:dyDescent="0.25">
      <c r="G235" s="589">
        <f t="shared" si="16"/>
        <v>-0.56199999999999961</v>
      </c>
      <c r="H235" s="407">
        <f t="shared" si="15"/>
        <v>-0.56199999999999961</v>
      </c>
      <c r="I235" s="407">
        <f t="shared" si="15"/>
        <v>-0.31584399999999957</v>
      </c>
      <c r="J235" s="407">
        <f t="shared" si="15"/>
        <v>-0.26625649199999946</v>
      </c>
      <c r="K235" s="589">
        <f t="shared" si="14"/>
        <v>-1.1441004919999986</v>
      </c>
    </row>
    <row r="236" spans="7:11" customFormat="1" x14ac:dyDescent="0.25">
      <c r="G236" s="589">
        <f t="shared" si="16"/>
        <v>-0.55999999999999961</v>
      </c>
      <c r="H236" s="407">
        <f t="shared" si="15"/>
        <v>-0.55999999999999961</v>
      </c>
      <c r="I236" s="407">
        <f t="shared" si="15"/>
        <v>-0.31359999999999955</v>
      </c>
      <c r="J236" s="407">
        <f t="shared" si="15"/>
        <v>-0.26342399999999944</v>
      </c>
      <c r="K236" s="589">
        <f t="shared" si="14"/>
        <v>-1.1370239999999985</v>
      </c>
    </row>
    <row r="237" spans="7:11" customFormat="1" x14ac:dyDescent="0.25">
      <c r="G237" s="589">
        <f t="shared" si="16"/>
        <v>-0.55799999999999961</v>
      </c>
      <c r="H237" s="407">
        <f t="shared" si="15"/>
        <v>-0.55799999999999961</v>
      </c>
      <c r="I237" s="407">
        <f t="shared" si="15"/>
        <v>-0.31136399999999959</v>
      </c>
      <c r="J237" s="407">
        <f t="shared" si="15"/>
        <v>-0.26061166799999946</v>
      </c>
      <c r="K237" s="589">
        <f t="shared" si="14"/>
        <v>-1.1299756679999986</v>
      </c>
    </row>
    <row r="238" spans="7:11" customFormat="1" x14ac:dyDescent="0.25">
      <c r="G238" s="589">
        <f t="shared" si="16"/>
        <v>-0.55599999999999961</v>
      </c>
      <c r="H238" s="407">
        <f t="shared" si="15"/>
        <v>-0.55599999999999961</v>
      </c>
      <c r="I238" s="407">
        <f t="shared" si="15"/>
        <v>-0.30913599999999958</v>
      </c>
      <c r="J238" s="407">
        <f t="shared" si="15"/>
        <v>-0.25781942399999946</v>
      </c>
      <c r="K238" s="589">
        <f t="shared" si="14"/>
        <v>-1.1229554239999988</v>
      </c>
    </row>
    <row r="239" spans="7:11" customFormat="1" x14ac:dyDescent="0.25">
      <c r="G239" s="589">
        <f t="shared" si="16"/>
        <v>-0.5539999999999996</v>
      </c>
      <c r="H239" s="407">
        <f t="shared" si="15"/>
        <v>-0.5539999999999996</v>
      </c>
      <c r="I239" s="407">
        <f t="shared" si="15"/>
        <v>-0.30691599999999958</v>
      </c>
      <c r="J239" s="407">
        <f t="shared" si="15"/>
        <v>-0.25504719599999942</v>
      </c>
      <c r="K239" s="589">
        <f t="shared" si="14"/>
        <v>-1.1159631959999985</v>
      </c>
    </row>
    <row r="240" spans="7:11" customFormat="1" x14ac:dyDescent="0.25">
      <c r="G240" s="589">
        <f t="shared" si="16"/>
        <v>-0.5519999999999996</v>
      </c>
      <c r="H240" s="407">
        <f t="shared" si="15"/>
        <v>-0.5519999999999996</v>
      </c>
      <c r="I240" s="407">
        <f t="shared" si="15"/>
        <v>-0.30470399999999959</v>
      </c>
      <c r="J240" s="407">
        <f t="shared" si="15"/>
        <v>-0.25229491199999948</v>
      </c>
      <c r="K240" s="589">
        <f t="shared" si="14"/>
        <v>-1.1089989119999988</v>
      </c>
    </row>
    <row r="241" spans="7:11" customFormat="1" x14ac:dyDescent="0.25">
      <c r="G241" s="589">
        <f t="shared" si="16"/>
        <v>-0.5499999999999996</v>
      </c>
      <c r="H241" s="407">
        <f t="shared" si="15"/>
        <v>-0.5499999999999996</v>
      </c>
      <c r="I241" s="407">
        <f t="shared" si="15"/>
        <v>-0.30249999999999955</v>
      </c>
      <c r="J241" s="407">
        <f t="shared" si="15"/>
        <v>-0.24956249999999947</v>
      </c>
      <c r="K241" s="589">
        <f t="shared" si="14"/>
        <v>-1.1020624999999986</v>
      </c>
    </row>
    <row r="242" spans="7:11" customFormat="1" x14ac:dyDescent="0.25">
      <c r="G242" s="589">
        <f t="shared" si="16"/>
        <v>-0.5479999999999996</v>
      </c>
      <c r="H242" s="407">
        <f t="shared" si="15"/>
        <v>-0.5479999999999996</v>
      </c>
      <c r="I242" s="407">
        <f t="shared" si="15"/>
        <v>-0.30030399999999957</v>
      </c>
      <c r="J242" s="407">
        <f t="shared" si="15"/>
        <v>-0.24684988799999949</v>
      </c>
      <c r="K242" s="589">
        <f t="shared" si="14"/>
        <v>-1.0951538879999987</v>
      </c>
    </row>
    <row r="243" spans="7:11" customFormat="1" x14ac:dyDescent="0.25">
      <c r="G243" s="589">
        <f t="shared" si="16"/>
        <v>-0.5459999999999996</v>
      </c>
      <c r="H243" s="407">
        <f t="shared" si="15"/>
        <v>-0.5459999999999996</v>
      </c>
      <c r="I243" s="407">
        <f t="shared" si="15"/>
        <v>-0.29811599999999955</v>
      </c>
      <c r="J243" s="407">
        <f t="shared" si="15"/>
        <v>-0.24415700399999943</v>
      </c>
      <c r="K243" s="589">
        <f t="shared" si="14"/>
        <v>-1.0882730039999986</v>
      </c>
    </row>
    <row r="244" spans="7:11" customFormat="1" x14ac:dyDescent="0.25">
      <c r="G244" s="589">
        <f t="shared" si="16"/>
        <v>-0.54399999999999959</v>
      </c>
      <c r="H244" s="407">
        <f t="shared" si="15"/>
        <v>-0.54399999999999959</v>
      </c>
      <c r="I244" s="407">
        <f t="shared" si="15"/>
        <v>-0.29593599999999953</v>
      </c>
      <c r="J244" s="407">
        <f t="shared" si="15"/>
        <v>-0.2414837759999994</v>
      </c>
      <c r="K244" s="589">
        <f t="shared" si="14"/>
        <v>-1.0814197759999986</v>
      </c>
    </row>
    <row r="245" spans="7:11" customFormat="1" x14ac:dyDescent="0.25">
      <c r="G245" s="589">
        <f t="shared" si="16"/>
        <v>-0.54199999999999959</v>
      </c>
      <c r="H245" s="407">
        <f t="shared" si="15"/>
        <v>-0.54199999999999959</v>
      </c>
      <c r="I245" s="407">
        <f t="shared" si="15"/>
        <v>-0.29376399999999958</v>
      </c>
      <c r="J245" s="407">
        <f t="shared" si="15"/>
        <v>-0.23883013199999947</v>
      </c>
      <c r="K245" s="589">
        <f t="shared" ref="K245:K308" si="17">SUM(H245:J245)</f>
        <v>-1.0745941319999988</v>
      </c>
    </row>
    <row r="246" spans="7:11" customFormat="1" x14ac:dyDescent="0.25">
      <c r="G246" s="589">
        <f t="shared" si="16"/>
        <v>-0.53999999999999959</v>
      </c>
      <c r="H246" s="407">
        <f t="shared" si="15"/>
        <v>-0.53999999999999959</v>
      </c>
      <c r="I246" s="407">
        <f t="shared" si="15"/>
        <v>-0.29159999999999958</v>
      </c>
      <c r="J246" s="407">
        <f t="shared" si="15"/>
        <v>-0.23619599999999949</v>
      </c>
      <c r="K246" s="589">
        <f t="shared" si="17"/>
        <v>-1.0677959999999986</v>
      </c>
    </row>
    <row r="247" spans="7:11" customFormat="1" x14ac:dyDescent="0.25">
      <c r="G247" s="589">
        <f t="shared" si="16"/>
        <v>-0.53799999999999959</v>
      </c>
      <c r="H247" s="407">
        <f t="shared" si="15"/>
        <v>-0.53799999999999959</v>
      </c>
      <c r="I247" s="407">
        <f t="shared" si="15"/>
        <v>-0.28944399999999953</v>
      </c>
      <c r="J247" s="407">
        <f t="shared" si="15"/>
        <v>-0.23358130799999943</v>
      </c>
      <c r="K247" s="589">
        <f t="shared" si="17"/>
        <v>-1.0610253079999987</v>
      </c>
    </row>
    <row r="248" spans="7:11" customFormat="1" x14ac:dyDescent="0.25">
      <c r="G248" s="589">
        <f t="shared" si="16"/>
        <v>-0.53599999999999959</v>
      </c>
      <c r="H248" s="407">
        <f t="shared" si="15"/>
        <v>-0.53599999999999959</v>
      </c>
      <c r="I248" s="407">
        <f t="shared" si="15"/>
        <v>-0.28729599999999955</v>
      </c>
      <c r="J248" s="407">
        <f t="shared" si="15"/>
        <v>-0.23098598399999948</v>
      </c>
      <c r="K248" s="589">
        <f t="shared" si="17"/>
        <v>-1.0542819839999986</v>
      </c>
    </row>
    <row r="249" spans="7:11" customFormat="1" x14ac:dyDescent="0.25">
      <c r="G249" s="589">
        <f t="shared" si="16"/>
        <v>-0.53399999999999959</v>
      </c>
      <c r="H249" s="407">
        <f t="shared" si="15"/>
        <v>-0.53399999999999959</v>
      </c>
      <c r="I249" s="407">
        <f t="shared" si="15"/>
        <v>-0.28515599999999958</v>
      </c>
      <c r="J249" s="407">
        <f t="shared" si="15"/>
        <v>-0.2284099559999995</v>
      </c>
      <c r="K249" s="589">
        <f t="shared" si="17"/>
        <v>-1.0475659559999986</v>
      </c>
    </row>
    <row r="250" spans="7:11" customFormat="1" x14ac:dyDescent="0.25">
      <c r="G250" s="589">
        <f t="shared" si="16"/>
        <v>-0.53199999999999958</v>
      </c>
      <c r="H250" s="407">
        <f t="shared" ref="H250:J313" si="18">($G250^H$15*(-H$15)^(-1+H$15))/FACT(H$15)</f>
        <v>-0.53199999999999958</v>
      </c>
      <c r="I250" s="407">
        <f t="shared" si="18"/>
        <v>-0.28302399999999955</v>
      </c>
      <c r="J250" s="407">
        <f t="shared" si="18"/>
        <v>-0.22585315199999947</v>
      </c>
      <c r="K250" s="589">
        <f t="shared" si="17"/>
        <v>-1.0408771519999986</v>
      </c>
    </row>
    <row r="251" spans="7:11" customFormat="1" x14ac:dyDescent="0.25">
      <c r="G251" s="589">
        <f t="shared" si="16"/>
        <v>-0.52999999999999958</v>
      </c>
      <c r="H251" s="407">
        <f t="shared" si="18"/>
        <v>-0.52999999999999958</v>
      </c>
      <c r="I251" s="407">
        <f t="shared" si="18"/>
        <v>-0.28089999999999954</v>
      </c>
      <c r="J251" s="407">
        <f t="shared" si="18"/>
        <v>-0.22331549999999947</v>
      </c>
      <c r="K251" s="589">
        <f t="shared" si="17"/>
        <v>-1.0342154999999986</v>
      </c>
    </row>
    <row r="252" spans="7:11" customFormat="1" x14ac:dyDescent="0.25">
      <c r="G252" s="589">
        <f t="shared" si="16"/>
        <v>-0.52799999999999958</v>
      </c>
      <c r="H252" s="407">
        <f t="shared" si="18"/>
        <v>-0.52799999999999958</v>
      </c>
      <c r="I252" s="407">
        <f t="shared" si="18"/>
        <v>-0.27878399999999953</v>
      </c>
      <c r="J252" s="407">
        <f t="shared" si="18"/>
        <v>-0.22079692799999942</v>
      </c>
      <c r="K252" s="589">
        <f t="shared" si="17"/>
        <v>-1.0275809279999986</v>
      </c>
    </row>
    <row r="253" spans="7:11" customFormat="1" x14ac:dyDescent="0.25">
      <c r="G253" s="589">
        <f t="shared" si="16"/>
        <v>-0.52599999999999958</v>
      </c>
      <c r="H253" s="407">
        <f t="shared" si="18"/>
        <v>-0.52599999999999958</v>
      </c>
      <c r="I253" s="407">
        <f t="shared" si="18"/>
        <v>-0.27667599999999953</v>
      </c>
      <c r="J253" s="407">
        <f t="shared" si="18"/>
        <v>-0.21829736399999944</v>
      </c>
      <c r="K253" s="589">
        <f t="shared" si="17"/>
        <v>-1.0209733639999985</v>
      </c>
    </row>
    <row r="254" spans="7:11" customFormat="1" x14ac:dyDescent="0.25">
      <c r="G254" s="589">
        <f t="shared" si="16"/>
        <v>-0.52399999999999958</v>
      </c>
      <c r="H254" s="407">
        <f t="shared" si="18"/>
        <v>-0.52399999999999958</v>
      </c>
      <c r="I254" s="407">
        <f t="shared" si="18"/>
        <v>-0.27457599999999954</v>
      </c>
      <c r="J254" s="407">
        <f t="shared" si="18"/>
        <v>-0.21581673599999948</v>
      </c>
      <c r="K254" s="589">
        <f t="shared" si="17"/>
        <v>-1.0143927359999985</v>
      </c>
    </row>
    <row r="255" spans="7:11" customFormat="1" x14ac:dyDescent="0.25">
      <c r="G255" s="589">
        <f t="shared" si="16"/>
        <v>-0.52199999999999958</v>
      </c>
      <c r="H255" s="407">
        <f t="shared" si="18"/>
        <v>-0.52199999999999958</v>
      </c>
      <c r="I255" s="407">
        <f t="shared" si="18"/>
        <v>-0.27248399999999956</v>
      </c>
      <c r="J255" s="407">
        <f t="shared" si="18"/>
        <v>-0.2133549719999995</v>
      </c>
      <c r="K255" s="589">
        <f t="shared" si="17"/>
        <v>-1.0078389719999985</v>
      </c>
    </row>
    <row r="256" spans="7:11" customFormat="1" x14ac:dyDescent="0.25">
      <c r="G256" s="589">
        <f t="shared" si="16"/>
        <v>-0.51999999999999957</v>
      </c>
      <c r="H256" s="407">
        <f t="shared" si="18"/>
        <v>-0.51999999999999957</v>
      </c>
      <c r="I256" s="407">
        <f t="shared" si="18"/>
        <v>-0.27039999999999953</v>
      </c>
      <c r="J256" s="407">
        <f t="shared" si="18"/>
        <v>-0.21091199999999946</v>
      </c>
      <c r="K256" s="589">
        <f t="shared" si="17"/>
        <v>-1.0013119999999986</v>
      </c>
    </row>
    <row r="257" spans="7:11" customFormat="1" x14ac:dyDescent="0.25">
      <c r="G257" s="589">
        <f t="shared" si="16"/>
        <v>-0.51799999999999957</v>
      </c>
      <c r="H257" s="407">
        <f t="shared" si="18"/>
        <v>-0.51799999999999957</v>
      </c>
      <c r="I257" s="407">
        <f t="shared" si="18"/>
        <v>-0.26832399999999956</v>
      </c>
      <c r="J257" s="407">
        <f t="shared" si="18"/>
        <v>-0.20848774799999947</v>
      </c>
      <c r="K257" s="589">
        <f t="shared" si="17"/>
        <v>-0.99481174799999861</v>
      </c>
    </row>
    <row r="258" spans="7:11" customFormat="1" x14ac:dyDescent="0.25">
      <c r="G258" s="589">
        <f t="shared" si="16"/>
        <v>-0.51599999999999957</v>
      </c>
      <c r="H258" s="407">
        <f t="shared" si="18"/>
        <v>-0.51599999999999957</v>
      </c>
      <c r="I258" s="407">
        <f t="shared" si="18"/>
        <v>-0.26625599999999955</v>
      </c>
      <c r="J258" s="407">
        <f t="shared" si="18"/>
        <v>-0.20608214399999947</v>
      </c>
      <c r="K258" s="589">
        <f t="shared" si="17"/>
        <v>-0.98833814399999864</v>
      </c>
    </row>
    <row r="259" spans="7:11" customFormat="1" x14ac:dyDescent="0.25">
      <c r="G259" s="589">
        <f t="shared" si="16"/>
        <v>-0.51399999999999957</v>
      </c>
      <c r="H259" s="407">
        <f t="shared" si="18"/>
        <v>-0.51399999999999957</v>
      </c>
      <c r="I259" s="407">
        <f t="shared" si="18"/>
        <v>-0.26419599999999954</v>
      </c>
      <c r="J259" s="407">
        <f t="shared" si="18"/>
        <v>-0.20369511599999948</v>
      </c>
      <c r="K259" s="589">
        <f t="shared" si="17"/>
        <v>-0.98189111599999856</v>
      </c>
    </row>
    <row r="260" spans="7:11" customFormat="1" x14ac:dyDescent="0.25">
      <c r="G260" s="589">
        <f t="shared" si="16"/>
        <v>-0.51199999999999957</v>
      </c>
      <c r="H260" s="407">
        <f t="shared" si="18"/>
        <v>-0.51199999999999957</v>
      </c>
      <c r="I260" s="407">
        <f t="shared" si="18"/>
        <v>-0.26214399999999954</v>
      </c>
      <c r="J260" s="407">
        <f t="shared" si="18"/>
        <v>-0.20132659199999947</v>
      </c>
      <c r="K260" s="589">
        <f t="shared" si="17"/>
        <v>-0.97547059199999853</v>
      </c>
    </row>
    <row r="261" spans="7:11" customFormat="1" x14ac:dyDescent="0.25">
      <c r="G261" s="589">
        <f t="shared" si="16"/>
        <v>-0.50999999999999956</v>
      </c>
      <c r="H261" s="407">
        <f t="shared" si="18"/>
        <v>-0.50999999999999956</v>
      </c>
      <c r="I261" s="407">
        <f t="shared" si="18"/>
        <v>-0.26009999999999955</v>
      </c>
      <c r="J261" s="407">
        <f t="shared" si="18"/>
        <v>-0.19897649999999947</v>
      </c>
      <c r="K261" s="589">
        <f t="shared" si="17"/>
        <v>-0.96907649999999856</v>
      </c>
    </row>
    <row r="262" spans="7:11" customFormat="1" x14ac:dyDescent="0.25">
      <c r="G262" s="589">
        <f t="shared" si="16"/>
        <v>-0.50799999999999956</v>
      </c>
      <c r="H262" s="407">
        <f t="shared" si="18"/>
        <v>-0.50799999999999956</v>
      </c>
      <c r="I262" s="407">
        <f t="shared" si="18"/>
        <v>-0.25806399999999957</v>
      </c>
      <c r="J262" s="407">
        <f t="shared" si="18"/>
        <v>-0.1966447679999995</v>
      </c>
      <c r="K262" s="589">
        <f t="shared" si="17"/>
        <v>-0.96270876799999872</v>
      </c>
    </row>
    <row r="263" spans="7:11" customFormat="1" x14ac:dyDescent="0.25">
      <c r="G263" s="589">
        <f t="shared" si="16"/>
        <v>-0.50599999999999956</v>
      </c>
      <c r="H263" s="407">
        <f t="shared" si="18"/>
        <v>-0.50599999999999956</v>
      </c>
      <c r="I263" s="407">
        <f t="shared" si="18"/>
        <v>-0.25603599999999954</v>
      </c>
      <c r="J263" s="407">
        <f t="shared" si="18"/>
        <v>-0.1943313239999995</v>
      </c>
      <c r="K263" s="589">
        <f t="shared" si="17"/>
        <v>-0.95636732399999858</v>
      </c>
    </row>
    <row r="264" spans="7:11" customFormat="1" x14ac:dyDescent="0.25">
      <c r="G264" s="589">
        <f t="shared" si="16"/>
        <v>-0.50399999999999956</v>
      </c>
      <c r="H264" s="407">
        <f t="shared" si="18"/>
        <v>-0.50399999999999956</v>
      </c>
      <c r="I264" s="407">
        <f t="shared" si="18"/>
        <v>-0.25401599999999958</v>
      </c>
      <c r="J264" s="407">
        <f t="shared" si="18"/>
        <v>-0.19203609599999952</v>
      </c>
      <c r="K264" s="589">
        <f t="shared" si="17"/>
        <v>-0.95005209599999862</v>
      </c>
    </row>
    <row r="265" spans="7:11" customFormat="1" x14ac:dyDescent="0.25">
      <c r="G265" s="589">
        <f t="shared" si="16"/>
        <v>-0.50199999999999956</v>
      </c>
      <c r="H265" s="407">
        <f t="shared" si="18"/>
        <v>-0.50199999999999956</v>
      </c>
      <c r="I265" s="407">
        <f t="shared" si="18"/>
        <v>-0.25200399999999956</v>
      </c>
      <c r="J265" s="407">
        <f t="shared" si="18"/>
        <v>-0.18975901199999953</v>
      </c>
      <c r="K265" s="589">
        <f t="shared" si="17"/>
        <v>-0.94376301199999868</v>
      </c>
    </row>
    <row r="266" spans="7:11" customFormat="1" x14ac:dyDescent="0.25">
      <c r="G266" s="589">
        <f t="shared" si="16"/>
        <v>-0.49999999999999956</v>
      </c>
      <c r="H266" s="407">
        <f t="shared" si="18"/>
        <v>-0.49999999999999956</v>
      </c>
      <c r="I266" s="407">
        <f t="shared" si="18"/>
        <v>-0.24999999999999956</v>
      </c>
      <c r="J266" s="407">
        <f t="shared" si="18"/>
        <v>-0.18749999999999947</v>
      </c>
      <c r="K266" s="589">
        <f t="shared" si="17"/>
        <v>-0.93749999999999856</v>
      </c>
    </row>
    <row r="267" spans="7:11" customFormat="1" x14ac:dyDescent="0.25">
      <c r="G267" s="589">
        <f t="shared" si="16"/>
        <v>-0.49799999999999955</v>
      </c>
      <c r="H267" s="407">
        <f t="shared" si="18"/>
        <v>-0.49799999999999955</v>
      </c>
      <c r="I267" s="407">
        <f t="shared" si="18"/>
        <v>-0.24800399999999956</v>
      </c>
      <c r="J267" s="407">
        <f t="shared" si="18"/>
        <v>-0.18525898799999951</v>
      </c>
      <c r="K267" s="589">
        <f t="shared" si="17"/>
        <v>-0.93126298799999863</v>
      </c>
    </row>
    <row r="268" spans="7:11" customFormat="1" x14ac:dyDescent="0.25">
      <c r="G268" s="589">
        <f t="shared" si="16"/>
        <v>-0.49599999999999955</v>
      </c>
      <c r="H268" s="407">
        <f t="shared" si="18"/>
        <v>-0.49599999999999955</v>
      </c>
      <c r="I268" s="407">
        <f t="shared" si="18"/>
        <v>-0.24601599999999957</v>
      </c>
      <c r="J268" s="407">
        <f t="shared" si="18"/>
        <v>-0.1830359039999995</v>
      </c>
      <c r="K268" s="589">
        <f t="shared" si="17"/>
        <v>-0.92505190399999859</v>
      </c>
    </row>
    <row r="269" spans="7:11" customFormat="1" x14ac:dyDescent="0.25">
      <c r="G269" s="589">
        <f t="shared" si="16"/>
        <v>-0.49399999999999955</v>
      </c>
      <c r="H269" s="407">
        <f t="shared" si="18"/>
        <v>-0.49399999999999955</v>
      </c>
      <c r="I269" s="407">
        <f t="shared" si="18"/>
        <v>-0.24403599999999956</v>
      </c>
      <c r="J269" s="407">
        <f t="shared" si="18"/>
        <v>-0.1808306759999995</v>
      </c>
      <c r="K269" s="589">
        <f t="shared" si="17"/>
        <v>-0.91886667599999861</v>
      </c>
    </row>
    <row r="270" spans="7:11" customFormat="1" x14ac:dyDescent="0.25">
      <c r="G270" s="589">
        <f t="shared" si="16"/>
        <v>-0.49199999999999955</v>
      </c>
      <c r="H270" s="407">
        <f t="shared" si="18"/>
        <v>-0.49199999999999955</v>
      </c>
      <c r="I270" s="407">
        <f t="shared" si="18"/>
        <v>-0.24206399999999956</v>
      </c>
      <c r="J270" s="407">
        <f t="shared" si="18"/>
        <v>-0.17864323199999951</v>
      </c>
      <c r="K270" s="589">
        <f t="shared" si="17"/>
        <v>-0.9127072319999987</v>
      </c>
    </row>
    <row r="271" spans="7:11" customFormat="1" x14ac:dyDescent="0.25">
      <c r="G271" s="589">
        <f t="shared" si="16"/>
        <v>-0.48999999999999955</v>
      </c>
      <c r="H271" s="407">
        <f t="shared" si="18"/>
        <v>-0.48999999999999955</v>
      </c>
      <c r="I271" s="407">
        <f t="shared" si="18"/>
        <v>-0.24009999999999956</v>
      </c>
      <c r="J271" s="407">
        <f t="shared" si="18"/>
        <v>-0.17647349999999953</v>
      </c>
      <c r="K271" s="589">
        <f t="shared" si="17"/>
        <v>-0.90657349999999859</v>
      </c>
    </row>
    <row r="272" spans="7:11" customFormat="1" x14ac:dyDescent="0.25">
      <c r="G272" s="589">
        <f t="shared" si="16"/>
        <v>-0.48799999999999955</v>
      </c>
      <c r="H272" s="407">
        <f t="shared" si="18"/>
        <v>-0.48799999999999955</v>
      </c>
      <c r="I272" s="407">
        <f t="shared" si="18"/>
        <v>-0.23814399999999955</v>
      </c>
      <c r="J272" s="407">
        <f t="shared" si="18"/>
        <v>-0.17432140799999951</v>
      </c>
      <c r="K272" s="589">
        <f t="shared" si="17"/>
        <v>-0.90046540799999863</v>
      </c>
    </row>
    <row r="273" spans="7:11" customFormat="1" x14ac:dyDescent="0.25">
      <c r="G273" s="589">
        <f t="shared" ref="G273:G336" si="19">G272+$K$14</f>
        <v>-0.48599999999999954</v>
      </c>
      <c r="H273" s="407">
        <f t="shared" si="18"/>
        <v>-0.48599999999999954</v>
      </c>
      <c r="I273" s="407">
        <f t="shared" si="18"/>
        <v>-0.23619599999999955</v>
      </c>
      <c r="J273" s="407">
        <f t="shared" si="18"/>
        <v>-0.17218688399999951</v>
      </c>
      <c r="K273" s="589">
        <f t="shared" si="17"/>
        <v>-0.89438288399999855</v>
      </c>
    </row>
    <row r="274" spans="7:11" customFormat="1" x14ac:dyDescent="0.25">
      <c r="G274" s="589">
        <f t="shared" si="19"/>
        <v>-0.48399999999999954</v>
      </c>
      <c r="H274" s="407">
        <f t="shared" si="18"/>
        <v>-0.48399999999999954</v>
      </c>
      <c r="I274" s="407">
        <f t="shared" si="18"/>
        <v>-0.23425599999999955</v>
      </c>
      <c r="J274" s="407">
        <f t="shared" si="18"/>
        <v>-0.17006985599999949</v>
      </c>
      <c r="K274" s="589">
        <f t="shared" si="17"/>
        <v>-0.88832585599999858</v>
      </c>
    </row>
    <row r="275" spans="7:11" customFormat="1" x14ac:dyDescent="0.25">
      <c r="G275" s="589">
        <f t="shared" si="19"/>
        <v>-0.48199999999999954</v>
      </c>
      <c r="H275" s="407">
        <f t="shared" si="18"/>
        <v>-0.48199999999999954</v>
      </c>
      <c r="I275" s="407">
        <f t="shared" si="18"/>
        <v>-0.23232399999999956</v>
      </c>
      <c r="J275" s="407">
        <f t="shared" si="18"/>
        <v>-0.16797025199999951</v>
      </c>
      <c r="K275" s="589">
        <f t="shared" si="17"/>
        <v>-0.88229425199999856</v>
      </c>
    </row>
    <row r="276" spans="7:11" customFormat="1" x14ac:dyDescent="0.25">
      <c r="G276" s="589">
        <f t="shared" si="19"/>
        <v>-0.47999999999999954</v>
      </c>
      <c r="H276" s="407">
        <f t="shared" si="18"/>
        <v>-0.47999999999999954</v>
      </c>
      <c r="I276" s="407">
        <f t="shared" si="18"/>
        <v>-0.23039999999999955</v>
      </c>
      <c r="J276" s="407">
        <f t="shared" si="18"/>
        <v>-0.16588799999999951</v>
      </c>
      <c r="K276" s="589">
        <f t="shared" si="17"/>
        <v>-0.87628799999999851</v>
      </c>
    </row>
    <row r="277" spans="7:11" customFormat="1" x14ac:dyDescent="0.25">
      <c r="G277" s="589">
        <f t="shared" si="19"/>
        <v>-0.47799999999999954</v>
      </c>
      <c r="H277" s="407">
        <f t="shared" si="18"/>
        <v>-0.47799999999999954</v>
      </c>
      <c r="I277" s="407">
        <f t="shared" si="18"/>
        <v>-0.22848399999999955</v>
      </c>
      <c r="J277" s="407">
        <f t="shared" si="18"/>
        <v>-0.16382302799999951</v>
      </c>
      <c r="K277" s="589">
        <f t="shared" si="17"/>
        <v>-0.87030702799999859</v>
      </c>
    </row>
    <row r="278" spans="7:11" customFormat="1" x14ac:dyDescent="0.25">
      <c r="G278" s="589">
        <f t="shared" si="19"/>
        <v>-0.47599999999999953</v>
      </c>
      <c r="H278" s="407">
        <f t="shared" si="18"/>
        <v>-0.47599999999999953</v>
      </c>
      <c r="I278" s="407">
        <f t="shared" si="18"/>
        <v>-0.22657599999999956</v>
      </c>
      <c r="J278" s="407">
        <f t="shared" si="18"/>
        <v>-0.16177526399999953</v>
      </c>
      <c r="K278" s="589">
        <f t="shared" si="17"/>
        <v>-0.86435126399999862</v>
      </c>
    </row>
    <row r="279" spans="7:11" customFormat="1" x14ac:dyDescent="0.25">
      <c r="G279" s="589">
        <f t="shared" si="19"/>
        <v>-0.47399999999999953</v>
      </c>
      <c r="H279" s="407">
        <f t="shared" si="18"/>
        <v>-0.47399999999999953</v>
      </c>
      <c r="I279" s="407">
        <f t="shared" si="18"/>
        <v>-0.22467599999999957</v>
      </c>
      <c r="J279" s="407">
        <f t="shared" si="18"/>
        <v>-0.15974463599999952</v>
      </c>
      <c r="K279" s="589">
        <f t="shared" si="17"/>
        <v>-0.85842063599999863</v>
      </c>
    </row>
    <row r="280" spans="7:11" customFormat="1" x14ac:dyDescent="0.25">
      <c r="G280" s="589">
        <f t="shared" si="19"/>
        <v>-0.47199999999999953</v>
      </c>
      <c r="H280" s="407">
        <f t="shared" si="18"/>
        <v>-0.47199999999999953</v>
      </c>
      <c r="I280" s="407">
        <f t="shared" si="18"/>
        <v>-0.22278399999999957</v>
      </c>
      <c r="J280" s="407">
        <f t="shared" si="18"/>
        <v>-0.15773107199999956</v>
      </c>
      <c r="K280" s="589">
        <f t="shared" si="17"/>
        <v>-0.85251507199999865</v>
      </c>
    </row>
    <row r="281" spans="7:11" customFormat="1" x14ac:dyDescent="0.25">
      <c r="G281" s="589">
        <f t="shared" si="19"/>
        <v>-0.46999999999999953</v>
      </c>
      <c r="H281" s="407">
        <f t="shared" si="18"/>
        <v>-0.46999999999999953</v>
      </c>
      <c r="I281" s="407">
        <f t="shared" si="18"/>
        <v>-0.22089999999999957</v>
      </c>
      <c r="J281" s="407">
        <f t="shared" si="18"/>
        <v>-0.15573449999999953</v>
      </c>
      <c r="K281" s="589">
        <f t="shared" si="17"/>
        <v>-0.84663449999999862</v>
      </c>
    </row>
    <row r="282" spans="7:11" customFormat="1" x14ac:dyDescent="0.25">
      <c r="G282" s="589">
        <f t="shared" si="19"/>
        <v>-0.46799999999999953</v>
      </c>
      <c r="H282" s="407">
        <f t="shared" si="18"/>
        <v>-0.46799999999999953</v>
      </c>
      <c r="I282" s="407">
        <f t="shared" si="18"/>
        <v>-0.21902399999999955</v>
      </c>
      <c r="J282" s="407">
        <f t="shared" si="18"/>
        <v>-0.15375484799999953</v>
      </c>
      <c r="K282" s="589">
        <f t="shared" si="17"/>
        <v>-0.84077884799999858</v>
      </c>
    </row>
    <row r="283" spans="7:11" customFormat="1" x14ac:dyDescent="0.25">
      <c r="G283" s="589">
        <f t="shared" si="19"/>
        <v>-0.46599999999999953</v>
      </c>
      <c r="H283" s="407">
        <f t="shared" si="18"/>
        <v>-0.46599999999999953</v>
      </c>
      <c r="I283" s="407">
        <f t="shared" si="18"/>
        <v>-0.21715599999999957</v>
      </c>
      <c r="J283" s="407">
        <f t="shared" si="18"/>
        <v>-0.15179204399999954</v>
      </c>
      <c r="K283" s="589">
        <f t="shared" si="17"/>
        <v>-0.83494804399999867</v>
      </c>
    </row>
    <row r="284" spans="7:11" customFormat="1" x14ac:dyDescent="0.25">
      <c r="G284" s="589">
        <f t="shared" si="19"/>
        <v>-0.46399999999999952</v>
      </c>
      <c r="H284" s="407">
        <f t="shared" si="18"/>
        <v>-0.46399999999999952</v>
      </c>
      <c r="I284" s="407">
        <f t="shared" si="18"/>
        <v>-0.21529599999999957</v>
      </c>
      <c r="J284" s="407">
        <f t="shared" si="18"/>
        <v>-0.14984601599999955</v>
      </c>
      <c r="K284" s="589">
        <f t="shared" si="17"/>
        <v>-0.8291420159999987</v>
      </c>
    </row>
    <row r="285" spans="7:11" customFormat="1" x14ac:dyDescent="0.25">
      <c r="G285" s="589">
        <f t="shared" si="19"/>
        <v>-0.46199999999999952</v>
      </c>
      <c r="H285" s="407">
        <f t="shared" si="18"/>
        <v>-0.46199999999999952</v>
      </c>
      <c r="I285" s="407">
        <f t="shared" si="18"/>
        <v>-0.21344399999999955</v>
      </c>
      <c r="J285" s="407">
        <f t="shared" si="18"/>
        <v>-0.14791669199999954</v>
      </c>
      <c r="K285" s="589">
        <f t="shared" si="17"/>
        <v>-0.82336069199999862</v>
      </c>
    </row>
    <row r="286" spans="7:11" customFormat="1" x14ac:dyDescent="0.25">
      <c r="G286" s="589">
        <f t="shared" si="19"/>
        <v>-0.45999999999999952</v>
      </c>
      <c r="H286" s="407">
        <f t="shared" si="18"/>
        <v>-0.45999999999999952</v>
      </c>
      <c r="I286" s="407">
        <f t="shared" si="18"/>
        <v>-0.21159999999999957</v>
      </c>
      <c r="J286" s="407">
        <f t="shared" si="18"/>
        <v>-0.14600399999999955</v>
      </c>
      <c r="K286" s="589">
        <f t="shared" si="17"/>
        <v>-0.81760399999999867</v>
      </c>
    </row>
    <row r="287" spans="7:11" customFormat="1" x14ac:dyDescent="0.25">
      <c r="G287" s="589">
        <f t="shared" si="19"/>
        <v>-0.45799999999999952</v>
      </c>
      <c r="H287" s="407">
        <f t="shared" si="18"/>
        <v>-0.45799999999999952</v>
      </c>
      <c r="I287" s="407">
        <f t="shared" si="18"/>
        <v>-0.20976399999999956</v>
      </c>
      <c r="J287" s="407">
        <f t="shared" si="18"/>
        <v>-0.14410786799999956</v>
      </c>
      <c r="K287" s="589">
        <f t="shared" si="17"/>
        <v>-0.81187186799999866</v>
      </c>
    </row>
    <row r="288" spans="7:11" customFormat="1" x14ac:dyDescent="0.25">
      <c r="G288" s="589">
        <f t="shared" si="19"/>
        <v>-0.45599999999999952</v>
      </c>
      <c r="H288" s="407">
        <f t="shared" si="18"/>
        <v>-0.45599999999999952</v>
      </c>
      <c r="I288" s="407">
        <f t="shared" si="18"/>
        <v>-0.20793599999999957</v>
      </c>
      <c r="J288" s="407">
        <f t="shared" si="18"/>
        <v>-0.14222822399999954</v>
      </c>
      <c r="K288" s="589">
        <f t="shared" si="17"/>
        <v>-0.80616422399999865</v>
      </c>
    </row>
    <row r="289" spans="7:11" customFormat="1" x14ac:dyDescent="0.25">
      <c r="G289" s="589">
        <f t="shared" si="19"/>
        <v>-0.45399999999999952</v>
      </c>
      <c r="H289" s="407">
        <f t="shared" si="18"/>
        <v>-0.45399999999999952</v>
      </c>
      <c r="I289" s="407">
        <f t="shared" si="18"/>
        <v>-0.20611599999999955</v>
      </c>
      <c r="J289" s="407">
        <f t="shared" si="18"/>
        <v>-0.14036499599999955</v>
      </c>
      <c r="K289" s="589">
        <f t="shared" si="17"/>
        <v>-0.80048099599999856</v>
      </c>
    </row>
    <row r="290" spans="7:11" customFormat="1" x14ac:dyDescent="0.25">
      <c r="G290" s="589">
        <f t="shared" si="19"/>
        <v>-0.45199999999999951</v>
      </c>
      <c r="H290" s="407">
        <f t="shared" si="18"/>
        <v>-0.45199999999999951</v>
      </c>
      <c r="I290" s="407">
        <f t="shared" si="18"/>
        <v>-0.20430399999999957</v>
      </c>
      <c r="J290" s="407">
        <f t="shared" si="18"/>
        <v>-0.13851811199999955</v>
      </c>
      <c r="K290" s="589">
        <f t="shared" si="17"/>
        <v>-0.79482211199999864</v>
      </c>
    </row>
    <row r="291" spans="7:11" customFormat="1" x14ac:dyDescent="0.25">
      <c r="G291" s="589">
        <f t="shared" si="19"/>
        <v>-0.44999999999999951</v>
      </c>
      <c r="H291" s="407">
        <f t="shared" si="18"/>
        <v>-0.44999999999999951</v>
      </c>
      <c r="I291" s="407">
        <f t="shared" si="18"/>
        <v>-0.20249999999999957</v>
      </c>
      <c r="J291" s="407">
        <f t="shared" si="18"/>
        <v>-0.13668749999999955</v>
      </c>
      <c r="K291" s="589">
        <f t="shared" si="17"/>
        <v>-0.7891874999999986</v>
      </c>
    </row>
    <row r="292" spans="7:11" customFormat="1" x14ac:dyDescent="0.25">
      <c r="G292" s="589">
        <f t="shared" si="19"/>
        <v>-0.44799999999999951</v>
      </c>
      <c r="H292" s="407">
        <f t="shared" si="18"/>
        <v>-0.44799999999999951</v>
      </c>
      <c r="I292" s="407">
        <f t="shared" si="18"/>
        <v>-0.20070399999999955</v>
      </c>
      <c r="J292" s="407">
        <f t="shared" si="18"/>
        <v>-0.13487308799999956</v>
      </c>
      <c r="K292" s="589">
        <f t="shared" si="17"/>
        <v>-0.78357708799999859</v>
      </c>
    </row>
    <row r="293" spans="7:11" customFormat="1" x14ac:dyDescent="0.25">
      <c r="G293" s="589">
        <f t="shared" si="19"/>
        <v>-0.44599999999999951</v>
      </c>
      <c r="H293" s="407">
        <f t="shared" si="18"/>
        <v>-0.44599999999999951</v>
      </c>
      <c r="I293" s="407">
        <f t="shared" si="18"/>
        <v>-0.19891599999999957</v>
      </c>
      <c r="J293" s="407">
        <f t="shared" si="18"/>
        <v>-0.13307480399999957</v>
      </c>
      <c r="K293" s="589">
        <f t="shared" si="17"/>
        <v>-0.77799080399999865</v>
      </c>
    </row>
    <row r="294" spans="7:11" customFormat="1" x14ac:dyDescent="0.25">
      <c r="G294" s="589">
        <f t="shared" si="19"/>
        <v>-0.44399999999999951</v>
      </c>
      <c r="H294" s="407">
        <f t="shared" si="18"/>
        <v>-0.44399999999999951</v>
      </c>
      <c r="I294" s="407">
        <f t="shared" si="18"/>
        <v>-0.19713599999999956</v>
      </c>
      <c r="J294" s="407">
        <f t="shared" si="18"/>
        <v>-0.13129257599999958</v>
      </c>
      <c r="K294" s="589">
        <f t="shared" si="17"/>
        <v>-0.77242857599999859</v>
      </c>
    </row>
    <row r="295" spans="7:11" customFormat="1" x14ac:dyDescent="0.25">
      <c r="G295" s="589">
        <f t="shared" si="19"/>
        <v>-0.4419999999999995</v>
      </c>
      <c r="H295" s="407">
        <f t="shared" si="18"/>
        <v>-0.4419999999999995</v>
      </c>
      <c r="I295" s="407">
        <f t="shared" si="18"/>
        <v>-0.19536399999999957</v>
      </c>
      <c r="J295" s="407">
        <f t="shared" si="18"/>
        <v>-0.12952633199999955</v>
      </c>
      <c r="K295" s="589">
        <f t="shared" si="17"/>
        <v>-0.76689033199999856</v>
      </c>
    </row>
    <row r="296" spans="7:11" customFormat="1" x14ac:dyDescent="0.25">
      <c r="G296" s="589">
        <f t="shared" si="19"/>
        <v>-0.4399999999999995</v>
      </c>
      <c r="H296" s="407">
        <f t="shared" si="18"/>
        <v>-0.4399999999999995</v>
      </c>
      <c r="I296" s="407">
        <f t="shared" si="18"/>
        <v>-0.19359999999999955</v>
      </c>
      <c r="J296" s="407">
        <f t="shared" si="18"/>
        <v>-0.12777599999999956</v>
      </c>
      <c r="K296" s="589">
        <f t="shared" si="17"/>
        <v>-0.76137599999999861</v>
      </c>
    </row>
    <row r="297" spans="7:11" customFormat="1" x14ac:dyDescent="0.25">
      <c r="G297" s="589">
        <f t="shared" si="19"/>
        <v>-0.4379999999999995</v>
      </c>
      <c r="H297" s="407">
        <f t="shared" si="18"/>
        <v>-0.4379999999999995</v>
      </c>
      <c r="I297" s="407">
        <f t="shared" si="18"/>
        <v>-0.19184399999999957</v>
      </c>
      <c r="J297" s="407">
        <f t="shared" si="18"/>
        <v>-0.12604150799999958</v>
      </c>
      <c r="K297" s="589">
        <f t="shared" si="17"/>
        <v>-0.75588550799999865</v>
      </c>
    </row>
    <row r="298" spans="7:11" customFormat="1" x14ac:dyDescent="0.25">
      <c r="G298" s="589">
        <f t="shared" si="19"/>
        <v>-0.4359999999999995</v>
      </c>
      <c r="H298" s="407">
        <f t="shared" si="18"/>
        <v>-0.4359999999999995</v>
      </c>
      <c r="I298" s="407">
        <f t="shared" si="18"/>
        <v>-0.19009599999999957</v>
      </c>
      <c r="J298" s="407">
        <f t="shared" si="18"/>
        <v>-0.12432278399999958</v>
      </c>
      <c r="K298" s="589">
        <f t="shared" si="17"/>
        <v>-0.75041878399999873</v>
      </c>
    </row>
    <row r="299" spans="7:11" customFormat="1" x14ac:dyDescent="0.25">
      <c r="G299" s="589">
        <f t="shared" si="19"/>
        <v>-0.4339999999999995</v>
      </c>
      <c r="H299" s="407">
        <f t="shared" si="18"/>
        <v>-0.4339999999999995</v>
      </c>
      <c r="I299" s="407">
        <f t="shared" si="18"/>
        <v>-0.18835599999999955</v>
      </c>
      <c r="J299" s="407">
        <f t="shared" si="18"/>
        <v>-0.12261975599999957</v>
      </c>
      <c r="K299" s="589">
        <f t="shared" si="17"/>
        <v>-0.74497575599999855</v>
      </c>
    </row>
    <row r="300" spans="7:11" customFormat="1" x14ac:dyDescent="0.25">
      <c r="G300" s="589">
        <f t="shared" si="19"/>
        <v>-0.4319999999999995</v>
      </c>
      <c r="H300" s="407">
        <f t="shared" si="18"/>
        <v>-0.4319999999999995</v>
      </c>
      <c r="I300" s="407">
        <f t="shared" si="18"/>
        <v>-0.18662399999999957</v>
      </c>
      <c r="J300" s="407">
        <f t="shared" si="18"/>
        <v>-0.12093235199999958</v>
      </c>
      <c r="K300" s="589">
        <f t="shared" si="17"/>
        <v>-0.73955635199999858</v>
      </c>
    </row>
    <row r="301" spans="7:11" customFormat="1" x14ac:dyDescent="0.25">
      <c r="G301" s="589">
        <f t="shared" si="19"/>
        <v>-0.42999999999999949</v>
      </c>
      <c r="H301" s="407">
        <f t="shared" si="18"/>
        <v>-0.42999999999999949</v>
      </c>
      <c r="I301" s="407">
        <f t="shared" si="18"/>
        <v>-0.18489999999999956</v>
      </c>
      <c r="J301" s="407">
        <f t="shared" si="18"/>
        <v>-0.11926049999999959</v>
      </c>
      <c r="K301" s="589">
        <f t="shared" si="17"/>
        <v>-0.73416049999999866</v>
      </c>
    </row>
    <row r="302" spans="7:11" customFormat="1" x14ac:dyDescent="0.25">
      <c r="G302" s="589">
        <f t="shared" si="19"/>
        <v>-0.42799999999999949</v>
      </c>
      <c r="H302" s="407">
        <f t="shared" si="18"/>
        <v>-0.42799999999999949</v>
      </c>
      <c r="I302" s="407">
        <f t="shared" si="18"/>
        <v>-0.18318399999999957</v>
      </c>
      <c r="J302" s="407">
        <f t="shared" si="18"/>
        <v>-0.11760412799999959</v>
      </c>
      <c r="K302" s="589">
        <f t="shared" si="17"/>
        <v>-0.72878812799999859</v>
      </c>
    </row>
    <row r="303" spans="7:11" customFormat="1" x14ac:dyDescent="0.25">
      <c r="G303" s="589">
        <f t="shared" si="19"/>
        <v>-0.42599999999999949</v>
      </c>
      <c r="H303" s="407">
        <f t="shared" si="18"/>
        <v>-0.42599999999999949</v>
      </c>
      <c r="I303" s="407">
        <f t="shared" si="18"/>
        <v>-0.18147599999999955</v>
      </c>
      <c r="J303" s="407">
        <f t="shared" si="18"/>
        <v>-0.11596316399999958</v>
      </c>
      <c r="K303" s="589">
        <f t="shared" si="17"/>
        <v>-0.72343916399999864</v>
      </c>
    </row>
    <row r="304" spans="7:11" customFormat="1" x14ac:dyDescent="0.25">
      <c r="G304" s="589">
        <f t="shared" si="19"/>
        <v>-0.42399999999999949</v>
      </c>
      <c r="H304" s="407">
        <f t="shared" si="18"/>
        <v>-0.42399999999999949</v>
      </c>
      <c r="I304" s="407">
        <f t="shared" si="18"/>
        <v>-0.17977599999999958</v>
      </c>
      <c r="J304" s="407">
        <f t="shared" si="18"/>
        <v>-0.11433753599999959</v>
      </c>
      <c r="K304" s="589">
        <f t="shared" si="17"/>
        <v>-0.71811353599999872</v>
      </c>
    </row>
    <row r="305" spans="7:11" customFormat="1" x14ac:dyDescent="0.25">
      <c r="G305" s="589">
        <f t="shared" si="19"/>
        <v>-0.42199999999999949</v>
      </c>
      <c r="H305" s="407">
        <f t="shared" si="18"/>
        <v>-0.42199999999999949</v>
      </c>
      <c r="I305" s="407">
        <f t="shared" si="18"/>
        <v>-0.17808399999999958</v>
      </c>
      <c r="J305" s="407">
        <f t="shared" si="18"/>
        <v>-0.1127271719999996</v>
      </c>
      <c r="K305" s="589">
        <f t="shared" si="17"/>
        <v>-0.71281117199999866</v>
      </c>
    </row>
    <row r="306" spans="7:11" customFormat="1" x14ac:dyDescent="0.25">
      <c r="G306" s="589">
        <f t="shared" si="19"/>
        <v>-0.41999999999999948</v>
      </c>
      <c r="H306" s="407">
        <f t="shared" si="18"/>
        <v>-0.41999999999999948</v>
      </c>
      <c r="I306" s="407">
        <f t="shared" si="18"/>
        <v>-0.17639999999999956</v>
      </c>
      <c r="J306" s="407">
        <f t="shared" si="18"/>
        <v>-0.11113199999999958</v>
      </c>
      <c r="K306" s="589">
        <f t="shared" si="17"/>
        <v>-0.70753199999999861</v>
      </c>
    </row>
    <row r="307" spans="7:11" customFormat="1" x14ac:dyDescent="0.25">
      <c r="G307" s="589">
        <f t="shared" si="19"/>
        <v>-0.41799999999999948</v>
      </c>
      <c r="H307" s="407">
        <f t="shared" si="18"/>
        <v>-0.41799999999999948</v>
      </c>
      <c r="I307" s="407">
        <f t="shared" si="18"/>
        <v>-0.17472399999999957</v>
      </c>
      <c r="J307" s="407">
        <f t="shared" si="18"/>
        <v>-0.10955194799999961</v>
      </c>
      <c r="K307" s="589">
        <f t="shared" si="17"/>
        <v>-0.7022759479999986</v>
      </c>
    </row>
    <row r="308" spans="7:11" customFormat="1" x14ac:dyDescent="0.25">
      <c r="G308" s="589">
        <f t="shared" si="19"/>
        <v>-0.41599999999999948</v>
      </c>
      <c r="H308" s="407">
        <f t="shared" si="18"/>
        <v>-0.41599999999999948</v>
      </c>
      <c r="I308" s="407">
        <f t="shared" si="18"/>
        <v>-0.17305599999999957</v>
      </c>
      <c r="J308" s="407">
        <f t="shared" si="18"/>
        <v>-0.1079869439999996</v>
      </c>
      <c r="K308" s="589">
        <f t="shared" si="17"/>
        <v>-0.69704294399999867</v>
      </c>
    </row>
    <row r="309" spans="7:11" customFormat="1" x14ac:dyDescent="0.25">
      <c r="G309" s="589">
        <f t="shared" si="19"/>
        <v>-0.41399999999999948</v>
      </c>
      <c r="H309" s="407">
        <f t="shared" si="18"/>
        <v>-0.41399999999999948</v>
      </c>
      <c r="I309" s="407">
        <f t="shared" si="18"/>
        <v>-0.17139599999999958</v>
      </c>
      <c r="J309" s="407">
        <f t="shared" si="18"/>
        <v>-0.1064369159999996</v>
      </c>
      <c r="K309" s="589">
        <f t="shared" ref="K309:K372" si="20">SUM(H309:J309)</f>
        <v>-0.69183291599999863</v>
      </c>
    </row>
    <row r="310" spans="7:11" customFormat="1" x14ac:dyDescent="0.25">
      <c r="G310" s="589">
        <f t="shared" si="19"/>
        <v>-0.41199999999999948</v>
      </c>
      <c r="H310" s="407">
        <f t="shared" si="18"/>
        <v>-0.41199999999999948</v>
      </c>
      <c r="I310" s="407">
        <f t="shared" si="18"/>
        <v>-0.16974399999999956</v>
      </c>
      <c r="J310" s="407">
        <f t="shared" si="18"/>
        <v>-0.10490179199999961</v>
      </c>
      <c r="K310" s="589">
        <f t="shared" si="20"/>
        <v>-0.68664579199999864</v>
      </c>
    </row>
    <row r="311" spans="7:11" customFormat="1" x14ac:dyDescent="0.25">
      <c r="G311" s="589">
        <f t="shared" si="19"/>
        <v>-0.40999999999999948</v>
      </c>
      <c r="H311" s="407">
        <f t="shared" si="18"/>
        <v>-0.40999999999999948</v>
      </c>
      <c r="I311" s="407">
        <f t="shared" si="18"/>
        <v>-0.16809999999999958</v>
      </c>
      <c r="J311" s="407">
        <f t="shared" si="18"/>
        <v>-0.10338149999999963</v>
      </c>
      <c r="K311" s="589">
        <f t="shared" si="20"/>
        <v>-0.68148149999999874</v>
      </c>
    </row>
    <row r="312" spans="7:11" customFormat="1" x14ac:dyDescent="0.25">
      <c r="G312" s="589">
        <f t="shared" si="19"/>
        <v>-0.40799999999999947</v>
      </c>
      <c r="H312" s="407">
        <f t="shared" si="18"/>
        <v>-0.40799999999999947</v>
      </c>
      <c r="I312" s="407">
        <f t="shared" si="18"/>
        <v>-0.16646399999999958</v>
      </c>
      <c r="J312" s="407">
        <f t="shared" si="18"/>
        <v>-0.10187596799999961</v>
      </c>
      <c r="K312" s="589">
        <f t="shared" si="20"/>
        <v>-0.67633996799999874</v>
      </c>
    </row>
    <row r="313" spans="7:11" customFormat="1" x14ac:dyDescent="0.25">
      <c r="G313" s="589">
        <f t="shared" si="19"/>
        <v>-0.40599999999999947</v>
      </c>
      <c r="H313" s="407">
        <f t="shared" si="18"/>
        <v>-0.40599999999999947</v>
      </c>
      <c r="I313" s="407">
        <f t="shared" si="18"/>
        <v>-0.16483599999999957</v>
      </c>
      <c r="J313" s="407">
        <f t="shared" si="18"/>
        <v>-0.1003851239999996</v>
      </c>
      <c r="K313" s="589">
        <f t="shared" si="20"/>
        <v>-0.67122112399999856</v>
      </c>
    </row>
    <row r="314" spans="7:11" customFormat="1" x14ac:dyDescent="0.25">
      <c r="G314" s="589">
        <f t="shared" si="19"/>
        <v>-0.40399999999999947</v>
      </c>
      <c r="H314" s="407">
        <f t="shared" ref="H314:J377" si="21">($G314^H$15*(-H$15)^(-1+H$15))/FACT(H$15)</f>
        <v>-0.40399999999999947</v>
      </c>
      <c r="I314" s="407">
        <f t="shared" si="21"/>
        <v>-0.16321599999999958</v>
      </c>
      <c r="J314" s="407">
        <f t="shared" si="21"/>
        <v>-9.8908895999999621E-2</v>
      </c>
      <c r="K314" s="589">
        <f t="shared" si="20"/>
        <v>-0.66612489599999869</v>
      </c>
    </row>
    <row r="315" spans="7:11" customFormat="1" x14ac:dyDescent="0.25">
      <c r="G315" s="589">
        <f t="shared" si="19"/>
        <v>-0.40199999999999947</v>
      </c>
      <c r="H315" s="407">
        <f t="shared" si="21"/>
        <v>-0.40199999999999947</v>
      </c>
      <c r="I315" s="407">
        <f t="shared" si="21"/>
        <v>-0.16160399999999958</v>
      </c>
      <c r="J315" s="407">
        <f t="shared" si="21"/>
        <v>-9.7447211999999617E-2</v>
      </c>
      <c r="K315" s="589">
        <f t="shared" si="20"/>
        <v>-0.66105121199999872</v>
      </c>
    </row>
    <row r="316" spans="7:11" customFormat="1" x14ac:dyDescent="0.25">
      <c r="G316" s="589">
        <f t="shared" si="19"/>
        <v>-0.39999999999999947</v>
      </c>
      <c r="H316" s="407">
        <f t="shared" si="21"/>
        <v>-0.39999999999999947</v>
      </c>
      <c r="I316" s="407">
        <f t="shared" si="21"/>
        <v>-0.15999999999999959</v>
      </c>
      <c r="J316" s="407">
        <f t="shared" si="21"/>
        <v>-9.5999999999999627E-2</v>
      </c>
      <c r="K316" s="589">
        <f t="shared" si="20"/>
        <v>-0.6559999999999987</v>
      </c>
    </row>
    <row r="317" spans="7:11" customFormat="1" x14ac:dyDescent="0.25">
      <c r="G317" s="589">
        <f t="shared" si="19"/>
        <v>-0.39799999999999947</v>
      </c>
      <c r="H317" s="407">
        <f t="shared" si="21"/>
        <v>-0.39799999999999947</v>
      </c>
      <c r="I317" s="407">
        <f t="shared" si="21"/>
        <v>-0.15840399999999957</v>
      </c>
      <c r="J317" s="407">
        <f t="shared" si="21"/>
        <v>-9.4567187999999594E-2</v>
      </c>
      <c r="K317" s="589">
        <f t="shared" si="20"/>
        <v>-0.65097118799999865</v>
      </c>
    </row>
    <row r="318" spans="7:11" customFormat="1" x14ac:dyDescent="0.25">
      <c r="G318" s="589">
        <f t="shared" si="19"/>
        <v>-0.39599999999999946</v>
      </c>
      <c r="H318" s="407">
        <f t="shared" si="21"/>
        <v>-0.39599999999999946</v>
      </c>
      <c r="I318" s="407">
        <f t="shared" si="21"/>
        <v>-0.15681599999999957</v>
      </c>
      <c r="J318" s="407">
        <f t="shared" si="21"/>
        <v>-9.3148703999999624E-2</v>
      </c>
      <c r="K318" s="589">
        <f t="shared" si="20"/>
        <v>-0.64596470399999872</v>
      </c>
    </row>
    <row r="319" spans="7:11" customFormat="1" x14ac:dyDescent="0.25">
      <c r="G319" s="589">
        <f t="shared" si="19"/>
        <v>-0.39399999999999946</v>
      </c>
      <c r="H319" s="407">
        <f t="shared" si="21"/>
        <v>-0.39399999999999946</v>
      </c>
      <c r="I319" s="407">
        <f t="shared" si="21"/>
        <v>-0.15523599999999957</v>
      </c>
      <c r="J319" s="407">
        <f t="shared" si="21"/>
        <v>-9.1744475999999617E-2</v>
      </c>
      <c r="K319" s="589">
        <f t="shared" si="20"/>
        <v>-0.64098047599999863</v>
      </c>
    </row>
    <row r="320" spans="7:11" customFormat="1" x14ac:dyDescent="0.25">
      <c r="G320" s="589">
        <f t="shared" si="19"/>
        <v>-0.39199999999999946</v>
      </c>
      <c r="H320" s="407">
        <f t="shared" si="21"/>
        <v>-0.39199999999999946</v>
      </c>
      <c r="I320" s="407">
        <f t="shared" si="21"/>
        <v>-0.15366399999999958</v>
      </c>
      <c r="J320" s="407">
        <f t="shared" si="21"/>
        <v>-9.0354431999999638E-2</v>
      </c>
      <c r="K320" s="589">
        <f t="shared" si="20"/>
        <v>-0.63601843199999863</v>
      </c>
    </row>
    <row r="321" spans="7:11" customFormat="1" x14ac:dyDescent="0.25">
      <c r="G321" s="589">
        <f t="shared" si="19"/>
        <v>-0.38999999999999946</v>
      </c>
      <c r="H321" s="407">
        <f t="shared" si="21"/>
        <v>-0.38999999999999946</v>
      </c>
      <c r="I321" s="407">
        <f t="shared" si="21"/>
        <v>-0.15209999999999957</v>
      </c>
      <c r="J321" s="407">
        <f t="shared" si="21"/>
        <v>-8.8978499999999627E-2</v>
      </c>
      <c r="K321" s="589">
        <f t="shared" si="20"/>
        <v>-0.63107849999999865</v>
      </c>
    </row>
    <row r="322" spans="7:11" customFormat="1" x14ac:dyDescent="0.25">
      <c r="G322" s="589">
        <f t="shared" si="19"/>
        <v>-0.38799999999999946</v>
      </c>
      <c r="H322" s="407">
        <f t="shared" si="21"/>
        <v>-0.38799999999999946</v>
      </c>
      <c r="I322" s="407">
        <f t="shared" si="21"/>
        <v>-0.15054399999999957</v>
      </c>
      <c r="J322" s="407">
        <f t="shared" si="21"/>
        <v>-8.7616607999999638E-2</v>
      </c>
      <c r="K322" s="589">
        <f t="shared" si="20"/>
        <v>-0.62616060799999862</v>
      </c>
    </row>
    <row r="323" spans="7:11" customFormat="1" x14ac:dyDescent="0.25">
      <c r="G323" s="589">
        <f t="shared" si="19"/>
        <v>-0.38599999999999945</v>
      </c>
      <c r="H323" s="407">
        <f t="shared" si="21"/>
        <v>-0.38599999999999945</v>
      </c>
      <c r="I323" s="407">
        <f t="shared" si="21"/>
        <v>-0.14899599999999957</v>
      </c>
      <c r="J323" s="407">
        <f t="shared" si="21"/>
        <v>-8.6268683999999637E-2</v>
      </c>
      <c r="K323" s="589">
        <f t="shared" si="20"/>
        <v>-0.62126468399999868</v>
      </c>
    </row>
    <row r="324" spans="7:11" customFormat="1" x14ac:dyDescent="0.25">
      <c r="G324" s="589">
        <f t="shared" si="19"/>
        <v>-0.38399999999999945</v>
      </c>
      <c r="H324" s="407">
        <f t="shared" si="21"/>
        <v>-0.38399999999999945</v>
      </c>
      <c r="I324" s="407">
        <f t="shared" si="21"/>
        <v>-0.14745599999999959</v>
      </c>
      <c r="J324" s="407">
        <f t="shared" si="21"/>
        <v>-8.493465599999965E-2</v>
      </c>
      <c r="K324" s="589">
        <f t="shared" si="20"/>
        <v>-0.61639065599999865</v>
      </c>
    </row>
    <row r="325" spans="7:11" customFormat="1" x14ac:dyDescent="0.25">
      <c r="G325" s="589">
        <f t="shared" si="19"/>
        <v>-0.38199999999999945</v>
      </c>
      <c r="H325" s="407">
        <f t="shared" si="21"/>
        <v>-0.38199999999999945</v>
      </c>
      <c r="I325" s="407">
        <f t="shared" si="21"/>
        <v>-0.14592399999999958</v>
      </c>
      <c r="J325" s="407">
        <f t="shared" si="21"/>
        <v>-8.3614451999999631E-2</v>
      </c>
      <c r="K325" s="589">
        <f t="shared" si="20"/>
        <v>-0.61153845199999868</v>
      </c>
    </row>
    <row r="326" spans="7:11" customFormat="1" x14ac:dyDescent="0.25">
      <c r="G326" s="589">
        <f t="shared" si="19"/>
        <v>-0.37999999999999945</v>
      </c>
      <c r="H326" s="407">
        <f t="shared" si="21"/>
        <v>-0.37999999999999945</v>
      </c>
      <c r="I326" s="407">
        <f t="shared" si="21"/>
        <v>-0.14439999999999958</v>
      </c>
      <c r="J326" s="407">
        <f t="shared" si="21"/>
        <v>-8.2307999999999645E-2</v>
      </c>
      <c r="K326" s="589">
        <f t="shared" si="20"/>
        <v>-0.60670799999999869</v>
      </c>
    </row>
    <row r="327" spans="7:11" customFormat="1" x14ac:dyDescent="0.25">
      <c r="G327" s="589">
        <f t="shared" si="19"/>
        <v>-0.37799999999999945</v>
      </c>
      <c r="H327" s="407">
        <f t="shared" si="21"/>
        <v>-0.37799999999999945</v>
      </c>
      <c r="I327" s="407">
        <f t="shared" si="21"/>
        <v>-0.14288399999999959</v>
      </c>
      <c r="J327" s="407">
        <f t="shared" si="21"/>
        <v>-8.1015227999999648E-2</v>
      </c>
      <c r="K327" s="589">
        <f t="shared" si="20"/>
        <v>-0.60189922799999862</v>
      </c>
    </row>
    <row r="328" spans="7:11" customFormat="1" x14ac:dyDescent="0.25">
      <c r="G328" s="589">
        <f t="shared" si="19"/>
        <v>-0.37599999999999945</v>
      </c>
      <c r="H328" s="407">
        <f t="shared" si="21"/>
        <v>-0.37599999999999945</v>
      </c>
      <c r="I328" s="407">
        <f t="shared" si="21"/>
        <v>-0.14137599999999959</v>
      </c>
      <c r="J328" s="407">
        <f t="shared" si="21"/>
        <v>-7.9736063999999648E-2</v>
      </c>
      <c r="K328" s="589">
        <f t="shared" si="20"/>
        <v>-0.59711206399999872</v>
      </c>
    </row>
    <row r="329" spans="7:11" customFormat="1" x14ac:dyDescent="0.25">
      <c r="G329" s="589">
        <f t="shared" si="19"/>
        <v>-0.37399999999999944</v>
      </c>
      <c r="H329" s="407">
        <f t="shared" si="21"/>
        <v>-0.37399999999999944</v>
      </c>
      <c r="I329" s="407">
        <f t="shared" si="21"/>
        <v>-0.13987599999999958</v>
      </c>
      <c r="J329" s="407">
        <f t="shared" si="21"/>
        <v>-7.8470435999999658E-2</v>
      </c>
      <c r="K329" s="589">
        <f t="shared" si="20"/>
        <v>-0.5923464359999987</v>
      </c>
    </row>
    <row r="330" spans="7:11" customFormat="1" x14ac:dyDescent="0.25">
      <c r="G330" s="589">
        <f t="shared" si="19"/>
        <v>-0.37199999999999944</v>
      </c>
      <c r="H330" s="407">
        <f t="shared" si="21"/>
        <v>-0.37199999999999944</v>
      </c>
      <c r="I330" s="407">
        <f t="shared" si="21"/>
        <v>-0.13838399999999959</v>
      </c>
      <c r="J330" s="407">
        <f t="shared" si="21"/>
        <v>-7.7218271999999658E-2</v>
      </c>
      <c r="K330" s="589">
        <f t="shared" si="20"/>
        <v>-0.5876022719999987</v>
      </c>
    </row>
    <row r="331" spans="7:11" customFormat="1" x14ac:dyDescent="0.25">
      <c r="G331" s="589">
        <f t="shared" si="19"/>
        <v>-0.36999999999999944</v>
      </c>
      <c r="H331" s="407">
        <f t="shared" si="21"/>
        <v>-0.36999999999999944</v>
      </c>
      <c r="I331" s="407">
        <f t="shared" si="21"/>
        <v>-0.13689999999999958</v>
      </c>
      <c r="J331" s="407">
        <f t="shared" si="21"/>
        <v>-7.5979499999999658E-2</v>
      </c>
      <c r="K331" s="589">
        <f t="shared" si="20"/>
        <v>-0.58287949999999866</v>
      </c>
    </row>
    <row r="332" spans="7:11" customFormat="1" x14ac:dyDescent="0.25">
      <c r="G332" s="589">
        <f t="shared" si="19"/>
        <v>-0.36799999999999944</v>
      </c>
      <c r="H332" s="407">
        <f t="shared" si="21"/>
        <v>-0.36799999999999944</v>
      </c>
      <c r="I332" s="407">
        <f t="shared" si="21"/>
        <v>-0.1354239999999996</v>
      </c>
      <c r="J332" s="407">
        <f t="shared" si="21"/>
        <v>-7.475404799999967E-2</v>
      </c>
      <c r="K332" s="589">
        <f t="shared" si="20"/>
        <v>-0.57817804799999861</v>
      </c>
    </row>
    <row r="333" spans="7:11" customFormat="1" x14ac:dyDescent="0.25">
      <c r="G333" s="589">
        <f t="shared" si="19"/>
        <v>-0.36599999999999944</v>
      </c>
      <c r="H333" s="407">
        <f t="shared" si="21"/>
        <v>-0.36599999999999944</v>
      </c>
      <c r="I333" s="407">
        <f t="shared" si="21"/>
        <v>-0.13395599999999958</v>
      </c>
      <c r="J333" s="407">
        <f t="shared" si="21"/>
        <v>-7.3541843999999662E-2</v>
      </c>
      <c r="K333" s="589">
        <f t="shared" si="20"/>
        <v>-0.5734978439999987</v>
      </c>
    </row>
    <row r="334" spans="7:11" customFormat="1" x14ac:dyDescent="0.25">
      <c r="G334" s="589">
        <f t="shared" si="19"/>
        <v>-0.36399999999999944</v>
      </c>
      <c r="H334" s="407">
        <f t="shared" si="21"/>
        <v>-0.36399999999999944</v>
      </c>
      <c r="I334" s="407">
        <f t="shared" si="21"/>
        <v>-0.13249599999999959</v>
      </c>
      <c r="J334" s="407">
        <f t="shared" si="21"/>
        <v>-7.2342815999999657E-2</v>
      </c>
      <c r="K334" s="589">
        <f t="shared" si="20"/>
        <v>-0.56883881599999875</v>
      </c>
    </row>
    <row r="335" spans="7:11" customFormat="1" x14ac:dyDescent="0.25">
      <c r="G335" s="589">
        <f t="shared" si="19"/>
        <v>-0.36199999999999943</v>
      </c>
      <c r="H335" s="407">
        <f t="shared" si="21"/>
        <v>-0.36199999999999943</v>
      </c>
      <c r="I335" s="407">
        <f t="shared" si="21"/>
        <v>-0.13104399999999958</v>
      </c>
      <c r="J335" s="407">
        <f t="shared" si="21"/>
        <v>-7.1156891999999666E-2</v>
      </c>
      <c r="K335" s="589">
        <f t="shared" si="20"/>
        <v>-0.56420089199999868</v>
      </c>
    </row>
    <row r="336" spans="7:11" customFormat="1" x14ac:dyDescent="0.25">
      <c r="G336" s="589">
        <f t="shared" si="19"/>
        <v>-0.35999999999999943</v>
      </c>
      <c r="H336" s="407">
        <f t="shared" si="21"/>
        <v>-0.35999999999999943</v>
      </c>
      <c r="I336" s="407">
        <f t="shared" si="21"/>
        <v>-0.1295999999999996</v>
      </c>
      <c r="J336" s="407">
        <f t="shared" si="21"/>
        <v>-6.9983999999999671E-2</v>
      </c>
      <c r="K336" s="589">
        <f t="shared" si="20"/>
        <v>-0.55958399999999875</v>
      </c>
    </row>
    <row r="337" spans="7:11" customFormat="1" x14ac:dyDescent="0.25">
      <c r="G337" s="589">
        <f t="shared" ref="G337:G400" si="22">G336+$K$14</f>
        <v>-0.35799999999999943</v>
      </c>
      <c r="H337" s="407">
        <f t="shared" si="21"/>
        <v>-0.35799999999999943</v>
      </c>
      <c r="I337" s="407">
        <f t="shared" si="21"/>
        <v>-0.12816399999999958</v>
      </c>
      <c r="J337" s="407">
        <f t="shared" si="21"/>
        <v>-6.8824067999999669E-2</v>
      </c>
      <c r="K337" s="589">
        <f t="shared" si="20"/>
        <v>-0.55498806799999867</v>
      </c>
    </row>
    <row r="338" spans="7:11" customFormat="1" x14ac:dyDescent="0.25">
      <c r="G338" s="589">
        <f t="shared" si="22"/>
        <v>-0.35599999999999943</v>
      </c>
      <c r="H338" s="407">
        <f t="shared" si="21"/>
        <v>-0.35599999999999943</v>
      </c>
      <c r="I338" s="407">
        <f t="shared" si="21"/>
        <v>-0.1267359999999996</v>
      </c>
      <c r="J338" s="407">
        <f t="shared" si="21"/>
        <v>-6.7677023999999669E-2</v>
      </c>
      <c r="K338" s="589">
        <f t="shared" si="20"/>
        <v>-0.5504130239999987</v>
      </c>
    </row>
    <row r="339" spans="7:11" customFormat="1" x14ac:dyDescent="0.25">
      <c r="G339" s="589">
        <f t="shared" si="22"/>
        <v>-0.35399999999999943</v>
      </c>
      <c r="H339" s="407">
        <f t="shared" si="21"/>
        <v>-0.35399999999999943</v>
      </c>
      <c r="I339" s="407">
        <f t="shared" si="21"/>
        <v>-0.12531599999999959</v>
      </c>
      <c r="J339" s="407">
        <f t="shared" si="21"/>
        <v>-6.6542795999999682E-2</v>
      </c>
      <c r="K339" s="589">
        <f t="shared" si="20"/>
        <v>-0.54585879599999876</v>
      </c>
    </row>
    <row r="340" spans="7:11" customFormat="1" x14ac:dyDescent="0.25">
      <c r="G340" s="589">
        <f t="shared" si="22"/>
        <v>-0.35199999999999942</v>
      </c>
      <c r="H340" s="407">
        <f t="shared" si="21"/>
        <v>-0.35199999999999942</v>
      </c>
      <c r="I340" s="407">
        <f t="shared" si="21"/>
        <v>-0.1239039999999996</v>
      </c>
      <c r="J340" s="407">
        <f t="shared" si="21"/>
        <v>-6.5421311999999676E-2</v>
      </c>
      <c r="K340" s="589">
        <f t="shared" si="20"/>
        <v>-0.54132531199999867</v>
      </c>
    </row>
    <row r="341" spans="7:11" customFormat="1" x14ac:dyDescent="0.25">
      <c r="G341" s="589">
        <f t="shared" si="22"/>
        <v>-0.34999999999999942</v>
      </c>
      <c r="H341" s="407">
        <f t="shared" si="21"/>
        <v>-0.34999999999999942</v>
      </c>
      <c r="I341" s="407">
        <f t="shared" si="21"/>
        <v>-0.1224999999999996</v>
      </c>
      <c r="J341" s="407">
        <f t="shared" si="21"/>
        <v>-6.4312499999999675E-2</v>
      </c>
      <c r="K341" s="589">
        <f t="shared" si="20"/>
        <v>-0.53681249999999869</v>
      </c>
    </row>
    <row r="342" spans="7:11" customFormat="1" x14ac:dyDescent="0.25">
      <c r="G342" s="589">
        <f t="shared" si="22"/>
        <v>-0.34799999999999942</v>
      </c>
      <c r="H342" s="407">
        <f t="shared" si="21"/>
        <v>-0.34799999999999942</v>
      </c>
      <c r="I342" s="407">
        <f t="shared" si="21"/>
        <v>-0.1211039999999996</v>
      </c>
      <c r="J342" s="407">
        <f t="shared" si="21"/>
        <v>-6.321628799999969E-2</v>
      </c>
      <c r="K342" s="589">
        <f t="shared" si="20"/>
        <v>-0.53232028799999875</v>
      </c>
    </row>
    <row r="343" spans="7:11" customFormat="1" x14ac:dyDescent="0.25">
      <c r="G343" s="589">
        <f t="shared" si="22"/>
        <v>-0.34599999999999942</v>
      </c>
      <c r="H343" s="407">
        <f t="shared" si="21"/>
        <v>-0.34599999999999942</v>
      </c>
      <c r="I343" s="407">
        <f t="shared" si="21"/>
        <v>-0.1197159999999996</v>
      </c>
      <c r="J343" s="407">
        <f t="shared" si="21"/>
        <v>-6.2132603999999682E-2</v>
      </c>
      <c r="K343" s="589">
        <f t="shared" si="20"/>
        <v>-0.52784860399999867</v>
      </c>
    </row>
    <row r="344" spans="7:11" customFormat="1" x14ac:dyDescent="0.25">
      <c r="G344" s="589">
        <f t="shared" si="22"/>
        <v>-0.34399999999999942</v>
      </c>
      <c r="H344" s="407">
        <f t="shared" si="21"/>
        <v>-0.34399999999999942</v>
      </c>
      <c r="I344" s="407">
        <f t="shared" si="21"/>
        <v>-0.11833599999999959</v>
      </c>
      <c r="J344" s="407">
        <f t="shared" si="21"/>
        <v>-6.1061375999999688E-2</v>
      </c>
      <c r="K344" s="589">
        <f t="shared" si="20"/>
        <v>-0.52339737599999869</v>
      </c>
    </row>
    <row r="345" spans="7:11" customFormat="1" x14ac:dyDescent="0.25">
      <c r="G345" s="589">
        <f t="shared" si="22"/>
        <v>-0.34199999999999942</v>
      </c>
      <c r="H345" s="407">
        <f t="shared" si="21"/>
        <v>-0.34199999999999942</v>
      </c>
      <c r="I345" s="407">
        <f t="shared" si="21"/>
        <v>-0.1169639999999996</v>
      </c>
      <c r="J345" s="407">
        <f t="shared" si="21"/>
        <v>-6.0002531999999692E-2</v>
      </c>
      <c r="K345" s="589">
        <f t="shared" si="20"/>
        <v>-0.51896653199999876</v>
      </c>
    </row>
    <row r="346" spans="7:11" customFormat="1" x14ac:dyDescent="0.25">
      <c r="G346" s="589">
        <f t="shared" si="22"/>
        <v>-0.33999999999999941</v>
      </c>
      <c r="H346" s="407">
        <f t="shared" si="21"/>
        <v>-0.33999999999999941</v>
      </c>
      <c r="I346" s="407">
        <f t="shared" si="21"/>
        <v>-0.11559999999999961</v>
      </c>
      <c r="J346" s="407">
        <f t="shared" si="21"/>
        <v>-5.8955999999999696E-2</v>
      </c>
      <c r="K346" s="589">
        <f t="shared" si="20"/>
        <v>-0.51455599999999868</v>
      </c>
    </row>
    <row r="347" spans="7:11" customFormat="1" x14ac:dyDescent="0.25">
      <c r="G347" s="589">
        <f t="shared" si="22"/>
        <v>-0.33799999999999941</v>
      </c>
      <c r="H347" s="407">
        <f t="shared" si="21"/>
        <v>-0.33799999999999941</v>
      </c>
      <c r="I347" s="407">
        <f t="shared" si="21"/>
        <v>-0.1142439999999996</v>
      </c>
      <c r="J347" s="407">
        <f t="shared" si="21"/>
        <v>-5.792170799999969E-2</v>
      </c>
      <c r="K347" s="589">
        <f t="shared" si="20"/>
        <v>-0.51016570799999872</v>
      </c>
    </row>
    <row r="348" spans="7:11" customFormat="1" x14ac:dyDescent="0.25">
      <c r="G348" s="589">
        <f t="shared" si="22"/>
        <v>-0.33599999999999941</v>
      </c>
      <c r="H348" s="407">
        <f t="shared" si="21"/>
        <v>-0.33599999999999941</v>
      </c>
      <c r="I348" s="407">
        <f t="shared" si="21"/>
        <v>-0.11289599999999961</v>
      </c>
      <c r="J348" s="407">
        <f t="shared" si="21"/>
        <v>-5.6899583999999698E-2</v>
      </c>
      <c r="K348" s="589">
        <f t="shared" si="20"/>
        <v>-0.50579558399999869</v>
      </c>
    </row>
    <row r="349" spans="7:11" customFormat="1" x14ac:dyDescent="0.25">
      <c r="G349" s="589">
        <f t="shared" si="22"/>
        <v>-0.33399999999999941</v>
      </c>
      <c r="H349" s="407">
        <f t="shared" si="21"/>
        <v>-0.33399999999999941</v>
      </c>
      <c r="I349" s="407">
        <f t="shared" si="21"/>
        <v>-0.1115559999999996</v>
      </c>
      <c r="J349" s="407">
        <f t="shared" si="21"/>
        <v>-5.5889555999999702E-2</v>
      </c>
      <c r="K349" s="589">
        <f t="shared" si="20"/>
        <v>-0.50144555599999874</v>
      </c>
    </row>
    <row r="350" spans="7:11" customFormat="1" x14ac:dyDescent="0.25">
      <c r="G350" s="589">
        <f t="shared" si="22"/>
        <v>-0.33199999999999941</v>
      </c>
      <c r="H350" s="407">
        <f t="shared" si="21"/>
        <v>-0.33199999999999941</v>
      </c>
      <c r="I350" s="407">
        <f t="shared" si="21"/>
        <v>-0.1102239999999996</v>
      </c>
      <c r="J350" s="407">
        <f t="shared" si="21"/>
        <v>-5.4891551999999705E-2</v>
      </c>
      <c r="K350" s="589">
        <f t="shared" si="20"/>
        <v>-0.49711555199999868</v>
      </c>
    </row>
    <row r="351" spans="7:11" customFormat="1" x14ac:dyDescent="0.25">
      <c r="G351" s="589">
        <f t="shared" si="22"/>
        <v>-0.3299999999999994</v>
      </c>
      <c r="H351" s="407">
        <f t="shared" si="21"/>
        <v>-0.3299999999999994</v>
      </c>
      <c r="I351" s="407">
        <f t="shared" si="21"/>
        <v>-0.10889999999999961</v>
      </c>
      <c r="J351" s="407">
        <f t="shared" si="21"/>
        <v>-5.3905499999999718E-2</v>
      </c>
      <c r="K351" s="589">
        <f t="shared" si="20"/>
        <v>-0.49280549999999873</v>
      </c>
    </row>
    <row r="352" spans="7:11" customFormat="1" x14ac:dyDescent="0.25">
      <c r="G352" s="589">
        <f t="shared" si="22"/>
        <v>-0.3279999999999994</v>
      </c>
      <c r="H352" s="407">
        <f t="shared" si="21"/>
        <v>-0.3279999999999994</v>
      </c>
      <c r="I352" s="407">
        <f t="shared" si="21"/>
        <v>-0.10758399999999961</v>
      </c>
      <c r="J352" s="407">
        <f t="shared" si="21"/>
        <v>-5.2931327999999701E-2</v>
      </c>
      <c r="K352" s="589">
        <f t="shared" si="20"/>
        <v>-0.48851532799999875</v>
      </c>
    </row>
    <row r="353" spans="7:11" customFormat="1" x14ac:dyDescent="0.25">
      <c r="G353" s="589">
        <f t="shared" si="22"/>
        <v>-0.3259999999999994</v>
      </c>
      <c r="H353" s="407">
        <f t="shared" si="21"/>
        <v>-0.3259999999999994</v>
      </c>
      <c r="I353" s="407">
        <f t="shared" si="21"/>
        <v>-0.10627599999999961</v>
      </c>
      <c r="J353" s="407">
        <f t="shared" si="21"/>
        <v>-5.1968963999999708E-2</v>
      </c>
      <c r="K353" s="589">
        <f t="shared" si="20"/>
        <v>-0.48424496399999872</v>
      </c>
    </row>
    <row r="354" spans="7:11" customFormat="1" x14ac:dyDescent="0.25">
      <c r="G354" s="589">
        <f t="shared" si="22"/>
        <v>-0.3239999999999994</v>
      </c>
      <c r="H354" s="407">
        <f t="shared" si="21"/>
        <v>-0.3239999999999994</v>
      </c>
      <c r="I354" s="407">
        <f t="shared" si="21"/>
        <v>-0.10497599999999961</v>
      </c>
      <c r="J354" s="407">
        <f t="shared" si="21"/>
        <v>-5.101833599999972E-2</v>
      </c>
      <c r="K354" s="589">
        <f t="shared" si="20"/>
        <v>-0.47999433599999874</v>
      </c>
    </row>
    <row r="355" spans="7:11" customFormat="1" x14ac:dyDescent="0.25">
      <c r="G355" s="589">
        <f t="shared" si="22"/>
        <v>-0.3219999999999994</v>
      </c>
      <c r="H355" s="407">
        <f t="shared" si="21"/>
        <v>-0.3219999999999994</v>
      </c>
      <c r="I355" s="407">
        <f t="shared" si="21"/>
        <v>-0.10368399999999961</v>
      </c>
      <c r="J355" s="407">
        <f t="shared" si="21"/>
        <v>-5.0079371999999713E-2</v>
      </c>
      <c r="K355" s="589">
        <f t="shared" si="20"/>
        <v>-0.47576337199999874</v>
      </c>
    </row>
    <row r="356" spans="7:11" customFormat="1" x14ac:dyDescent="0.25">
      <c r="G356" s="589">
        <f t="shared" si="22"/>
        <v>-0.3199999999999994</v>
      </c>
      <c r="H356" s="407">
        <f t="shared" si="21"/>
        <v>-0.3199999999999994</v>
      </c>
      <c r="I356" s="407">
        <f t="shared" si="21"/>
        <v>-0.10239999999999962</v>
      </c>
      <c r="J356" s="407">
        <f t="shared" si="21"/>
        <v>-4.9151999999999724E-2</v>
      </c>
      <c r="K356" s="589">
        <f t="shared" si="20"/>
        <v>-0.47155199999999875</v>
      </c>
    </row>
    <row r="357" spans="7:11" customFormat="1" x14ac:dyDescent="0.25">
      <c r="G357" s="589">
        <f t="shared" si="22"/>
        <v>-0.31799999999999939</v>
      </c>
      <c r="H357" s="407">
        <f t="shared" si="21"/>
        <v>-0.31799999999999939</v>
      </c>
      <c r="I357" s="407">
        <f t="shared" si="21"/>
        <v>-0.10112399999999962</v>
      </c>
      <c r="J357" s="407">
        <f t="shared" si="21"/>
        <v>-4.8236147999999729E-2</v>
      </c>
      <c r="K357" s="589">
        <f t="shared" si="20"/>
        <v>-0.4673601479999987</v>
      </c>
    </row>
    <row r="358" spans="7:11" customFormat="1" x14ac:dyDescent="0.25">
      <c r="G358" s="589">
        <f t="shared" si="22"/>
        <v>-0.31599999999999939</v>
      </c>
      <c r="H358" s="407">
        <f t="shared" si="21"/>
        <v>-0.31599999999999939</v>
      </c>
      <c r="I358" s="407">
        <f t="shared" si="21"/>
        <v>-9.9855999999999612E-2</v>
      </c>
      <c r="J358" s="407">
        <f t="shared" si="21"/>
        <v>-4.7331743999999724E-2</v>
      </c>
      <c r="K358" s="589">
        <f t="shared" si="20"/>
        <v>-0.46318774399999874</v>
      </c>
    </row>
    <row r="359" spans="7:11" customFormat="1" x14ac:dyDescent="0.25">
      <c r="G359" s="589">
        <f t="shared" si="22"/>
        <v>-0.31399999999999939</v>
      </c>
      <c r="H359" s="407">
        <f t="shared" si="21"/>
        <v>-0.31399999999999939</v>
      </c>
      <c r="I359" s="407">
        <f t="shared" si="21"/>
        <v>-9.8595999999999615E-2</v>
      </c>
      <c r="J359" s="407">
        <f t="shared" si="21"/>
        <v>-4.6438715999999734E-2</v>
      </c>
      <c r="K359" s="589">
        <f t="shared" si="20"/>
        <v>-0.45903471599999873</v>
      </c>
    </row>
    <row r="360" spans="7:11" customFormat="1" x14ac:dyDescent="0.25">
      <c r="G360" s="589">
        <f t="shared" si="22"/>
        <v>-0.31199999999999939</v>
      </c>
      <c r="H360" s="407">
        <f t="shared" si="21"/>
        <v>-0.31199999999999939</v>
      </c>
      <c r="I360" s="407">
        <f t="shared" si="21"/>
        <v>-9.7343999999999625E-2</v>
      </c>
      <c r="J360" s="407">
        <f t="shared" si="21"/>
        <v>-4.5556991999999734E-2</v>
      </c>
      <c r="K360" s="589">
        <f t="shared" si="20"/>
        <v>-0.45490099199999878</v>
      </c>
    </row>
    <row r="361" spans="7:11" customFormat="1" x14ac:dyDescent="0.25">
      <c r="G361" s="589">
        <f t="shared" si="22"/>
        <v>-0.30999999999999939</v>
      </c>
      <c r="H361" s="407">
        <f t="shared" si="21"/>
        <v>-0.30999999999999939</v>
      </c>
      <c r="I361" s="407">
        <f t="shared" si="21"/>
        <v>-9.6099999999999616E-2</v>
      </c>
      <c r="J361" s="407">
        <f t="shared" si="21"/>
        <v>-4.4686499999999733E-2</v>
      </c>
      <c r="K361" s="589">
        <f t="shared" si="20"/>
        <v>-0.45078649999999876</v>
      </c>
    </row>
    <row r="362" spans="7:11" customFormat="1" x14ac:dyDescent="0.25">
      <c r="G362" s="589">
        <f t="shared" si="22"/>
        <v>-0.30799999999999939</v>
      </c>
      <c r="H362" s="407">
        <f t="shared" si="21"/>
        <v>-0.30799999999999939</v>
      </c>
      <c r="I362" s="407">
        <f t="shared" si="21"/>
        <v>-9.4863999999999615E-2</v>
      </c>
      <c r="J362" s="407">
        <f t="shared" si="21"/>
        <v>-4.3827167999999729E-2</v>
      </c>
      <c r="K362" s="589">
        <f t="shared" si="20"/>
        <v>-0.44669116799999875</v>
      </c>
    </row>
    <row r="363" spans="7:11" customFormat="1" x14ac:dyDescent="0.25">
      <c r="G363" s="589">
        <f t="shared" si="22"/>
        <v>-0.30599999999999938</v>
      </c>
      <c r="H363" s="407">
        <f t="shared" si="21"/>
        <v>-0.30599999999999938</v>
      </c>
      <c r="I363" s="407">
        <f t="shared" si="21"/>
        <v>-9.3635999999999622E-2</v>
      </c>
      <c r="J363" s="407">
        <f t="shared" si="21"/>
        <v>-4.2978923999999731E-2</v>
      </c>
      <c r="K363" s="589">
        <f t="shared" si="20"/>
        <v>-0.44261492399999874</v>
      </c>
    </row>
    <row r="364" spans="7:11" customFormat="1" x14ac:dyDescent="0.25">
      <c r="G364" s="589">
        <f t="shared" si="22"/>
        <v>-0.30399999999999938</v>
      </c>
      <c r="H364" s="407">
        <f t="shared" si="21"/>
        <v>-0.30399999999999938</v>
      </c>
      <c r="I364" s="407">
        <f t="shared" si="21"/>
        <v>-9.2415999999999623E-2</v>
      </c>
      <c r="J364" s="407">
        <f t="shared" si="21"/>
        <v>-4.214169599999975E-2</v>
      </c>
      <c r="K364" s="589">
        <f t="shared" si="20"/>
        <v>-0.43855769599999872</v>
      </c>
    </row>
    <row r="365" spans="7:11" customFormat="1" x14ac:dyDescent="0.25">
      <c r="G365" s="589">
        <f t="shared" si="22"/>
        <v>-0.30199999999999938</v>
      </c>
      <c r="H365" s="407">
        <f t="shared" si="21"/>
        <v>-0.30199999999999938</v>
      </c>
      <c r="I365" s="407">
        <f t="shared" si="21"/>
        <v>-9.1203999999999619E-2</v>
      </c>
      <c r="J365" s="407">
        <f t="shared" si="21"/>
        <v>-4.1315411999999739E-2</v>
      </c>
      <c r="K365" s="589">
        <f t="shared" si="20"/>
        <v>-0.43451941199999872</v>
      </c>
    </row>
    <row r="366" spans="7:11" customFormat="1" x14ac:dyDescent="0.25">
      <c r="G366" s="589">
        <f t="shared" si="22"/>
        <v>-0.29999999999999938</v>
      </c>
      <c r="H366" s="407">
        <f t="shared" si="21"/>
        <v>-0.29999999999999938</v>
      </c>
      <c r="I366" s="407">
        <f t="shared" si="21"/>
        <v>-8.9999999999999622E-2</v>
      </c>
      <c r="J366" s="407">
        <f t="shared" si="21"/>
        <v>-4.0499999999999745E-2</v>
      </c>
      <c r="K366" s="589">
        <f t="shared" si="20"/>
        <v>-0.43049999999999877</v>
      </c>
    </row>
    <row r="367" spans="7:11" customFormat="1" x14ac:dyDescent="0.25">
      <c r="G367" s="589">
        <f t="shared" si="22"/>
        <v>-0.29799999999999938</v>
      </c>
      <c r="H367" s="407">
        <f t="shared" si="21"/>
        <v>-0.29799999999999938</v>
      </c>
      <c r="I367" s="407">
        <f t="shared" si="21"/>
        <v>-8.8803999999999633E-2</v>
      </c>
      <c r="J367" s="407">
        <f t="shared" si="21"/>
        <v>-3.9695387999999755E-2</v>
      </c>
      <c r="K367" s="589">
        <f t="shared" si="20"/>
        <v>-0.42649938799999881</v>
      </c>
    </row>
    <row r="368" spans="7:11" customFormat="1" x14ac:dyDescent="0.25">
      <c r="G368" s="589">
        <f t="shared" si="22"/>
        <v>-0.29599999999999937</v>
      </c>
      <c r="H368" s="407">
        <f t="shared" si="21"/>
        <v>-0.29599999999999937</v>
      </c>
      <c r="I368" s="407">
        <f t="shared" si="21"/>
        <v>-8.7615999999999625E-2</v>
      </c>
      <c r="J368" s="407">
        <f t="shared" si="21"/>
        <v>-3.8901503999999754E-2</v>
      </c>
      <c r="K368" s="589">
        <f t="shared" si="20"/>
        <v>-0.42251750399999877</v>
      </c>
    </row>
    <row r="369" spans="7:11" customFormat="1" x14ac:dyDescent="0.25">
      <c r="G369" s="589">
        <f t="shared" si="22"/>
        <v>-0.29399999999999937</v>
      </c>
      <c r="H369" s="407">
        <f t="shared" si="21"/>
        <v>-0.29399999999999937</v>
      </c>
      <c r="I369" s="407">
        <f t="shared" si="21"/>
        <v>-8.6435999999999638E-2</v>
      </c>
      <c r="J369" s="407">
        <f t="shared" si="21"/>
        <v>-3.8118275999999757E-2</v>
      </c>
      <c r="K369" s="589">
        <f t="shared" si="20"/>
        <v>-0.41855427599999873</v>
      </c>
    </row>
    <row r="370" spans="7:11" customFormat="1" x14ac:dyDescent="0.25">
      <c r="G370" s="589">
        <f t="shared" si="22"/>
        <v>-0.29199999999999937</v>
      </c>
      <c r="H370" s="407">
        <f t="shared" si="21"/>
        <v>-0.29199999999999937</v>
      </c>
      <c r="I370" s="407">
        <f t="shared" si="21"/>
        <v>-8.5263999999999632E-2</v>
      </c>
      <c r="J370" s="407">
        <f t="shared" si="21"/>
        <v>-3.7345631999999761E-2</v>
      </c>
      <c r="K370" s="589">
        <f t="shared" si="20"/>
        <v>-0.41460963199999873</v>
      </c>
    </row>
    <row r="371" spans="7:11" customFormat="1" x14ac:dyDescent="0.25">
      <c r="G371" s="589">
        <f t="shared" si="22"/>
        <v>-0.28999999999999937</v>
      </c>
      <c r="H371" s="407">
        <f t="shared" si="21"/>
        <v>-0.28999999999999937</v>
      </c>
      <c r="I371" s="407">
        <f t="shared" si="21"/>
        <v>-8.4099999999999633E-2</v>
      </c>
      <c r="J371" s="407">
        <f t="shared" si="21"/>
        <v>-3.6583499999999762E-2</v>
      </c>
      <c r="K371" s="589">
        <f t="shared" si="20"/>
        <v>-0.41068349999999876</v>
      </c>
    </row>
    <row r="372" spans="7:11" customFormat="1" x14ac:dyDescent="0.25">
      <c r="G372" s="589">
        <f t="shared" si="22"/>
        <v>-0.28799999999999937</v>
      </c>
      <c r="H372" s="407">
        <f t="shared" si="21"/>
        <v>-0.28799999999999937</v>
      </c>
      <c r="I372" s="407">
        <f t="shared" si="21"/>
        <v>-8.2943999999999629E-2</v>
      </c>
      <c r="J372" s="407">
        <f t="shared" si="21"/>
        <v>-3.5831807999999764E-2</v>
      </c>
      <c r="K372" s="589">
        <f t="shared" si="20"/>
        <v>-0.40677580799999874</v>
      </c>
    </row>
    <row r="373" spans="7:11" customFormat="1" x14ac:dyDescent="0.25">
      <c r="G373" s="589">
        <f t="shared" si="22"/>
        <v>-0.28599999999999937</v>
      </c>
      <c r="H373" s="407">
        <f t="shared" si="21"/>
        <v>-0.28599999999999937</v>
      </c>
      <c r="I373" s="407">
        <f t="shared" si="21"/>
        <v>-8.1795999999999633E-2</v>
      </c>
      <c r="J373" s="407">
        <f t="shared" si="21"/>
        <v>-3.5090483999999762E-2</v>
      </c>
      <c r="K373" s="589">
        <f t="shared" ref="K373:K436" si="23">SUM(H373:J373)</f>
        <v>-0.40288648399999877</v>
      </c>
    </row>
    <row r="374" spans="7:11" customFormat="1" x14ac:dyDescent="0.25">
      <c r="G374" s="589">
        <f t="shared" si="22"/>
        <v>-0.28399999999999936</v>
      </c>
      <c r="H374" s="407">
        <f t="shared" si="21"/>
        <v>-0.28399999999999936</v>
      </c>
      <c r="I374" s="407">
        <f t="shared" si="21"/>
        <v>-8.0655999999999645E-2</v>
      </c>
      <c r="J374" s="407">
        <f t="shared" si="21"/>
        <v>-3.4359455999999768E-2</v>
      </c>
      <c r="K374" s="589">
        <f t="shared" si="23"/>
        <v>-0.39901545599999877</v>
      </c>
    </row>
    <row r="375" spans="7:11" customFormat="1" x14ac:dyDescent="0.25">
      <c r="G375" s="589">
        <f t="shared" si="22"/>
        <v>-0.28199999999999936</v>
      </c>
      <c r="H375" s="407">
        <f t="shared" si="21"/>
        <v>-0.28199999999999936</v>
      </c>
      <c r="I375" s="407">
        <f t="shared" si="21"/>
        <v>-7.9523999999999637E-2</v>
      </c>
      <c r="J375" s="407">
        <f t="shared" si="21"/>
        <v>-3.3638651999999769E-2</v>
      </c>
      <c r="K375" s="589">
        <f t="shared" si="23"/>
        <v>-0.39516265199999878</v>
      </c>
    </row>
    <row r="376" spans="7:11" customFormat="1" x14ac:dyDescent="0.25">
      <c r="G376" s="589">
        <f t="shared" si="22"/>
        <v>-0.27999999999999936</v>
      </c>
      <c r="H376" s="407">
        <f t="shared" si="21"/>
        <v>-0.27999999999999936</v>
      </c>
      <c r="I376" s="407">
        <f t="shared" si="21"/>
        <v>-7.8399999999999637E-2</v>
      </c>
      <c r="J376" s="407">
        <f t="shared" si="21"/>
        <v>-3.292799999999977E-2</v>
      </c>
      <c r="K376" s="589">
        <f t="shared" si="23"/>
        <v>-0.39132799999999879</v>
      </c>
    </row>
    <row r="377" spans="7:11" customFormat="1" x14ac:dyDescent="0.25">
      <c r="G377" s="589">
        <f t="shared" si="22"/>
        <v>-0.27799999999999936</v>
      </c>
      <c r="H377" s="407">
        <f t="shared" si="21"/>
        <v>-0.27799999999999936</v>
      </c>
      <c r="I377" s="407">
        <f t="shared" si="21"/>
        <v>-7.7283999999999645E-2</v>
      </c>
      <c r="J377" s="407">
        <f t="shared" si="21"/>
        <v>-3.222742799999978E-2</v>
      </c>
      <c r="K377" s="589">
        <f t="shared" si="23"/>
        <v>-0.38751142799999877</v>
      </c>
    </row>
    <row r="378" spans="7:11" customFormat="1" x14ac:dyDescent="0.25">
      <c r="G378" s="589">
        <f t="shared" si="22"/>
        <v>-0.27599999999999936</v>
      </c>
      <c r="H378" s="407">
        <f t="shared" ref="H378:J441" si="24">($G378^H$15*(-H$15)^(-1+H$15))/FACT(H$15)</f>
        <v>-0.27599999999999936</v>
      </c>
      <c r="I378" s="407">
        <f t="shared" si="24"/>
        <v>-7.6175999999999647E-2</v>
      </c>
      <c r="J378" s="407">
        <f t="shared" si="24"/>
        <v>-3.1536863999999783E-2</v>
      </c>
      <c r="K378" s="589">
        <f t="shared" si="23"/>
        <v>-0.38371286399999877</v>
      </c>
    </row>
    <row r="379" spans="7:11" customFormat="1" x14ac:dyDescent="0.25">
      <c r="G379" s="589">
        <f t="shared" si="22"/>
        <v>-0.27399999999999936</v>
      </c>
      <c r="H379" s="407">
        <f t="shared" si="24"/>
        <v>-0.27399999999999936</v>
      </c>
      <c r="I379" s="407">
        <f t="shared" si="24"/>
        <v>-7.5075999999999643E-2</v>
      </c>
      <c r="J379" s="407">
        <f t="shared" si="24"/>
        <v>-3.0856235999999777E-2</v>
      </c>
      <c r="K379" s="589">
        <f t="shared" si="23"/>
        <v>-0.37993223599999876</v>
      </c>
    </row>
    <row r="380" spans="7:11" customFormat="1" x14ac:dyDescent="0.25">
      <c r="G380" s="589">
        <f t="shared" si="22"/>
        <v>-0.27199999999999935</v>
      </c>
      <c r="H380" s="407">
        <f t="shared" si="24"/>
        <v>-0.27199999999999935</v>
      </c>
      <c r="I380" s="407">
        <f t="shared" si="24"/>
        <v>-7.3983999999999647E-2</v>
      </c>
      <c r="J380" s="407">
        <f t="shared" si="24"/>
        <v>-3.0185471999999783E-2</v>
      </c>
      <c r="K380" s="589">
        <f t="shared" si="23"/>
        <v>-0.37616947199999878</v>
      </c>
    </row>
    <row r="381" spans="7:11" customFormat="1" x14ac:dyDescent="0.25">
      <c r="G381" s="589">
        <f t="shared" si="22"/>
        <v>-0.26999999999999935</v>
      </c>
      <c r="H381" s="407">
        <f t="shared" si="24"/>
        <v>-0.26999999999999935</v>
      </c>
      <c r="I381" s="407">
        <f t="shared" si="24"/>
        <v>-7.2899999999999646E-2</v>
      </c>
      <c r="J381" s="407">
        <f t="shared" si="24"/>
        <v>-2.9524499999999787E-2</v>
      </c>
      <c r="K381" s="589">
        <f t="shared" si="23"/>
        <v>-0.37242449999999877</v>
      </c>
    </row>
    <row r="382" spans="7:11" customFormat="1" x14ac:dyDescent="0.25">
      <c r="G382" s="589">
        <f t="shared" si="22"/>
        <v>-0.26799999999999935</v>
      </c>
      <c r="H382" s="407">
        <f t="shared" si="24"/>
        <v>-0.26799999999999935</v>
      </c>
      <c r="I382" s="407">
        <f t="shared" si="24"/>
        <v>-7.1823999999999652E-2</v>
      </c>
      <c r="J382" s="407">
        <f t="shared" si="24"/>
        <v>-2.8873247999999792E-2</v>
      </c>
      <c r="K382" s="589">
        <f t="shared" si="23"/>
        <v>-0.36869724799999881</v>
      </c>
    </row>
    <row r="383" spans="7:11" customFormat="1" x14ac:dyDescent="0.25">
      <c r="G383" s="589">
        <f t="shared" si="22"/>
        <v>-0.26599999999999935</v>
      </c>
      <c r="H383" s="407">
        <f t="shared" si="24"/>
        <v>-0.26599999999999935</v>
      </c>
      <c r="I383" s="407">
        <f t="shared" si="24"/>
        <v>-7.0755999999999653E-2</v>
      </c>
      <c r="J383" s="407">
        <f t="shared" si="24"/>
        <v>-2.8231643999999792E-2</v>
      </c>
      <c r="K383" s="589">
        <f t="shared" si="23"/>
        <v>-0.36498764399999878</v>
      </c>
    </row>
    <row r="384" spans="7:11" customFormat="1" x14ac:dyDescent="0.25">
      <c r="G384" s="589">
        <f t="shared" si="22"/>
        <v>-0.26399999999999935</v>
      </c>
      <c r="H384" s="407">
        <f t="shared" si="24"/>
        <v>-0.26399999999999935</v>
      </c>
      <c r="I384" s="407">
        <f t="shared" si="24"/>
        <v>-6.9695999999999661E-2</v>
      </c>
      <c r="J384" s="407">
        <f t="shared" si="24"/>
        <v>-2.7599615999999796E-2</v>
      </c>
      <c r="K384" s="589">
        <f t="shared" si="23"/>
        <v>-0.36129561599999876</v>
      </c>
    </row>
    <row r="385" spans="7:11" customFormat="1" x14ac:dyDescent="0.25">
      <c r="G385" s="589">
        <f t="shared" si="22"/>
        <v>-0.26199999999999934</v>
      </c>
      <c r="H385" s="407">
        <f t="shared" si="24"/>
        <v>-0.26199999999999934</v>
      </c>
      <c r="I385" s="407">
        <f t="shared" si="24"/>
        <v>-6.864399999999965E-2</v>
      </c>
      <c r="J385" s="407">
        <f t="shared" si="24"/>
        <v>-2.6977091999999796E-2</v>
      </c>
      <c r="K385" s="589">
        <f t="shared" si="23"/>
        <v>-0.35762109199999881</v>
      </c>
    </row>
    <row r="386" spans="7:11" customFormat="1" x14ac:dyDescent="0.25">
      <c r="G386" s="589">
        <f t="shared" si="22"/>
        <v>-0.25999999999999934</v>
      </c>
      <c r="H386" s="407">
        <f t="shared" si="24"/>
        <v>-0.25999999999999934</v>
      </c>
      <c r="I386" s="407">
        <f t="shared" si="24"/>
        <v>-6.759999999999966E-2</v>
      </c>
      <c r="J386" s="407">
        <f t="shared" si="24"/>
        <v>-2.6363999999999801E-2</v>
      </c>
      <c r="K386" s="589">
        <f t="shared" si="23"/>
        <v>-0.35396399999999878</v>
      </c>
    </row>
    <row r="387" spans="7:11" customFormat="1" x14ac:dyDescent="0.25">
      <c r="G387" s="589">
        <f t="shared" si="22"/>
        <v>-0.25799999999999934</v>
      </c>
      <c r="H387" s="407">
        <f t="shared" si="24"/>
        <v>-0.25799999999999934</v>
      </c>
      <c r="I387" s="407">
        <f t="shared" si="24"/>
        <v>-6.6563999999999665E-2</v>
      </c>
      <c r="J387" s="407">
        <f t="shared" si="24"/>
        <v>-2.5760267999999805E-2</v>
      </c>
      <c r="K387" s="589">
        <f t="shared" si="23"/>
        <v>-0.35032426799999883</v>
      </c>
    </row>
    <row r="388" spans="7:11" customFormat="1" x14ac:dyDescent="0.25">
      <c r="G388" s="589">
        <f t="shared" si="22"/>
        <v>-0.25599999999999934</v>
      </c>
      <c r="H388" s="407">
        <f t="shared" si="24"/>
        <v>-0.25599999999999934</v>
      </c>
      <c r="I388" s="407">
        <f t="shared" si="24"/>
        <v>-6.5535999999999664E-2</v>
      </c>
      <c r="J388" s="407">
        <f t="shared" si="24"/>
        <v>-2.5165823999999806E-2</v>
      </c>
      <c r="K388" s="589">
        <f t="shared" si="23"/>
        <v>-0.34670182399999877</v>
      </c>
    </row>
    <row r="389" spans="7:11" customFormat="1" x14ac:dyDescent="0.25">
      <c r="G389" s="589">
        <f t="shared" si="22"/>
        <v>-0.25399999999999934</v>
      </c>
      <c r="H389" s="407">
        <f t="shared" si="24"/>
        <v>-0.25399999999999934</v>
      </c>
      <c r="I389" s="407">
        <f t="shared" si="24"/>
        <v>-6.4515999999999657E-2</v>
      </c>
      <c r="J389" s="407">
        <f t="shared" si="24"/>
        <v>-2.4580595999999805E-2</v>
      </c>
      <c r="K389" s="589">
        <f t="shared" si="23"/>
        <v>-0.34309659599999881</v>
      </c>
    </row>
    <row r="390" spans="7:11" customFormat="1" x14ac:dyDescent="0.25">
      <c r="G390" s="589">
        <f t="shared" si="22"/>
        <v>-0.25199999999999934</v>
      </c>
      <c r="H390" s="407">
        <f t="shared" si="24"/>
        <v>-0.25199999999999934</v>
      </c>
      <c r="I390" s="407">
        <f t="shared" si="24"/>
        <v>-6.3503999999999672E-2</v>
      </c>
      <c r="J390" s="407">
        <f t="shared" si="24"/>
        <v>-2.4004511999999811E-2</v>
      </c>
      <c r="K390" s="589">
        <f t="shared" si="23"/>
        <v>-0.33950851199999882</v>
      </c>
    </row>
    <row r="391" spans="7:11" customFormat="1" x14ac:dyDescent="0.25">
      <c r="G391" s="589">
        <f t="shared" si="22"/>
        <v>-0.24999999999999933</v>
      </c>
      <c r="H391" s="407">
        <f t="shared" si="24"/>
        <v>-0.24999999999999933</v>
      </c>
      <c r="I391" s="407">
        <f t="shared" si="24"/>
        <v>-6.2499999999999667E-2</v>
      </c>
      <c r="J391" s="407">
        <f t="shared" si="24"/>
        <v>-2.3437499999999816E-2</v>
      </c>
      <c r="K391" s="589">
        <f t="shared" si="23"/>
        <v>-0.33593749999999883</v>
      </c>
    </row>
    <row r="392" spans="7:11" customFormat="1" x14ac:dyDescent="0.25">
      <c r="G392" s="589">
        <f t="shared" si="22"/>
        <v>-0.24799999999999933</v>
      </c>
      <c r="H392" s="407">
        <f t="shared" si="24"/>
        <v>-0.24799999999999933</v>
      </c>
      <c r="I392" s="407">
        <f t="shared" si="24"/>
        <v>-6.150399999999967E-2</v>
      </c>
      <c r="J392" s="407">
        <f t="shared" si="24"/>
        <v>-2.2879487999999813E-2</v>
      </c>
      <c r="K392" s="589">
        <f t="shared" si="23"/>
        <v>-0.33238348799999884</v>
      </c>
    </row>
    <row r="393" spans="7:11" customFormat="1" x14ac:dyDescent="0.25">
      <c r="G393" s="589">
        <f t="shared" si="22"/>
        <v>-0.24599999999999933</v>
      </c>
      <c r="H393" s="407">
        <f t="shared" si="24"/>
        <v>-0.24599999999999933</v>
      </c>
      <c r="I393" s="407">
        <f t="shared" si="24"/>
        <v>-6.0515999999999667E-2</v>
      </c>
      <c r="J393" s="407">
        <f t="shared" si="24"/>
        <v>-2.2330403999999818E-2</v>
      </c>
      <c r="K393" s="589">
        <f t="shared" si="23"/>
        <v>-0.32884640399999882</v>
      </c>
    </row>
    <row r="394" spans="7:11" customFormat="1" x14ac:dyDescent="0.25">
      <c r="G394" s="589">
        <f t="shared" si="22"/>
        <v>-0.24399999999999933</v>
      </c>
      <c r="H394" s="407">
        <f t="shared" si="24"/>
        <v>-0.24399999999999933</v>
      </c>
      <c r="I394" s="407">
        <f t="shared" si="24"/>
        <v>-5.9535999999999673E-2</v>
      </c>
      <c r="J394" s="407">
        <f t="shared" si="24"/>
        <v>-2.1790175999999817E-2</v>
      </c>
      <c r="K394" s="589">
        <f t="shared" si="23"/>
        <v>-0.32532617599999886</v>
      </c>
    </row>
    <row r="395" spans="7:11" customFormat="1" x14ac:dyDescent="0.25">
      <c r="G395" s="589">
        <f t="shared" si="22"/>
        <v>-0.24199999999999933</v>
      </c>
      <c r="H395" s="407">
        <f t="shared" si="24"/>
        <v>-0.24199999999999933</v>
      </c>
      <c r="I395" s="407">
        <f t="shared" si="24"/>
        <v>-5.8563999999999672E-2</v>
      </c>
      <c r="J395" s="407">
        <f t="shared" si="24"/>
        <v>-2.1258731999999822E-2</v>
      </c>
      <c r="K395" s="589">
        <f t="shared" si="23"/>
        <v>-0.32182273199999883</v>
      </c>
    </row>
    <row r="396" spans="7:11" customFormat="1" x14ac:dyDescent="0.25">
      <c r="G396" s="589">
        <f t="shared" si="22"/>
        <v>-0.23999999999999932</v>
      </c>
      <c r="H396" s="407">
        <f t="shared" si="24"/>
        <v>-0.23999999999999932</v>
      </c>
      <c r="I396" s="407">
        <f t="shared" si="24"/>
        <v>-5.7599999999999679E-2</v>
      </c>
      <c r="J396" s="407">
        <f t="shared" si="24"/>
        <v>-2.0735999999999827E-2</v>
      </c>
      <c r="K396" s="589">
        <f t="shared" si="23"/>
        <v>-0.31833599999999879</v>
      </c>
    </row>
    <row r="397" spans="7:11" customFormat="1" x14ac:dyDescent="0.25">
      <c r="G397" s="589">
        <f t="shared" si="22"/>
        <v>-0.23799999999999932</v>
      </c>
      <c r="H397" s="407">
        <f t="shared" si="24"/>
        <v>-0.23799999999999932</v>
      </c>
      <c r="I397" s="407">
        <f t="shared" si="24"/>
        <v>-5.6643999999999681E-2</v>
      </c>
      <c r="J397" s="407">
        <f t="shared" si="24"/>
        <v>-2.022190799999983E-2</v>
      </c>
      <c r="K397" s="589">
        <f t="shared" si="23"/>
        <v>-0.31486590799999886</v>
      </c>
    </row>
    <row r="398" spans="7:11" customFormat="1" x14ac:dyDescent="0.25">
      <c r="G398" s="589">
        <f t="shared" si="22"/>
        <v>-0.23599999999999932</v>
      </c>
      <c r="H398" s="407">
        <f t="shared" si="24"/>
        <v>-0.23599999999999932</v>
      </c>
      <c r="I398" s="407">
        <f t="shared" si="24"/>
        <v>-5.5695999999999676E-2</v>
      </c>
      <c r="J398" s="407">
        <f t="shared" si="24"/>
        <v>-1.9716383999999827E-2</v>
      </c>
      <c r="K398" s="589">
        <f t="shared" si="23"/>
        <v>-0.31141238399999882</v>
      </c>
    </row>
    <row r="399" spans="7:11" customFormat="1" x14ac:dyDescent="0.25">
      <c r="G399" s="589">
        <f t="shared" si="22"/>
        <v>-0.23399999999999932</v>
      </c>
      <c r="H399" s="407">
        <f t="shared" si="24"/>
        <v>-0.23399999999999932</v>
      </c>
      <c r="I399" s="407">
        <f t="shared" si="24"/>
        <v>-5.475599999999968E-2</v>
      </c>
      <c r="J399" s="407">
        <f t="shared" si="24"/>
        <v>-1.921935599999983E-2</v>
      </c>
      <c r="K399" s="589">
        <f t="shared" si="23"/>
        <v>-0.30797535599999887</v>
      </c>
    </row>
    <row r="400" spans="7:11" customFormat="1" x14ac:dyDescent="0.25">
      <c r="G400" s="589">
        <f t="shared" si="22"/>
        <v>-0.23199999999999932</v>
      </c>
      <c r="H400" s="407">
        <f t="shared" si="24"/>
        <v>-0.23199999999999932</v>
      </c>
      <c r="I400" s="407">
        <f t="shared" si="24"/>
        <v>-5.3823999999999685E-2</v>
      </c>
      <c r="J400" s="407">
        <f t="shared" si="24"/>
        <v>-1.8730751999999837E-2</v>
      </c>
      <c r="K400" s="589">
        <f t="shared" si="23"/>
        <v>-0.30455475199999887</v>
      </c>
    </row>
    <row r="401" spans="7:11" customFormat="1" x14ac:dyDescent="0.25">
      <c r="G401" s="589">
        <f t="shared" ref="G401:G464" si="25">G400+$K$14</f>
        <v>-0.22999999999999932</v>
      </c>
      <c r="H401" s="407">
        <f t="shared" si="24"/>
        <v>-0.22999999999999932</v>
      </c>
      <c r="I401" s="407">
        <f t="shared" si="24"/>
        <v>-5.2899999999999683E-2</v>
      </c>
      <c r="J401" s="407">
        <f t="shared" si="24"/>
        <v>-1.8250499999999836E-2</v>
      </c>
      <c r="K401" s="589">
        <f t="shared" si="23"/>
        <v>-0.30115049999999882</v>
      </c>
    </row>
    <row r="402" spans="7:11" customFormat="1" x14ac:dyDescent="0.25">
      <c r="G402" s="589">
        <f t="shared" si="25"/>
        <v>-0.22799999999999931</v>
      </c>
      <c r="H402" s="407">
        <f t="shared" si="24"/>
        <v>-0.22799999999999931</v>
      </c>
      <c r="I402" s="407">
        <f t="shared" si="24"/>
        <v>-5.198399999999969E-2</v>
      </c>
      <c r="J402" s="407">
        <f t="shared" si="24"/>
        <v>-1.7778527999999842E-2</v>
      </c>
      <c r="K402" s="589">
        <f t="shared" si="23"/>
        <v>-0.29776252799999886</v>
      </c>
    </row>
    <row r="403" spans="7:11" customFormat="1" x14ac:dyDescent="0.25">
      <c r="G403" s="589">
        <f t="shared" si="25"/>
        <v>-0.22599999999999931</v>
      </c>
      <c r="H403" s="407">
        <f t="shared" si="24"/>
        <v>-0.22599999999999931</v>
      </c>
      <c r="I403" s="407">
        <f t="shared" si="24"/>
        <v>-5.1075999999999691E-2</v>
      </c>
      <c r="J403" s="407">
        <f t="shared" si="24"/>
        <v>-1.731476399999984E-2</v>
      </c>
      <c r="K403" s="589">
        <f t="shared" si="23"/>
        <v>-0.29439076399999881</v>
      </c>
    </row>
    <row r="404" spans="7:11" customFormat="1" x14ac:dyDescent="0.25">
      <c r="G404" s="589">
        <f t="shared" si="25"/>
        <v>-0.22399999999999931</v>
      </c>
      <c r="H404" s="407">
        <f t="shared" si="24"/>
        <v>-0.22399999999999931</v>
      </c>
      <c r="I404" s="407">
        <f t="shared" si="24"/>
        <v>-5.0175999999999693E-2</v>
      </c>
      <c r="J404" s="407">
        <f t="shared" si="24"/>
        <v>-1.6859135999999848E-2</v>
      </c>
      <c r="K404" s="589">
        <f t="shared" si="23"/>
        <v>-0.29103513599999881</v>
      </c>
    </row>
    <row r="405" spans="7:11" customFormat="1" x14ac:dyDescent="0.25">
      <c r="G405" s="589">
        <f t="shared" si="25"/>
        <v>-0.22199999999999931</v>
      </c>
      <c r="H405" s="407">
        <f t="shared" si="24"/>
        <v>-0.22199999999999931</v>
      </c>
      <c r="I405" s="407">
        <f t="shared" si="24"/>
        <v>-4.9283999999999696E-2</v>
      </c>
      <c r="J405" s="407">
        <f t="shared" si="24"/>
        <v>-1.6411571999999847E-2</v>
      </c>
      <c r="K405" s="589">
        <f t="shared" si="23"/>
        <v>-0.28769557199999884</v>
      </c>
    </row>
    <row r="406" spans="7:11" customFormat="1" x14ac:dyDescent="0.25">
      <c r="G406" s="589">
        <f t="shared" si="25"/>
        <v>-0.21999999999999931</v>
      </c>
      <c r="H406" s="407">
        <f t="shared" si="24"/>
        <v>-0.21999999999999931</v>
      </c>
      <c r="I406" s="407">
        <f t="shared" si="24"/>
        <v>-4.8399999999999693E-2</v>
      </c>
      <c r="J406" s="407">
        <f t="shared" si="24"/>
        <v>-1.5971999999999847E-2</v>
      </c>
      <c r="K406" s="589">
        <f t="shared" si="23"/>
        <v>-0.28437199999999885</v>
      </c>
    </row>
    <row r="407" spans="7:11" customFormat="1" x14ac:dyDescent="0.25">
      <c r="G407" s="589">
        <f t="shared" si="25"/>
        <v>-0.21799999999999931</v>
      </c>
      <c r="H407" s="407">
        <f t="shared" si="24"/>
        <v>-0.21799999999999931</v>
      </c>
      <c r="I407" s="407">
        <f t="shared" si="24"/>
        <v>-4.7523999999999698E-2</v>
      </c>
      <c r="J407" s="407">
        <f t="shared" si="24"/>
        <v>-1.5540347999999852E-2</v>
      </c>
      <c r="K407" s="589">
        <f t="shared" si="23"/>
        <v>-0.28106434799999885</v>
      </c>
    </row>
    <row r="408" spans="7:11" customFormat="1" x14ac:dyDescent="0.25">
      <c r="G408" s="589">
        <f t="shared" si="25"/>
        <v>-0.2159999999999993</v>
      </c>
      <c r="H408" s="407">
        <f t="shared" si="24"/>
        <v>-0.2159999999999993</v>
      </c>
      <c r="I408" s="407">
        <f t="shared" si="24"/>
        <v>-4.6655999999999698E-2</v>
      </c>
      <c r="J408" s="407">
        <f t="shared" si="24"/>
        <v>-1.5116543999999852E-2</v>
      </c>
      <c r="K408" s="589">
        <f t="shared" si="23"/>
        <v>-0.27777254399999884</v>
      </c>
    </row>
    <row r="409" spans="7:11" customFormat="1" x14ac:dyDescent="0.25">
      <c r="G409" s="589">
        <f t="shared" si="25"/>
        <v>-0.2139999999999993</v>
      </c>
      <c r="H409" s="407">
        <f t="shared" si="24"/>
        <v>-0.2139999999999993</v>
      </c>
      <c r="I409" s="407">
        <f t="shared" si="24"/>
        <v>-4.5795999999999698E-2</v>
      </c>
      <c r="J409" s="407">
        <f t="shared" si="24"/>
        <v>-1.4700515999999856E-2</v>
      </c>
      <c r="K409" s="589">
        <f t="shared" si="23"/>
        <v>-0.27449651599999886</v>
      </c>
    </row>
    <row r="410" spans="7:11" customFormat="1" x14ac:dyDescent="0.25">
      <c r="G410" s="589">
        <f t="shared" si="25"/>
        <v>-0.2119999999999993</v>
      </c>
      <c r="H410" s="407">
        <f t="shared" si="24"/>
        <v>-0.2119999999999993</v>
      </c>
      <c r="I410" s="407">
        <f t="shared" si="24"/>
        <v>-4.4943999999999706E-2</v>
      </c>
      <c r="J410" s="407">
        <f t="shared" si="24"/>
        <v>-1.4292191999999862E-2</v>
      </c>
      <c r="K410" s="589">
        <f t="shared" si="23"/>
        <v>-0.27123619199999888</v>
      </c>
    </row>
    <row r="411" spans="7:11" customFormat="1" x14ac:dyDescent="0.25">
      <c r="G411" s="589">
        <f t="shared" si="25"/>
        <v>-0.2099999999999993</v>
      </c>
      <c r="H411" s="407">
        <f t="shared" si="24"/>
        <v>-0.2099999999999993</v>
      </c>
      <c r="I411" s="407">
        <f t="shared" si="24"/>
        <v>-4.4099999999999702E-2</v>
      </c>
      <c r="J411" s="407">
        <f t="shared" si="24"/>
        <v>-1.3891499999999861E-2</v>
      </c>
      <c r="K411" s="589">
        <f t="shared" si="23"/>
        <v>-0.26799149999999883</v>
      </c>
    </row>
    <row r="412" spans="7:11" customFormat="1" x14ac:dyDescent="0.25">
      <c r="G412" s="589">
        <f t="shared" si="25"/>
        <v>-0.2079999999999993</v>
      </c>
      <c r="H412" s="407">
        <f t="shared" si="24"/>
        <v>-0.2079999999999993</v>
      </c>
      <c r="I412" s="407">
        <f t="shared" si="24"/>
        <v>-4.3263999999999705E-2</v>
      </c>
      <c r="J412" s="407">
        <f t="shared" si="24"/>
        <v>-1.3498367999999863E-2</v>
      </c>
      <c r="K412" s="589">
        <f t="shared" si="23"/>
        <v>-0.26476236799999886</v>
      </c>
    </row>
    <row r="413" spans="7:11" customFormat="1" x14ac:dyDescent="0.25">
      <c r="G413" s="589">
        <f t="shared" si="25"/>
        <v>-0.20599999999999929</v>
      </c>
      <c r="H413" s="407">
        <f t="shared" si="24"/>
        <v>-0.20599999999999929</v>
      </c>
      <c r="I413" s="407">
        <f t="shared" si="24"/>
        <v>-4.243599999999971E-2</v>
      </c>
      <c r="J413" s="407">
        <f t="shared" si="24"/>
        <v>-1.3112723999999867E-2</v>
      </c>
      <c r="K413" s="589">
        <f t="shared" si="23"/>
        <v>-0.26154872399999884</v>
      </c>
    </row>
    <row r="414" spans="7:11" customFormat="1" x14ac:dyDescent="0.25">
      <c r="G414" s="589">
        <f t="shared" si="25"/>
        <v>-0.20399999999999929</v>
      </c>
      <c r="H414" s="407">
        <f t="shared" si="24"/>
        <v>-0.20399999999999929</v>
      </c>
      <c r="I414" s="407">
        <f t="shared" si="24"/>
        <v>-4.1615999999999709E-2</v>
      </c>
      <c r="J414" s="407">
        <f t="shared" si="24"/>
        <v>-1.2734495999999866E-2</v>
      </c>
      <c r="K414" s="589">
        <f t="shared" si="23"/>
        <v>-0.25835049599999887</v>
      </c>
    </row>
    <row r="415" spans="7:11" customFormat="1" x14ac:dyDescent="0.25">
      <c r="G415" s="589">
        <f t="shared" si="25"/>
        <v>-0.20199999999999929</v>
      </c>
      <c r="H415" s="407">
        <f t="shared" si="24"/>
        <v>-0.20199999999999929</v>
      </c>
      <c r="I415" s="407">
        <f t="shared" si="24"/>
        <v>-4.0803999999999715E-2</v>
      </c>
      <c r="J415" s="407">
        <f t="shared" si="24"/>
        <v>-1.2363611999999869E-2</v>
      </c>
      <c r="K415" s="589">
        <f t="shared" si="23"/>
        <v>-0.25516761199999888</v>
      </c>
    </row>
    <row r="416" spans="7:11" customFormat="1" x14ac:dyDescent="0.25">
      <c r="G416" s="589">
        <f t="shared" si="25"/>
        <v>-0.19999999999999929</v>
      </c>
      <c r="H416" s="407">
        <f t="shared" si="24"/>
        <v>-0.19999999999999929</v>
      </c>
      <c r="I416" s="407">
        <f t="shared" si="24"/>
        <v>-3.9999999999999716E-2</v>
      </c>
      <c r="J416" s="407">
        <f t="shared" si="24"/>
        <v>-1.1999999999999872E-2</v>
      </c>
      <c r="K416" s="589">
        <f t="shared" si="23"/>
        <v>-0.25199999999999889</v>
      </c>
    </row>
    <row r="417" spans="7:11" customFormat="1" x14ac:dyDescent="0.25">
      <c r="G417" s="589">
        <f t="shared" si="25"/>
        <v>-0.19799999999999929</v>
      </c>
      <c r="H417" s="407">
        <f t="shared" si="24"/>
        <v>-0.19799999999999929</v>
      </c>
      <c r="I417" s="407">
        <f t="shared" si="24"/>
        <v>-3.9203999999999718E-2</v>
      </c>
      <c r="J417" s="407">
        <f t="shared" si="24"/>
        <v>-1.1643587999999877E-2</v>
      </c>
      <c r="K417" s="589">
        <f t="shared" si="23"/>
        <v>-0.24884758799999887</v>
      </c>
    </row>
    <row r="418" spans="7:11" customFormat="1" x14ac:dyDescent="0.25">
      <c r="G418" s="589">
        <f t="shared" si="25"/>
        <v>-0.19599999999999929</v>
      </c>
      <c r="H418" s="407">
        <f t="shared" si="24"/>
        <v>-0.19599999999999929</v>
      </c>
      <c r="I418" s="407">
        <f t="shared" si="24"/>
        <v>-3.8415999999999721E-2</v>
      </c>
      <c r="J418" s="407">
        <f t="shared" si="24"/>
        <v>-1.1294303999999878E-2</v>
      </c>
      <c r="K418" s="589">
        <f t="shared" si="23"/>
        <v>-0.24571030399999888</v>
      </c>
    </row>
    <row r="419" spans="7:11" customFormat="1" x14ac:dyDescent="0.25">
      <c r="G419" s="589">
        <f t="shared" si="25"/>
        <v>-0.19399999999999928</v>
      </c>
      <c r="H419" s="407">
        <f t="shared" si="24"/>
        <v>-0.19399999999999928</v>
      </c>
      <c r="I419" s="407">
        <f t="shared" si="24"/>
        <v>-3.7635999999999725E-2</v>
      </c>
      <c r="J419" s="407">
        <f t="shared" si="24"/>
        <v>-1.095207599999988E-2</v>
      </c>
      <c r="K419" s="589">
        <f t="shared" si="23"/>
        <v>-0.24258807599999888</v>
      </c>
    </row>
    <row r="420" spans="7:11" customFormat="1" x14ac:dyDescent="0.25">
      <c r="G420" s="589">
        <f t="shared" si="25"/>
        <v>-0.19199999999999928</v>
      </c>
      <c r="H420" s="407">
        <f t="shared" si="24"/>
        <v>-0.19199999999999928</v>
      </c>
      <c r="I420" s="407">
        <f t="shared" si="24"/>
        <v>-3.6863999999999723E-2</v>
      </c>
      <c r="J420" s="407">
        <f t="shared" si="24"/>
        <v>-1.061683199999988E-2</v>
      </c>
      <c r="K420" s="589">
        <f t="shared" si="23"/>
        <v>-0.23948083199999889</v>
      </c>
    </row>
    <row r="421" spans="7:11" customFormat="1" x14ac:dyDescent="0.25">
      <c r="G421" s="589">
        <f t="shared" si="25"/>
        <v>-0.18999999999999928</v>
      </c>
      <c r="H421" s="407">
        <f t="shared" si="24"/>
        <v>-0.18999999999999928</v>
      </c>
      <c r="I421" s="407">
        <f t="shared" si="24"/>
        <v>-3.609999999999973E-2</v>
      </c>
      <c r="J421" s="407">
        <f t="shared" si="24"/>
        <v>-1.0288499999999883E-2</v>
      </c>
      <c r="K421" s="589">
        <f t="shared" si="23"/>
        <v>-0.23638849999999892</v>
      </c>
    </row>
    <row r="422" spans="7:11" customFormat="1" x14ac:dyDescent="0.25">
      <c r="G422" s="589">
        <f t="shared" si="25"/>
        <v>-0.18799999999999928</v>
      </c>
      <c r="H422" s="407">
        <f t="shared" si="24"/>
        <v>-0.18799999999999928</v>
      </c>
      <c r="I422" s="407">
        <f t="shared" si="24"/>
        <v>-3.534399999999973E-2</v>
      </c>
      <c r="J422" s="407">
        <f t="shared" si="24"/>
        <v>-9.9670079999998849E-3</v>
      </c>
      <c r="K422" s="589">
        <f t="shared" si="23"/>
        <v>-0.2333110079999989</v>
      </c>
    </row>
    <row r="423" spans="7:11" customFormat="1" x14ac:dyDescent="0.25">
      <c r="G423" s="589">
        <f t="shared" si="25"/>
        <v>-0.18599999999999928</v>
      </c>
      <c r="H423" s="407">
        <f t="shared" si="24"/>
        <v>-0.18599999999999928</v>
      </c>
      <c r="I423" s="407">
        <f t="shared" si="24"/>
        <v>-3.4595999999999731E-2</v>
      </c>
      <c r="J423" s="407">
        <f t="shared" si="24"/>
        <v>-9.6522839999998878E-3</v>
      </c>
      <c r="K423" s="589">
        <f t="shared" si="23"/>
        <v>-0.23024828399999892</v>
      </c>
    </row>
    <row r="424" spans="7:11" customFormat="1" x14ac:dyDescent="0.25">
      <c r="G424" s="589">
        <f t="shared" si="25"/>
        <v>-0.18399999999999928</v>
      </c>
      <c r="H424" s="407">
        <f t="shared" si="24"/>
        <v>-0.18399999999999928</v>
      </c>
      <c r="I424" s="407">
        <f t="shared" si="24"/>
        <v>-3.3855999999999734E-2</v>
      </c>
      <c r="J424" s="407">
        <f t="shared" si="24"/>
        <v>-9.3442559999998894E-3</v>
      </c>
      <c r="K424" s="589">
        <f t="shared" si="23"/>
        <v>-0.22720025599999888</v>
      </c>
    </row>
    <row r="425" spans="7:11" customFormat="1" x14ac:dyDescent="0.25">
      <c r="G425" s="589">
        <f t="shared" si="25"/>
        <v>-0.18199999999999927</v>
      </c>
      <c r="H425" s="407">
        <f t="shared" si="24"/>
        <v>-0.18199999999999927</v>
      </c>
      <c r="I425" s="407">
        <f t="shared" si="24"/>
        <v>-3.3123999999999737E-2</v>
      </c>
      <c r="J425" s="407">
        <f t="shared" si="24"/>
        <v>-9.0428519999998912E-3</v>
      </c>
      <c r="K425" s="589">
        <f t="shared" si="23"/>
        <v>-0.22416685199999889</v>
      </c>
    </row>
    <row r="426" spans="7:11" customFormat="1" x14ac:dyDescent="0.25">
      <c r="G426" s="589">
        <f t="shared" si="25"/>
        <v>-0.17999999999999927</v>
      </c>
      <c r="H426" s="407">
        <f t="shared" si="24"/>
        <v>-0.17999999999999927</v>
      </c>
      <c r="I426" s="407">
        <f t="shared" si="24"/>
        <v>-3.2399999999999735E-2</v>
      </c>
      <c r="J426" s="407">
        <f t="shared" si="24"/>
        <v>-8.747999999999893E-3</v>
      </c>
      <c r="K426" s="589">
        <f t="shared" si="23"/>
        <v>-0.2211479999999989</v>
      </c>
    </row>
    <row r="427" spans="7:11" customFormat="1" x14ac:dyDescent="0.25">
      <c r="G427" s="589">
        <f t="shared" si="25"/>
        <v>-0.17799999999999927</v>
      </c>
      <c r="H427" s="407">
        <f t="shared" si="24"/>
        <v>-0.17799999999999927</v>
      </c>
      <c r="I427" s="407">
        <f t="shared" si="24"/>
        <v>-3.168399999999974E-2</v>
      </c>
      <c r="J427" s="407">
        <f t="shared" si="24"/>
        <v>-8.4596279999998945E-3</v>
      </c>
      <c r="K427" s="589">
        <f t="shared" si="23"/>
        <v>-0.2181436279999989</v>
      </c>
    </row>
    <row r="428" spans="7:11" customFormat="1" x14ac:dyDescent="0.25">
      <c r="G428" s="589">
        <f t="shared" si="25"/>
        <v>-0.17599999999999927</v>
      </c>
      <c r="H428" s="407">
        <f t="shared" si="24"/>
        <v>-0.17599999999999927</v>
      </c>
      <c r="I428" s="407">
        <f t="shared" si="24"/>
        <v>-3.0975999999999743E-2</v>
      </c>
      <c r="J428" s="407">
        <f t="shared" si="24"/>
        <v>-8.1776639999998988E-3</v>
      </c>
      <c r="K428" s="589">
        <f t="shared" si="23"/>
        <v>-0.21515366399999891</v>
      </c>
    </row>
    <row r="429" spans="7:11" customFormat="1" x14ac:dyDescent="0.25">
      <c r="G429" s="589">
        <f t="shared" si="25"/>
        <v>-0.17399999999999927</v>
      </c>
      <c r="H429" s="407">
        <f t="shared" si="24"/>
        <v>-0.17399999999999927</v>
      </c>
      <c r="I429" s="407">
        <f t="shared" si="24"/>
        <v>-3.0275999999999744E-2</v>
      </c>
      <c r="J429" s="407">
        <f t="shared" si="24"/>
        <v>-7.9020359999998988E-3</v>
      </c>
      <c r="K429" s="589">
        <f t="shared" si="23"/>
        <v>-0.2121780359999989</v>
      </c>
    </row>
    <row r="430" spans="7:11" customFormat="1" x14ac:dyDescent="0.25">
      <c r="G430" s="589">
        <f t="shared" si="25"/>
        <v>-0.17199999999999926</v>
      </c>
      <c r="H430" s="407">
        <f t="shared" si="24"/>
        <v>-0.17199999999999926</v>
      </c>
      <c r="I430" s="407">
        <f t="shared" si="24"/>
        <v>-2.9583999999999746E-2</v>
      </c>
      <c r="J430" s="407">
        <f t="shared" si="24"/>
        <v>-7.6326719999999021E-3</v>
      </c>
      <c r="K430" s="589">
        <f t="shared" si="23"/>
        <v>-0.20921667199999891</v>
      </c>
    </row>
    <row r="431" spans="7:11" customFormat="1" x14ac:dyDescent="0.25">
      <c r="G431" s="589">
        <f t="shared" si="25"/>
        <v>-0.16999999999999926</v>
      </c>
      <c r="H431" s="407">
        <f t="shared" si="24"/>
        <v>-0.16999999999999926</v>
      </c>
      <c r="I431" s="407">
        <f t="shared" si="24"/>
        <v>-2.8899999999999749E-2</v>
      </c>
      <c r="J431" s="407">
        <f t="shared" si="24"/>
        <v>-7.3694999999999039E-3</v>
      </c>
      <c r="K431" s="589">
        <f t="shared" si="23"/>
        <v>-0.20626949999999894</v>
      </c>
    </row>
    <row r="432" spans="7:11" customFormat="1" x14ac:dyDescent="0.25">
      <c r="G432" s="589">
        <f t="shared" si="25"/>
        <v>-0.16799999999999926</v>
      </c>
      <c r="H432" s="407">
        <f t="shared" si="24"/>
        <v>-0.16799999999999926</v>
      </c>
      <c r="I432" s="407">
        <f t="shared" si="24"/>
        <v>-2.8223999999999753E-2</v>
      </c>
      <c r="J432" s="407">
        <f t="shared" si="24"/>
        <v>-7.1124479999999067E-3</v>
      </c>
      <c r="K432" s="589">
        <f t="shared" si="23"/>
        <v>-0.20333644799999892</v>
      </c>
    </row>
    <row r="433" spans="7:11" customFormat="1" x14ac:dyDescent="0.25">
      <c r="G433" s="589">
        <f t="shared" si="25"/>
        <v>-0.16599999999999926</v>
      </c>
      <c r="H433" s="407">
        <f t="shared" si="24"/>
        <v>-0.16599999999999926</v>
      </c>
      <c r="I433" s="407">
        <f t="shared" si="24"/>
        <v>-2.7555999999999754E-2</v>
      </c>
      <c r="J433" s="407">
        <f t="shared" si="24"/>
        <v>-6.8614439999999076E-3</v>
      </c>
      <c r="K433" s="589">
        <f t="shared" si="23"/>
        <v>-0.20041744399999892</v>
      </c>
    </row>
    <row r="434" spans="7:11" customFormat="1" x14ac:dyDescent="0.25">
      <c r="G434" s="589">
        <f t="shared" si="25"/>
        <v>-0.16399999999999926</v>
      </c>
      <c r="H434" s="407">
        <f t="shared" si="24"/>
        <v>-0.16399999999999926</v>
      </c>
      <c r="I434" s="407">
        <f t="shared" si="24"/>
        <v>-2.6895999999999757E-2</v>
      </c>
      <c r="J434" s="407">
        <f t="shared" si="24"/>
        <v>-6.6164159999999098E-3</v>
      </c>
      <c r="K434" s="589">
        <f t="shared" si="23"/>
        <v>-0.19751241599999891</v>
      </c>
    </row>
    <row r="435" spans="7:11" customFormat="1" x14ac:dyDescent="0.25">
      <c r="G435" s="589">
        <f t="shared" si="25"/>
        <v>-0.16199999999999926</v>
      </c>
      <c r="H435" s="407">
        <f t="shared" si="24"/>
        <v>-0.16199999999999926</v>
      </c>
      <c r="I435" s="407">
        <f t="shared" si="24"/>
        <v>-2.6243999999999761E-2</v>
      </c>
      <c r="J435" s="407">
        <f t="shared" si="24"/>
        <v>-6.3772919999999129E-3</v>
      </c>
      <c r="K435" s="589">
        <f t="shared" si="23"/>
        <v>-0.19462129199999895</v>
      </c>
    </row>
    <row r="436" spans="7:11" customFormat="1" x14ac:dyDescent="0.25">
      <c r="G436" s="589">
        <f t="shared" si="25"/>
        <v>-0.15999999999999925</v>
      </c>
      <c r="H436" s="407">
        <f t="shared" si="24"/>
        <v>-0.15999999999999925</v>
      </c>
      <c r="I436" s="407">
        <f t="shared" si="24"/>
        <v>-2.5599999999999762E-2</v>
      </c>
      <c r="J436" s="407">
        <f t="shared" si="24"/>
        <v>-6.1439999999999134E-3</v>
      </c>
      <c r="K436" s="589">
        <f t="shared" si="23"/>
        <v>-0.19174399999999892</v>
      </c>
    </row>
    <row r="437" spans="7:11" customFormat="1" x14ac:dyDescent="0.25">
      <c r="G437" s="589">
        <f t="shared" si="25"/>
        <v>-0.15799999999999925</v>
      </c>
      <c r="H437" s="407">
        <f t="shared" si="24"/>
        <v>-0.15799999999999925</v>
      </c>
      <c r="I437" s="407">
        <f t="shared" si="24"/>
        <v>-2.4963999999999764E-2</v>
      </c>
      <c r="J437" s="407">
        <f t="shared" si="24"/>
        <v>-5.9164679999999152E-3</v>
      </c>
      <c r="K437" s="589">
        <f t="shared" ref="K437:K500" si="26">SUM(H437:J437)</f>
        <v>-0.18888046799999894</v>
      </c>
    </row>
    <row r="438" spans="7:11" customFormat="1" x14ac:dyDescent="0.25">
      <c r="G438" s="589">
        <f t="shared" si="25"/>
        <v>-0.15599999999999925</v>
      </c>
      <c r="H438" s="407">
        <f t="shared" si="24"/>
        <v>-0.15599999999999925</v>
      </c>
      <c r="I438" s="407">
        <f t="shared" si="24"/>
        <v>-2.4335999999999768E-2</v>
      </c>
      <c r="J438" s="407">
        <f t="shared" si="24"/>
        <v>-5.6946239999999182E-3</v>
      </c>
      <c r="K438" s="589">
        <f t="shared" si="26"/>
        <v>-0.18603062399999895</v>
      </c>
    </row>
    <row r="439" spans="7:11" customFormat="1" x14ac:dyDescent="0.25">
      <c r="G439" s="589">
        <f t="shared" si="25"/>
        <v>-0.15399999999999925</v>
      </c>
      <c r="H439" s="407">
        <f t="shared" si="24"/>
        <v>-0.15399999999999925</v>
      </c>
      <c r="I439" s="407">
        <f t="shared" si="24"/>
        <v>-2.3715999999999769E-2</v>
      </c>
      <c r="J439" s="407">
        <f t="shared" si="24"/>
        <v>-5.4783959999999193E-3</v>
      </c>
      <c r="K439" s="589">
        <f t="shared" si="26"/>
        <v>-0.18319439599999893</v>
      </c>
    </row>
    <row r="440" spans="7:11" customFormat="1" x14ac:dyDescent="0.25">
      <c r="G440" s="589">
        <f t="shared" si="25"/>
        <v>-0.15199999999999925</v>
      </c>
      <c r="H440" s="407">
        <f t="shared" si="24"/>
        <v>-0.15199999999999925</v>
      </c>
      <c r="I440" s="407">
        <f t="shared" si="24"/>
        <v>-2.3103999999999771E-2</v>
      </c>
      <c r="J440" s="407">
        <f t="shared" si="24"/>
        <v>-5.2677119999999219E-3</v>
      </c>
      <c r="K440" s="589">
        <f t="shared" si="26"/>
        <v>-0.18037171199999893</v>
      </c>
    </row>
    <row r="441" spans="7:11" customFormat="1" x14ac:dyDescent="0.25">
      <c r="G441" s="589">
        <f t="shared" si="25"/>
        <v>-0.14999999999999925</v>
      </c>
      <c r="H441" s="407">
        <f t="shared" si="24"/>
        <v>-0.14999999999999925</v>
      </c>
      <c r="I441" s="407">
        <f t="shared" si="24"/>
        <v>-2.2499999999999774E-2</v>
      </c>
      <c r="J441" s="407">
        <f t="shared" si="24"/>
        <v>-5.0624999999999238E-3</v>
      </c>
      <c r="K441" s="589">
        <f t="shared" si="26"/>
        <v>-0.17756249999999893</v>
      </c>
    </row>
    <row r="442" spans="7:11" customFormat="1" x14ac:dyDescent="0.25">
      <c r="G442" s="589">
        <f t="shared" si="25"/>
        <v>-0.14799999999999924</v>
      </c>
      <c r="H442" s="407">
        <f t="shared" ref="H442:J505" si="27">($G442^H$15*(-H$15)^(-1+H$15))/FACT(H$15)</f>
        <v>-0.14799999999999924</v>
      </c>
      <c r="I442" s="407">
        <f t="shared" si="27"/>
        <v>-2.1903999999999774E-2</v>
      </c>
      <c r="J442" s="407">
        <f t="shared" si="27"/>
        <v>-4.862687999999925E-3</v>
      </c>
      <c r="K442" s="589">
        <f t="shared" si="26"/>
        <v>-0.17476668799999895</v>
      </c>
    </row>
    <row r="443" spans="7:11" customFormat="1" x14ac:dyDescent="0.25">
      <c r="G443" s="589">
        <f t="shared" si="25"/>
        <v>-0.14599999999999924</v>
      </c>
      <c r="H443" s="407">
        <f t="shared" si="27"/>
        <v>-0.14599999999999924</v>
      </c>
      <c r="I443" s="407">
        <f t="shared" si="27"/>
        <v>-2.131599999999978E-2</v>
      </c>
      <c r="J443" s="407">
        <f t="shared" si="27"/>
        <v>-4.6682039999999276E-3</v>
      </c>
      <c r="K443" s="589">
        <f t="shared" si="26"/>
        <v>-0.17198420399999895</v>
      </c>
    </row>
    <row r="444" spans="7:11" customFormat="1" x14ac:dyDescent="0.25">
      <c r="G444" s="589">
        <f t="shared" si="25"/>
        <v>-0.14399999999999924</v>
      </c>
      <c r="H444" s="407">
        <f t="shared" si="27"/>
        <v>-0.14399999999999924</v>
      </c>
      <c r="I444" s="407">
        <f t="shared" si="27"/>
        <v>-2.0735999999999782E-2</v>
      </c>
      <c r="J444" s="407">
        <f t="shared" si="27"/>
        <v>-4.4789759999999288E-3</v>
      </c>
      <c r="K444" s="589">
        <f t="shared" si="26"/>
        <v>-0.16921497599999896</v>
      </c>
    </row>
    <row r="445" spans="7:11" customFormat="1" x14ac:dyDescent="0.25">
      <c r="G445" s="589">
        <f t="shared" si="25"/>
        <v>-0.14199999999999924</v>
      </c>
      <c r="H445" s="407">
        <f t="shared" si="27"/>
        <v>-0.14199999999999924</v>
      </c>
      <c r="I445" s="407">
        <f t="shared" si="27"/>
        <v>-2.0163999999999783E-2</v>
      </c>
      <c r="J445" s="407">
        <f t="shared" si="27"/>
        <v>-4.294931999999931E-3</v>
      </c>
      <c r="K445" s="589">
        <f t="shared" si="26"/>
        <v>-0.16645893199999895</v>
      </c>
    </row>
    <row r="446" spans="7:11" customFormat="1" x14ac:dyDescent="0.25">
      <c r="G446" s="589">
        <f t="shared" si="25"/>
        <v>-0.13999999999999924</v>
      </c>
      <c r="H446" s="407">
        <f t="shared" si="27"/>
        <v>-0.13999999999999924</v>
      </c>
      <c r="I446" s="407">
        <f t="shared" si="27"/>
        <v>-1.9599999999999788E-2</v>
      </c>
      <c r="J446" s="407">
        <f t="shared" si="27"/>
        <v>-4.1159999999999331E-3</v>
      </c>
      <c r="K446" s="589">
        <f t="shared" si="26"/>
        <v>-0.16371599999999895</v>
      </c>
    </row>
    <row r="447" spans="7:11" customFormat="1" x14ac:dyDescent="0.25">
      <c r="G447" s="589">
        <f t="shared" si="25"/>
        <v>-0.13799999999999923</v>
      </c>
      <c r="H447" s="407">
        <f t="shared" si="27"/>
        <v>-0.13799999999999923</v>
      </c>
      <c r="I447" s="407">
        <f t="shared" si="27"/>
        <v>-1.904399999999979E-2</v>
      </c>
      <c r="J447" s="407">
        <f t="shared" si="27"/>
        <v>-3.9421079999999347E-3</v>
      </c>
      <c r="K447" s="589">
        <f t="shared" si="26"/>
        <v>-0.16098610799999896</v>
      </c>
    </row>
    <row r="448" spans="7:11" customFormat="1" x14ac:dyDescent="0.25">
      <c r="G448" s="589">
        <f t="shared" si="25"/>
        <v>-0.13599999999999923</v>
      </c>
      <c r="H448" s="407">
        <f t="shared" si="27"/>
        <v>-0.13599999999999923</v>
      </c>
      <c r="I448" s="407">
        <f t="shared" si="27"/>
        <v>-1.849599999999979E-2</v>
      </c>
      <c r="J448" s="407">
        <f t="shared" si="27"/>
        <v>-3.773183999999936E-3</v>
      </c>
      <c r="K448" s="589">
        <f t="shared" si="26"/>
        <v>-0.15826918399999895</v>
      </c>
    </row>
    <row r="449" spans="7:11" customFormat="1" x14ac:dyDescent="0.25">
      <c r="G449" s="589">
        <f t="shared" si="25"/>
        <v>-0.13399999999999923</v>
      </c>
      <c r="H449" s="407">
        <f t="shared" si="27"/>
        <v>-0.13399999999999923</v>
      </c>
      <c r="I449" s="407">
        <f t="shared" si="27"/>
        <v>-1.7955999999999795E-2</v>
      </c>
      <c r="J449" s="407">
        <f t="shared" si="27"/>
        <v>-3.6091559999999381E-3</v>
      </c>
      <c r="K449" s="589">
        <f t="shared" si="26"/>
        <v>-0.15556515599999898</v>
      </c>
    </row>
    <row r="450" spans="7:11" customFormat="1" x14ac:dyDescent="0.25">
      <c r="G450" s="589">
        <f t="shared" si="25"/>
        <v>-0.13199999999999923</v>
      </c>
      <c r="H450" s="407">
        <f t="shared" si="27"/>
        <v>-0.13199999999999923</v>
      </c>
      <c r="I450" s="407">
        <f t="shared" si="27"/>
        <v>-1.7423999999999797E-2</v>
      </c>
      <c r="J450" s="407">
        <f t="shared" si="27"/>
        <v>-3.4499519999999402E-3</v>
      </c>
      <c r="K450" s="589">
        <f t="shared" si="26"/>
        <v>-0.15287395199999898</v>
      </c>
    </row>
    <row r="451" spans="7:11" customFormat="1" x14ac:dyDescent="0.25">
      <c r="G451" s="589">
        <f t="shared" si="25"/>
        <v>-0.12999999999999923</v>
      </c>
      <c r="H451" s="407">
        <f t="shared" si="27"/>
        <v>-0.12999999999999923</v>
      </c>
      <c r="I451" s="407">
        <f t="shared" si="27"/>
        <v>-1.6899999999999801E-2</v>
      </c>
      <c r="J451" s="407">
        <f t="shared" si="27"/>
        <v>-3.2954999999999421E-3</v>
      </c>
      <c r="K451" s="589">
        <f t="shared" si="26"/>
        <v>-0.15019549999999898</v>
      </c>
    </row>
    <row r="452" spans="7:11" customFormat="1" x14ac:dyDescent="0.25">
      <c r="G452" s="589">
        <f t="shared" si="25"/>
        <v>-0.12799999999999923</v>
      </c>
      <c r="H452" s="407">
        <f t="shared" si="27"/>
        <v>-0.12799999999999923</v>
      </c>
      <c r="I452" s="407">
        <f t="shared" si="27"/>
        <v>-1.6383999999999802E-2</v>
      </c>
      <c r="J452" s="407">
        <f t="shared" si="27"/>
        <v>-3.1457279999999432E-3</v>
      </c>
      <c r="K452" s="589">
        <f t="shared" si="26"/>
        <v>-0.14752972799999894</v>
      </c>
    </row>
    <row r="453" spans="7:11" customFormat="1" x14ac:dyDescent="0.25">
      <c r="G453" s="589">
        <f t="shared" si="25"/>
        <v>-0.12599999999999922</v>
      </c>
      <c r="H453" s="407">
        <f t="shared" si="27"/>
        <v>-0.12599999999999922</v>
      </c>
      <c r="I453" s="407">
        <f t="shared" si="27"/>
        <v>-1.5875999999999803E-2</v>
      </c>
      <c r="J453" s="407">
        <f t="shared" si="27"/>
        <v>-3.0005639999999448E-3</v>
      </c>
      <c r="K453" s="589">
        <f t="shared" si="26"/>
        <v>-0.14487656399999899</v>
      </c>
    </row>
    <row r="454" spans="7:11" customFormat="1" x14ac:dyDescent="0.25">
      <c r="G454" s="589">
        <f t="shared" si="25"/>
        <v>-0.12399999999999922</v>
      </c>
      <c r="H454" s="407">
        <f t="shared" si="27"/>
        <v>-0.12399999999999922</v>
      </c>
      <c r="I454" s="407">
        <f t="shared" si="27"/>
        <v>-1.5375999999999806E-2</v>
      </c>
      <c r="J454" s="407">
        <f t="shared" si="27"/>
        <v>-2.8599359999999462E-3</v>
      </c>
      <c r="K454" s="589">
        <f t="shared" si="26"/>
        <v>-0.14223593599999898</v>
      </c>
    </row>
    <row r="455" spans="7:11" customFormat="1" x14ac:dyDescent="0.25">
      <c r="G455" s="589">
        <f t="shared" si="25"/>
        <v>-0.12199999999999922</v>
      </c>
      <c r="H455" s="407">
        <f t="shared" si="27"/>
        <v>-0.12199999999999922</v>
      </c>
      <c r="I455" s="407">
        <f t="shared" si="27"/>
        <v>-1.4883999999999811E-2</v>
      </c>
      <c r="J455" s="407">
        <f t="shared" si="27"/>
        <v>-2.7237719999999477E-3</v>
      </c>
      <c r="K455" s="589">
        <f t="shared" si="26"/>
        <v>-0.13960777199999899</v>
      </c>
    </row>
    <row r="456" spans="7:11" customFormat="1" x14ac:dyDescent="0.25">
      <c r="G456" s="589">
        <f t="shared" si="25"/>
        <v>-0.11999999999999922</v>
      </c>
      <c r="H456" s="407">
        <f t="shared" si="27"/>
        <v>-0.11999999999999922</v>
      </c>
      <c r="I456" s="407">
        <f t="shared" si="27"/>
        <v>-1.4399999999999812E-2</v>
      </c>
      <c r="J456" s="407">
        <f t="shared" si="27"/>
        <v>-2.5919999999999489E-3</v>
      </c>
      <c r="K456" s="589">
        <f t="shared" si="26"/>
        <v>-0.13699199999999898</v>
      </c>
    </row>
    <row r="457" spans="7:11" customFormat="1" x14ac:dyDescent="0.25">
      <c r="G457" s="589">
        <f t="shared" si="25"/>
        <v>-0.11799999999999922</v>
      </c>
      <c r="H457" s="407">
        <f t="shared" si="27"/>
        <v>-0.11799999999999922</v>
      </c>
      <c r="I457" s="407">
        <f t="shared" si="27"/>
        <v>-1.3923999999999815E-2</v>
      </c>
      <c r="J457" s="407">
        <f t="shared" si="27"/>
        <v>-2.464547999999951E-3</v>
      </c>
      <c r="K457" s="589">
        <f t="shared" si="26"/>
        <v>-0.134388547999999</v>
      </c>
    </row>
    <row r="458" spans="7:11" customFormat="1" x14ac:dyDescent="0.25">
      <c r="G458" s="589">
        <f t="shared" si="25"/>
        <v>-0.11599999999999921</v>
      </c>
      <c r="H458" s="407">
        <f t="shared" si="27"/>
        <v>-0.11599999999999921</v>
      </c>
      <c r="I458" s="407">
        <f t="shared" si="27"/>
        <v>-1.3455999999999817E-2</v>
      </c>
      <c r="J458" s="407">
        <f t="shared" si="27"/>
        <v>-2.3413439999999523E-3</v>
      </c>
      <c r="K458" s="589">
        <f t="shared" si="26"/>
        <v>-0.13179734399999898</v>
      </c>
    </row>
    <row r="459" spans="7:11" customFormat="1" x14ac:dyDescent="0.25">
      <c r="G459" s="589">
        <f t="shared" si="25"/>
        <v>-0.11399999999999921</v>
      </c>
      <c r="H459" s="407">
        <f t="shared" si="27"/>
        <v>-0.11399999999999921</v>
      </c>
      <c r="I459" s="407">
        <f t="shared" si="27"/>
        <v>-1.299599999999982E-2</v>
      </c>
      <c r="J459" s="407">
        <f t="shared" si="27"/>
        <v>-2.2223159999999538E-3</v>
      </c>
      <c r="K459" s="589">
        <f t="shared" si="26"/>
        <v>-0.12921831599999897</v>
      </c>
    </row>
    <row r="460" spans="7:11" customFormat="1" x14ac:dyDescent="0.25">
      <c r="G460" s="589">
        <f t="shared" si="25"/>
        <v>-0.11199999999999921</v>
      </c>
      <c r="H460" s="407">
        <f t="shared" si="27"/>
        <v>-0.11199999999999921</v>
      </c>
      <c r="I460" s="407">
        <f t="shared" si="27"/>
        <v>-1.2543999999999823E-2</v>
      </c>
      <c r="J460" s="407">
        <f t="shared" si="27"/>
        <v>-2.1073919999999554E-3</v>
      </c>
      <c r="K460" s="589">
        <f t="shared" si="26"/>
        <v>-0.12665139199999897</v>
      </c>
    </row>
    <row r="461" spans="7:11" customFormat="1" x14ac:dyDescent="0.25">
      <c r="G461" s="589">
        <f t="shared" si="25"/>
        <v>-0.10999999999999921</v>
      </c>
      <c r="H461" s="407">
        <f t="shared" si="27"/>
        <v>-0.10999999999999921</v>
      </c>
      <c r="I461" s="407">
        <f t="shared" si="27"/>
        <v>-1.2099999999999826E-2</v>
      </c>
      <c r="J461" s="407">
        <f t="shared" si="27"/>
        <v>-1.9964999999999571E-3</v>
      </c>
      <c r="K461" s="589">
        <f t="shared" si="26"/>
        <v>-0.124096499999999</v>
      </c>
    </row>
    <row r="462" spans="7:11" customFormat="1" x14ac:dyDescent="0.25">
      <c r="G462" s="589">
        <f t="shared" si="25"/>
        <v>-0.10799999999999921</v>
      </c>
      <c r="H462" s="407">
        <f t="shared" si="27"/>
        <v>-0.10799999999999921</v>
      </c>
      <c r="I462" s="407">
        <f t="shared" si="27"/>
        <v>-1.1663999999999829E-2</v>
      </c>
      <c r="J462" s="407">
        <f t="shared" si="27"/>
        <v>-1.8895679999999585E-3</v>
      </c>
      <c r="K462" s="589">
        <f t="shared" si="26"/>
        <v>-0.12155356799999899</v>
      </c>
    </row>
    <row r="463" spans="7:11" customFormat="1" x14ac:dyDescent="0.25">
      <c r="G463" s="589">
        <f t="shared" si="25"/>
        <v>-0.10599999999999921</v>
      </c>
      <c r="H463" s="407">
        <f t="shared" si="27"/>
        <v>-0.10599999999999921</v>
      </c>
      <c r="I463" s="407">
        <f t="shared" si="27"/>
        <v>-1.1235999999999831E-2</v>
      </c>
      <c r="J463" s="407">
        <f t="shared" si="27"/>
        <v>-1.7865239999999597E-3</v>
      </c>
      <c r="K463" s="589">
        <f t="shared" si="26"/>
        <v>-0.11902252399999899</v>
      </c>
    </row>
    <row r="464" spans="7:11" customFormat="1" x14ac:dyDescent="0.25">
      <c r="G464" s="589">
        <f t="shared" si="25"/>
        <v>-0.1039999999999992</v>
      </c>
      <c r="H464" s="407">
        <f t="shared" si="27"/>
        <v>-0.1039999999999992</v>
      </c>
      <c r="I464" s="407">
        <f t="shared" si="27"/>
        <v>-1.0815999999999834E-2</v>
      </c>
      <c r="J464" s="407">
        <f t="shared" si="27"/>
        <v>-1.6872959999999612E-3</v>
      </c>
      <c r="K464" s="589">
        <f t="shared" si="26"/>
        <v>-0.11650329599999901</v>
      </c>
    </row>
    <row r="465" spans="7:11" customFormat="1" x14ac:dyDescent="0.25">
      <c r="G465" s="589">
        <f t="shared" ref="G465:G528" si="28">G464+$K$14</f>
        <v>-0.1019999999999992</v>
      </c>
      <c r="H465" s="407">
        <f t="shared" si="27"/>
        <v>-0.1019999999999992</v>
      </c>
      <c r="I465" s="407">
        <f t="shared" si="27"/>
        <v>-1.0403999999999837E-2</v>
      </c>
      <c r="J465" s="407">
        <f t="shared" si="27"/>
        <v>-1.5918119999999627E-3</v>
      </c>
      <c r="K465" s="589">
        <f t="shared" si="26"/>
        <v>-0.11399581199999899</v>
      </c>
    </row>
    <row r="466" spans="7:11" customFormat="1" x14ac:dyDescent="0.25">
      <c r="G466" s="589">
        <f t="shared" si="28"/>
        <v>-9.9999999999999201E-2</v>
      </c>
      <c r="H466" s="407">
        <f t="shared" si="27"/>
        <v>-9.9999999999999201E-2</v>
      </c>
      <c r="I466" s="407">
        <f t="shared" si="27"/>
        <v>-9.9999999999998406E-3</v>
      </c>
      <c r="J466" s="407">
        <f t="shared" si="27"/>
        <v>-1.4999999999999643E-3</v>
      </c>
      <c r="K466" s="589">
        <f t="shared" si="26"/>
        <v>-0.111499999999999</v>
      </c>
    </row>
    <row r="467" spans="7:11" customFormat="1" x14ac:dyDescent="0.25">
      <c r="G467" s="589">
        <f t="shared" si="28"/>
        <v>-9.7999999999999199E-2</v>
      </c>
      <c r="H467" s="407">
        <f t="shared" si="27"/>
        <v>-9.7999999999999199E-2</v>
      </c>
      <c r="I467" s="407">
        <f t="shared" si="27"/>
        <v>-9.6039999999998436E-3</v>
      </c>
      <c r="J467" s="407">
        <f t="shared" si="27"/>
        <v>-1.4117879999999653E-3</v>
      </c>
      <c r="K467" s="589">
        <f t="shared" si="26"/>
        <v>-0.10901578799999902</v>
      </c>
    </row>
    <row r="468" spans="7:11" customFormat="1" x14ac:dyDescent="0.25">
      <c r="G468" s="589">
        <f t="shared" si="28"/>
        <v>-9.5999999999999197E-2</v>
      </c>
      <c r="H468" s="407">
        <f t="shared" si="27"/>
        <v>-9.5999999999999197E-2</v>
      </c>
      <c r="I468" s="407">
        <f t="shared" si="27"/>
        <v>-9.2159999999998458E-3</v>
      </c>
      <c r="J468" s="407">
        <f t="shared" si="27"/>
        <v>-1.3271039999999668E-3</v>
      </c>
      <c r="K468" s="589">
        <f t="shared" si="26"/>
        <v>-0.10654310399999901</v>
      </c>
    </row>
    <row r="469" spans="7:11" customFormat="1" x14ac:dyDescent="0.25">
      <c r="G469" s="589">
        <f t="shared" si="28"/>
        <v>-9.3999999999999195E-2</v>
      </c>
      <c r="H469" s="407">
        <f t="shared" si="27"/>
        <v>-9.3999999999999195E-2</v>
      </c>
      <c r="I469" s="407">
        <f t="shared" si="27"/>
        <v>-8.8359999999998492E-3</v>
      </c>
      <c r="J469" s="407">
        <f t="shared" si="27"/>
        <v>-1.2458759999999681E-3</v>
      </c>
      <c r="K469" s="589">
        <f t="shared" si="26"/>
        <v>-0.104081875999999</v>
      </c>
    </row>
    <row r="470" spans="7:11" customFormat="1" x14ac:dyDescent="0.25">
      <c r="G470" s="589">
        <f t="shared" si="28"/>
        <v>-9.1999999999999194E-2</v>
      </c>
      <c r="H470" s="407">
        <f t="shared" si="27"/>
        <v>-9.1999999999999194E-2</v>
      </c>
      <c r="I470" s="407">
        <f t="shared" si="27"/>
        <v>-8.4639999999998519E-3</v>
      </c>
      <c r="J470" s="407">
        <f t="shared" si="27"/>
        <v>-1.1680319999999693E-3</v>
      </c>
      <c r="K470" s="589">
        <f t="shared" si="26"/>
        <v>-0.10163203199999901</v>
      </c>
    </row>
    <row r="471" spans="7:11" customFormat="1" x14ac:dyDescent="0.25">
      <c r="G471" s="589">
        <f t="shared" si="28"/>
        <v>-8.9999999999999192E-2</v>
      </c>
      <c r="H471" s="407">
        <f t="shared" si="27"/>
        <v>-8.9999999999999192E-2</v>
      </c>
      <c r="I471" s="407">
        <f t="shared" si="27"/>
        <v>-8.0999999999998538E-3</v>
      </c>
      <c r="J471" s="407">
        <f t="shared" si="27"/>
        <v>-1.0934999999999706E-3</v>
      </c>
      <c r="K471" s="589">
        <f t="shared" si="26"/>
        <v>-9.9193499999999019E-2</v>
      </c>
    </row>
    <row r="472" spans="7:11" customFormat="1" x14ac:dyDescent="0.25">
      <c r="G472" s="589">
        <f t="shared" si="28"/>
        <v>-8.799999999999919E-2</v>
      </c>
      <c r="H472" s="407">
        <f t="shared" si="27"/>
        <v>-8.799999999999919E-2</v>
      </c>
      <c r="I472" s="407">
        <f t="shared" si="27"/>
        <v>-7.7439999999998578E-3</v>
      </c>
      <c r="J472" s="407">
        <f t="shared" si="27"/>
        <v>-1.0222079999999717E-3</v>
      </c>
      <c r="K472" s="589">
        <f t="shared" si="26"/>
        <v>-9.6766207999999021E-2</v>
      </c>
    </row>
    <row r="473" spans="7:11" customFormat="1" x14ac:dyDescent="0.25">
      <c r="G473" s="589">
        <f t="shared" si="28"/>
        <v>-8.5999999999999188E-2</v>
      </c>
      <c r="H473" s="407">
        <f t="shared" si="27"/>
        <v>-8.5999999999999188E-2</v>
      </c>
      <c r="I473" s="407">
        <f t="shared" si="27"/>
        <v>-7.3959999999998602E-3</v>
      </c>
      <c r="J473" s="407">
        <f t="shared" si="27"/>
        <v>-9.5408399999997301E-4</v>
      </c>
      <c r="K473" s="589">
        <f t="shared" si="26"/>
        <v>-9.4350083999999015E-2</v>
      </c>
    </row>
    <row r="474" spans="7:11" customFormat="1" x14ac:dyDescent="0.25">
      <c r="G474" s="589">
        <f t="shared" si="28"/>
        <v>-8.3999999999999186E-2</v>
      </c>
      <c r="H474" s="407">
        <f t="shared" si="27"/>
        <v>-8.3999999999999186E-2</v>
      </c>
      <c r="I474" s="407">
        <f t="shared" si="27"/>
        <v>-7.0559999999998636E-3</v>
      </c>
      <c r="J474" s="407">
        <f t="shared" si="27"/>
        <v>-8.8905599999997414E-4</v>
      </c>
      <c r="K474" s="589">
        <f t="shared" si="26"/>
        <v>-9.1945055999999026E-2</v>
      </c>
    </row>
    <row r="475" spans="7:11" customFormat="1" x14ac:dyDescent="0.25">
      <c r="G475" s="589">
        <f t="shared" si="28"/>
        <v>-8.1999999999999185E-2</v>
      </c>
      <c r="H475" s="407">
        <f t="shared" si="27"/>
        <v>-8.1999999999999185E-2</v>
      </c>
      <c r="I475" s="407">
        <f t="shared" si="27"/>
        <v>-6.7239999999998664E-3</v>
      </c>
      <c r="J475" s="407">
        <f t="shared" si="27"/>
        <v>-8.2705199999997528E-4</v>
      </c>
      <c r="K475" s="589">
        <f t="shared" si="26"/>
        <v>-8.9551051999999035E-2</v>
      </c>
    </row>
    <row r="476" spans="7:11" customFormat="1" x14ac:dyDescent="0.25">
      <c r="G476" s="589">
        <f t="shared" si="28"/>
        <v>-7.9999999999999183E-2</v>
      </c>
      <c r="H476" s="407">
        <f t="shared" si="27"/>
        <v>-7.9999999999999183E-2</v>
      </c>
      <c r="I476" s="407">
        <f t="shared" si="27"/>
        <v>-6.3999999999998693E-3</v>
      </c>
      <c r="J476" s="407">
        <f t="shared" si="27"/>
        <v>-7.679999999999766E-4</v>
      </c>
      <c r="K476" s="589">
        <f t="shared" si="26"/>
        <v>-8.7167999999999024E-2</v>
      </c>
    </row>
    <row r="477" spans="7:11" customFormat="1" x14ac:dyDescent="0.25">
      <c r="G477" s="589">
        <f t="shared" si="28"/>
        <v>-7.7999999999999181E-2</v>
      </c>
      <c r="H477" s="407">
        <f t="shared" si="27"/>
        <v>-7.7999999999999181E-2</v>
      </c>
      <c r="I477" s="407">
        <f t="shared" si="27"/>
        <v>-6.0839999999998725E-3</v>
      </c>
      <c r="J477" s="407">
        <f t="shared" si="27"/>
        <v>-7.1182799999997763E-4</v>
      </c>
      <c r="K477" s="589">
        <f t="shared" si="26"/>
        <v>-8.4795827999999032E-2</v>
      </c>
    </row>
    <row r="478" spans="7:11" customFormat="1" x14ac:dyDescent="0.25">
      <c r="G478" s="589">
        <f t="shared" si="28"/>
        <v>-7.5999999999999179E-2</v>
      </c>
      <c r="H478" s="407">
        <f t="shared" si="27"/>
        <v>-7.5999999999999179E-2</v>
      </c>
      <c r="I478" s="407">
        <f t="shared" si="27"/>
        <v>-5.775999999999875E-3</v>
      </c>
      <c r="J478" s="407">
        <f t="shared" si="27"/>
        <v>-6.5846399999997852E-4</v>
      </c>
      <c r="K478" s="589">
        <f t="shared" si="26"/>
        <v>-8.2434463999999041E-2</v>
      </c>
    </row>
    <row r="479" spans="7:11" customFormat="1" x14ac:dyDescent="0.25">
      <c r="G479" s="589">
        <f t="shared" si="28"/>
        <v>-7.3999999999999178E-2</v>
      </c>
      <c r="H479" s="407">
        <f t="shared" si="27"/>
        <v>-7.3999999999999178E-2</v>
      </c>
      <c r="I479" s="407">
        <f t="shared" si="27"/>
        <v>-5.4759999999998785E-3</v>
      </c>
      <c r="J479" s="407">
        <f t="shared" si="27"/>
        <v>-6.0783599999997978E-4</v>
      </c>
      <c r="K479" s="589">
        <f t="shared" si="26"/>
        <v>-8.0083835999999048E-2</v>
      </c>
    </row>
    <row r="480" spans="7:11" customFormat="1" x14ac:dyDescent="0.25">
      <c r="G480" s="589">
        <f t="shared" si="28"/>
        <v>-7.1999999999999176E-2</v>
      </c>
      <c r="H480" s="407">
        <f t="shared" si="27"/>
        <v>-7.1999999999999176E-2</v>
      </c>
      <c r="I480" s="407">
        <f t="shared" si="27"/>
        <v>-5.1839999999998814E-3</v>
      </c>
      <c r="J480" s="407">
        <f t="shared" si="27"/>
        <v>-5.598719999999807E-4</v>
      </c>
      <c r="K480" s="589">
        <f t="shared" si="26"/>
        <v>-7.7743871999999034E-2</v>
      </c>
    </row>
    <row r="481" spans="7:11" customFormat="1" x14ac:dyDescent="0.25">
      <c r="G481" s="589">
        <f t="shared" si="28"/>
        <v>-6.9999999999999174E-2</v>
      </c>
      <c r="H481" s="407">
        <f t="shared" si="27"/>
        <v>-6.9999999999999174E-2</v>
      </c>
      <c r="I481" s="407">
        <f t="shared" si="27"/>
        <v>-4.8999999999998845E-3</v>
      </c>
      <c r="J481" s="407">
        <f t="shared" si="27"/>
        <v>-5.1449999999998177E-4</v>
      </c>
      <c r="K481" s="589">
        <f t="shared" si="26"/>
        <v>-7.5414499999999052E-2</v>
      </c>
    </row>
    <row r="482" spans="7:11" customFormat="1" x14ac:dyDescent="0.25">
      <c r="G482" s="589">
        <f t="shared" si="28"/>
        <v>-6.7999999999999172E-2</v>
      </c>
      <c r="H482" s="407">
        <f t="shared" si="27"/>
        <v>-6.7999999999999172E-2</v>
      </c>
      <c r="I482" s="407">
        <f t="shared" si="27"/>
        <v>-4.6239999999998877E-3</v>
      </c>
      <c r="J482" s="407">
        <f t="shared" si="27"/>
        <v>-4.7164799999998278E-4</v>
      </c>
      <c r="K482" s="589">
        <f t="shared" si="26"/>
        <v>-7.3095647999999042E-2</v>
      </c>
    </row>
    <row r="483" spans="7:11" customFormat="1" x14ac:dyDescent="0.25">
      <c r="G483" s="589">
        <f t="shared" si="28"/>
        <v>-6.599999999999917E-2</v>
      </c>
      <c r="H483" s="407">
        <f t="shared" si="27"/>
        <v>-6.599999999999917E-2</v>
      </c>
      <c r="I483" s="407">
        <f t="shared" si="27"/>
        <v>-4.3559999999998903E-3</v>
      </c>
      <c r="J483" s="407">
        <f t="shared" si="27"/>
        <v>-4.3124399999998369E-4</v>
      </c>
      <c r="K483" s="589">
        <f t="shared" si="26"/>
        <v>-7.0787243999999042E-2</v>
      </c>
    </row>
    <row r="484" spans="7:11" customFormat="1" x14ac:dyDescent="0.25">
      <c r="G484" s="589">
        <f t="shared" si="28"/>
        <v>-6.3999999999999169E-2</v>
      </c>
      <c r="H484" s="407">
        <f t="shared" si="27"/>
        <v>-6.3999999999999169E-2</v>
      </c>
      <c r="I484" s="407">
        <f t="shared" si="27"/>
        <v>-4.095999999999894E-3</v>
      </c>
      <c r="J484" s="407">
        <f t="shared" si="27"/>
        <v>-3.9321599999998471E-4</v>
      </c>
      <c r="K484" s="589">
        <f t="shared" si="26"/>
        <v>-6.8489215999999048E-2</v>
      </c>
    </row>
    <row r="485" spans="7:11" customFormat="1" x14ac:dyDescent="0.25">
      <c r="G485" s="589">
        <f t="shared" si="28"/>
        <v>-6.1999999999999167E-2</v>
      </c>
      <c r="H485" s="407">
        <f t="shared" si="27"/>
        <v>-6.1999999999999167E-2</v>
      </c>
      <c r="I485" s="407">
        <f t="shared" si="27"/>
        <v>-3.8439999999998965E-3</v>
      </c>
      <c r="J485" s="407">
        <f t="shared" si="27"/>
        <v>-3.5749199999998558E-4</v>
      </c>
      <c r="K485" s="589">
        <f t="shared" si="26"/>
        <v>-6.6201491999999057E-2</v>
      </c>
    </row>
    <row r="486" spans="7:11" customFormat="1" x14ac:dyDescent="0.25">
      <c r="G486" s="589">
        <f t="shared" si="28"/>
        <v>-5.9999999999999165E-2</v>
      </c>
      <c r="H486" s="407">
        <f t="shared" si="27"/>
        <v>-5.9999999999999165E-2</v>
      </c>
      <c r="I486" s="407">
        <f t="shared" si="27"/>
        <v>-3.5999999999998997E-3</v>
      </c>
      <c r="J486" s="407">
        <f t="shared" si="27"/>
        <v>-3.2399999999998646E-4</v>
      </c>
      <c r="K486" s="589">
        <f t="shared" si="26"/>
        <v>-6.3923999999999051E-2</v>
      </c>
    </row>
    <row r="487" spans="7:11" customFormat="1" x14ac:dyDescent="0.25">
      <c r="G487" s="589">
        <f t="shared" si="28"/>
        <v>-5.7999999999999163E-2</v>
      </c>
      <c r="H487" s="407">
        <f t="shared" si="27"/>
        <v>-5.7999999999999163E-2</v>
      </c>
      <c r="I487" s="407">
        <f t="shared" si="27"/>
        <v>-3.3639999999999031E-3</v>
      </c>
      <c r="J487" s="407">
        <f t="shared" si="27"/>
        <v>-2.9266799999998737E-4</v>
      </c>
      <c r="K487" s="589">
        <f t="shared" si="26"/>
        <v>-6.1656667999999054E-2</v>
      </c>
    </row>
    <row r="488" spans="7:11" customFormat="1" x14ac:dyDescent="0.25">
      <c r="G488" s="589">
        <f t="shared" si="28"/>
        <v>-5.5999999999999162E-2</v>
      </c>
      <c r="H488" s="407">
        <f t="shared" si="27"/>
        <v>-5.5999999999999162E-2</v>
      </c>
      <c r="I488" s="407">
        <f t="shared" si="27"/>
        <v>-3.1359999999999062E-3</v>
      </c>
      <c r="J488" s="407">
        <f t="shared" si="27"/>
        <v>-2.6342399999998819E-4</v>
      </c>
      <c r="K488" s="589">
        <f t="shared" si="26"/>
        <v>-5.9399423999999056E-2</v>
      </c>
    </row>
    <row r="489" spans="7:11" customFormat="1" x14ac:dyDescent="0.25">
      <c r="G489" s="589">
        <f t="shared" si="28"/>
        <v>-5.399999999999916E-2</v>
      </c>
      <c r="H489" s="407">
        <f t="shared" si="27"/>
        <v>-5.399999999999916E-2</v>
      </c>
      <c r="I489" s="407">
        <f t="shared" si="27"/>
        <v>-2.9159999999999091E-3</v>
      </c>
      <c r="J489" s="407">
        <f t="shared" si="27"/>
        <v>-2.3619599999998895E-4</v>
      </c>
      <c r="K489" s="589">
        <f t="shared" si="26"/>
        <v>-5.7152195999999059E-2</v>
      </c>
    </row>
    <row r="490" spans="7:11" customFormat="1" x14ac:dyDescent="0.25">
      <c r="G490" s="589">
        <f t="shared" si="28"/>
        <v>-5.1999999999999158E-2</v>
      </c>
      <c r="H490" s="407">
        <f t="shared" si="27"/>
        <v>-5.1999999999999158E-2</v>
      </c>
      <c r="I490" s="407">
        <f t="shared" si="27"/>
        <v>-2.7039999999999126E-3</v>
      </c>
      <c r="J490" s="407">
        <f t="shared" si="27"/>
        <v>-2.1091199999998978E-4</v>
      </c>
      <c r="K490" s="589">
        <f t="shared" si="26"/>
        <v>-5.491491199999906E-2</v>
      </c>
    </row>
    <row r="491" spans="7:11" customFormat="1" x14ac:dyDescent="0.25">
      <c r="G491" s="589">
        <f t="shared" si="28"/>
        <v>-4.9999999999999156E-2</v>
      </c>
      <c r="H491" s="407">
        <f t="shared" si="27"/>
        <v>-4.9999999999999156E-2</v>
      </c>
      <c r="I491" s="407">
        <f t="shared" si="27"/>
        <v>-2.4999999999999155E-3</v>
      </c>
      <c r="J491" s="407">
        <f t="shared" si="27"/>
        <v>-1.8749999999999049E-4</v>
      </c>
      <c r="K491" s="589">
        <f t="shared" si="26"/>
        <v>-5.2687499999999068E-2</v>
      </c>
    </row>
    <row r="492" spans="7:11" customFormat="1" x14ac:dyDescent="0.25">
      <c r="G492" s="589">
        <f t="shared" si="28"/>
        <v>-4.7999999999999154E-2</v>
      </c>
      <c r="H492" s="407">
        <f t="shared" si="27"/>
        <v>-4.7999999999999154E-2</v>
      </c>
      <c r="I492" s="407">
        <f t="shared" si="27"/>
        <v>-2.303999999999919E-3</v>
      </c>
      <c r="J492" s="407">
        <f t="shared" si="27"/>
        <v>-1.6588799999999124E-4</v>
      </c>
      <c r="K492" s="589">
        <f t="shared" si="26"/>
        <v>-5.0469887999999061E-2</v>
      </c>
    </row>
    <row r="493" spans="7:11" customFormat="1" x14ac:dyDescent="0.25">
      <c r="G493" s="589">
        <f t="shared" si="28"/>
        <v>-4.5999999999999153E-2</v>
      </c>
      <c r="H493" s="407">
        <f t="shared" si="27"/>
        <v>-4.5999999999999153E-2</v>
      </c>
      <c r="I493" s="407">
        <f t="shared" si="27"/>
        <v>-2.1159999999999222E-3</v>
      </c>
      <c r="J493" s="407">
        <f t="shared" si="27"/>
        <v>-1.4600399999999193E-4</v>
      </c>
      <c r="K493" s="589">
        <f t="shared" si="26"/>
        <v>-4.8262003999999067E-2</v>
      </c>
    </row>
    <row r="494" spans="7:11" customFormat="1" x14ac:dyDescent="0.25">
      <c r="G494" s="589">
        <f t="shared" si="28"/>
        <v>-4.3999999999999151E-2</v>
      </c>
      <c r="H494" s="407">
        <f t="shared" si="27"/>
        <v>-4.3999999999999151E-2</v>
      </c>
      <c r="I494" s="407">
        <f t="shared" si="27"/>
        <v>-1.9359999999999252E-3</v>
      </c>
      <c r="J494" s="407">
        <f t="shared" si="27"/>
        <v>-1.2777599999999262E-4</v>
      </c>
      <c r="K494" s="589">
        <f t="shared" si="26"/>
        <v>-4.6063775999999064E-2</v>
      </c>
    </row>
    <row r="495" spans="7:11" customFormat="1" x14ac:dyDescent="0.25">
      <c r="G495" s="589">
        <f t="shared" si="28"/>
        <v>-4.1999999999999149E-2</v>
      </c>
      <c r="H495" s="407">
        <f t="shared" si="27"/>
        <v>-4.1999999999999149E-2</v>
      </c>
      <c r="I495" s="407">
        <f t="shared" si="27"/>
        <v>-1.7639999999999286E-3</v>
      </c>
      <c r="J495" s="407">
        <f t="shared" si="27"/>
        <v>-1.1113199999999324E-4</v>
      </c>
      <c r="K495" s="589">
        <f t="shared" si="26"/>
        <v>-4.3875131999999067E-2</v>
      </c>
    </row>
    <row r="496" spans="7:11" customFormat="1" x14ac:dyDescent="0.25">
      <c r="G496" s="589">
        <f t="shared" si="28"/>
        <v>-3.9999999999999147E-2</v>
      </c>
      <c r="H496" s="407">
        <f t="shared" si="27"/>
        <v>-3.9999999999999147E-2</v>
      </c>
      <c r="I496" s="407">
        <f t="shared" si="27"/>
        <v>-1.5999999999999318E-3</v>
      </c>
      <c r="J496" s="407">
        <f t="shared" si="27"/>
        <v>-9.5999999999993863E-5</v>
      </c>
      <c r="K496" s="589">
        <f t="shared" si="26"/>
        <v>-4.1695999999999074E-2</v>
      </c>
    </row>
    <row r="497" spans="7:11" customFormat="1" x14ac:dyDescent="0.25">
      <c r="G497" s="589">
        <f t="shared" si="28"/>
        <v>-3.7999999999999146E-2</v>
      </c>
      <c r="H497" s="407">
        <f t="shared" si="27"/>
        <v>-3.7999999999999146E-2</v>
      </c>
      <c r="I497" s="407">
        <f t="shared" si="27"/>
        <v>-1.4439999999999351E-3</v>
      </c>
      <c r="J497" s="407">
        <f t="shared" si="27"/>
        <v>-8.2307999999994442E-5</v>
      </c>
      <c r="K497" s="589">
        <f t="shared" si="26"/>
        <v>-3.952630799999908E-2</v>
      </c>
    </row>
    <row r="498" spans="7:11" customFormat="1" x14ac:dyDescent="0.25">
      <c r="G498" s="589">
        <f t="shared" si="28"/>
        <v>-3.5999999999999144E-2</v>
      </c>
      <c r="H498" s="407">
        <f t="shared" si="27"/>
        <v>-3.5999999999999144E-2</v>
      </c>
      <c r="I498" s="407">
        <f t="shared" si="27"/>
        <v>-1.2959999999999383E-3</v>
      </c>
      <c r="J498" s="407">
        <f t="shared" si="27"/>
        <v>-6.9983999999994999E-5</v>
      </c>
      <c r="K498" s="589">
        <f t="shared" si="26"/>
        <v>-3.7365983999999075E-2</v>
      </c>
    </row>
    <row r="499" spans="7:11" customFormat="1" x14ac:dyDescent="0.25">
      <c r="G499" s="589">
        <f t="shared" si="28"/>
        <v>-3.3999999999999142E-2</v>
      </c>
      <c r="H499" s="407">
        <f t="shared" si="27"/>
        <v>-3.3999999999999142E-2</v>
      </c>
      <c r="I499" s="407">
        <f t="shared" si="27"/>
        <v>-1.1559999999999416E-3</v>
      </c>
      <c r="J499" s="407">
        <f t="shared" si="27"/>
        <v>-5.895599999999553E-5</v>
      </c>
      <c r="K499" s="589">
        <f t="shared" si="26"/>
        <v>-3.5214955999999083E-2</v>
      </c>
    </row>
    <row r="500" spans="7:11" customFormat="1" x14ac:dyDescent="0.25">
      <c r="G500" s="589">
        <f t="shared" si="28"/>
        <v>-3.199999999999914E-2</v>
      </c>
      <c r="H500" s="407">
        <f t="shared" si="27"/>
        <v>-3.199999999999914E-2</v>
      </c>
      <c r="I500" s="407">
        <f t="shared" si="27"/>
        <v>-1.0239999999999449E-3</v>
      </c>
      <c r="J500" s="407">
        <f t="shared" si="27"/>
        <v>-4.9151999999996029E-5</v>
      </c>
      <c r="K500" s="589">
        <f t="shared" si="26"/>
        <v>-3.3073151999999079E-2</v>
      </c>
    </row>
    <row r="501" spans="7:11" customFormat="1" x14ac:dyDescent="0.25">
      <c r="G501" s="589">
        <f t="shared" si="28"/>
        <v>-2.9999999999999138E-2</v>
      </c>
      <c r="H501" s="407">
        <f t="shared" si="27"/>
        <v>-2.9999999999999138E-2</v>
      </c>
      <c r="I501" s="407">
        <f t="shared" si="27"/>
        <v>-8.9999999999994826E-4</v>
      </c>
      <c r="J501" s="407">
        <f t="shared" si="27"/>
        <v>-4.0499999999996505E-5</v>
      </c>
      <c r="K501" s="589">
        <f t="shared" ref="K501:K564" si="29">SUM(H501:J501)</f>
        <v>-3.0940499999999083E-2</v>
      </c>
    </row>
    <row r="502" spans="7:11" customFormat="1" x14ac:dyDescent="0.25">
      <c r="G502" s="589">
        <f t="shared" si="28"/>
        <v>-2.7999999999999137E-2</v>
      </c>
      <c r="H502" s="407">
        <f t="shared" si="27"/>
        <v>-2.7999999999999137E-2</v>
      </c>
      <c r="I502" s="407">
        <f t="shared" si="27"/>
        <v>-7.8399999999995162E-4</v>
      </c>
      <c r="J502" s="407">
        <f t="shared" si="27"/>
        <v>-3.2927999999996951E-5</v>
      </c>
      <c r="K502" s="589">
        <f t="shared" si="29"/>
        <v>-2.8816927999999086E-2</v>
      </c>
    </row>
    <row r="503" spans="7:11" customFormat="1" x14ac:dyDescent="0.25">
      <c r="G503" s="589">
        <f t="shared" si="28"/>
        <v>-2.5999999999999135E-2</v>
      </c>
      <c r="H503" s="407">
        <f t="shared" si="27"/>
        <v>-2.5999999999999135E-2</v>
      </c>
      <c r="I503" s="407">
        <f t="shared" si="27"/>
        <v>-6.7599999999995507E-4</v>
      </c>
      <c r="J503" s="407">
        <f t="shared" si="27"/>
        <v>-2.6363999999997375E-5</v>
      </c>
      <c r="K503" s="589">
        <f t="shared" si="29"/>
        <v>-2.6702363999999087E-2</v>
      </c>
    </row>
    <row r="504" spans="7:11" customFormat="1" x14ac:dyDescent="0.25">
      <c r="G504" s="589">
        <f t="shared" si="28"/>
        <v>-2.3999999999999133E-2</v>
      </c>
      <c r="H504" s="407">
        <f t="shared" si="27"/>
        <v>-2.3999999999999133E-2</v>
      </c>
      <c r="I504" s="407">
        <f t="shared" si="27"/>
        <v>-5.7599999999995838E-4</v>
      </c>
      <c r="J504" s="407">
        <f t="shared" si="27"/>
        <v>-2.0735999999997753E-5</v>
      </c>
      <c r="K504" s="589">
        <f t="shared" si="29"/>
        <v>-2.4596735999999089E-2</v>
      </c>
    </row>
    <row r="505" spans="7:11" customFormat="1" x14ac:dyDescent="0.25">
      <c r="G505" s="589">
        <f t="shared" si="28"/>
        <v>-2.1999999999999131E-2</v>
      </c>
      <c r="H505" s="407">
        <f t="shared" si="27"/>
        <v>-2.1999999999999131E-2</v>
      </c>
      <c r="I505" s="407">
        <f t="shared" si="27"/>
        <v>-4.8399999999996178E-4</v>
      </c>
      <c r="J505" s="407">
        <f t="shared" si="27"/>
        <v>-1.5971999999998108E-5</v>
      </c>
      <c r="K505" s="589">
        <f t="shared" si="29"/>
        <v>-2.2499971999999091E-2</v>
      </c>
    </row>
    <row r="506" spans="7:11" customFormat="1" x14ac:dyDescent="0.25">
      <c r="G506" s="589">
        <f t="shared" si="28"/>
        <v>-1.999999999999913E-2</v>
      </c>
      <c r="H506" s="407">
        <f t="shared" ref="H506:J569" si="30">($G506^H$15*(-H$15)^(-1+H$15))/FACT(H$15)</f>
        <v>-1.999999999999913E-2</v>
      </c>
      <c r="I506" s="407">
        <f t="shared" si="30"/>
        <v>-3.9999999999996516E-4</v>
      </c>
      <c r="J506" s="407">
        <f t="shared" si="30"/>
        <v>-1.199999999999843E-5</v>
      </c>
      <c r="K506" s="589">
        <f t="shared" si="29"/>
        <v>-2.0411999999999094E-2</v>
      </c>
    </row>
    <row r="507" spans="7:11" customFormat="1" x14ac:dyDescent="0.25">
      <c r="G507" s="589">
        <f t="shared" si="28"/>
        <v>-1.7999999999999128E-2</v>
      </c>
      <c r="H507" s="407">
        <f t="shared" si="30"/>
        <v>-1.7999999999999128E-2</v>
      </c>
      <c r="I507" s="407">
        <f t="shared" si="30"/>
        <v>-3.2399999999996863E-4</v>
      </c>
      <c r="J507" s="407">
        <f t="shared" si="30"/>
        <v>-8.7479999999987294E-6</v>
      </c>
      <c r="K507" s="589">
        <f t="shared" si="29"/>
        <v>-1.8332747999999097E-2</v>
      </c>
    </row>
    <row r="508" spans="7:11" customFormat="1" x14ac:dyDescent="0.25">
      <c r="G508" s="589">
        <f t="shared" si="28"/>
        <v>-1.5999999999999126E-2</v>
      </c>
      <c r="H508" s="407">
        <f t="shared" si="30"/>
        <v>-1.5999999999999126E-2</v>
      </c>
      <c r="I508" s="407">
        <f t="shared" si="30"/>
        <v>-2.5599999999997202E-4</v>
      </c>
      <c r="J508" s="407">
        <f t="shared" si="30"/>
        <v>-6.1439999999989937E-6</v>
      </c>
      <c r="K508" s="589">
        <f t="shared" si="29"/>
        <v>-1.6262143999999097E-2</v>
      </c>
    </row>
    <row r="509" spans="7:11" customFormat="1" x14ac:dyDescent="0.25">
      <c r="G509" s="589">
        <f t="shared" si="28"/>
        <v>-1.3999999999999126E-2</v>
      </c>
      <c r="H509" s="407">
        <f t="shared" si="30"/>
        <v>-1.3999999999999126E-2</v>
      </c>
      <c r="I509" s="407">
        <f t="shared" si="30"/>
        <v>-1.9599999999997552E-4</v>
      </c>
      <c r="J509" s="407">
        <f t="shared" si="30"/>
        <v>-4.1159999999992284E-6</v>
      </c>
      <c r="K509" s="589">
        <f t="shared" si="29"/>
        <v>-1.42001159999991E-2</v>
      </c>
    </row>
    <row r="510" spans="7:11" customFormat="1" x14ac:dyDescent="0.25">
      <c r="G510" s="589">
        <f t="shared" si="28"/>
        <v>-1.1999999999999126E-2</v>
      </c>
      <c r="H510" s="407">
        <f t="shared" si="30"/>
        <v>-1.1999999999999126E-2</v>
      </c>
      <c r="I510" s="407">
        <f t="shared" si="30"/>
        <v>-1.4399999999997902E-4</v>
      </c>
      <c r="J510" s="407">
        <f t="shared" si="30"/>
        <v>-2.5919999999994337E-6</v>
      </c>
      <c r="K510" s="589">
        <f t="shared" si="29"/>
        <v>-1.2146591999999104E-2</v>
      </c>
    </row>
    <row r="511" spans="7:11" customFormat="1" x14ac:dyDescent="0.25">
      <c r="G511" s="589">
        <f t="shared" si="28"/>
        <v>-9.9999999999991259E-3</v>
      </c>
      <c r="H511" s="407">
        <f t="shared" si="30"/>
        <v>-9.9999999999991259E-3</v>
      </c>
      <c r="I511" s="407">
        <f t="shared" si="30"/>
        <v>-9.9999999999982522E-5</v>
      </c>
      <c r="J511" s="407">
        <f t="shared" si="30"/>
        <v>-1.4999999999996068E-6</v>
      </c>
      <c r="K511" s="589">
        <f t="shared" si="29"/>
        <v>-1.0101499999999108E-2</v>
      </c>
    </row>
    <row r="512" spans="7:11" customFormat="1" x14ac:dyDescent="0.25">
      <c r="G512" s="589">
        <f t="shared" si="28"/>
        <v>-7.9999999999991259E-3</v>
      </c>
      <c r="H512" s="407">
        <f t="shared" si="30"/>
        <v>-7.9999999999991259E-3</v>
      </c>
      <c r="I512" s="407">
        <f t="shared" si="30"/>
        <v>-6.3999999999986011E-5</v>
      </c>
      <c r="J512" s="407">
        <f t="shared" si="30"/>
        <v>-7.6799999999974811E-7</v>
      </c>
      <c r="K512" s="589">
        <f t="shared" si="29"/>
        <v>-8.0647679999991118E-3</v>
      </c>
    </row>
    <row r="513" spans="7:11" customFormat="1" x14ac:dyDescent="0.25">
      <c r="G513" s="589">
        <f t="shared" si="28"/>
        <v>-5.9999999999991258E-3</v>
      </c>
      <c r="H513" s="407">
        <f t="shared" si="30"/>
        <v>-5.9999999999991258E-3</v>
      </c>
      <c r="I513" s="407">
        <f t="shared" si="30"/>
        <v>-3.5999999999989511E-5</v>
      </c>
      <c r="J513" s="407">
        <f t="shared" si="30"/>
        <v>-3.2399999999985838E-7</v>
      </c>
      <c r="K513" s="589">
        <f t="shared" si="29"/>
        <v>-6.0363239999991145E-3</v>
      </c>
    </row>
    <row r="514" spans="7:11" customFormat="1" x14ac:dyDescent="0.25">
      <c r="G514" s="589">
        <f t="shared" si="28"/>
        <v>-3.9999999999991258E-3</v>
      </c>
      <c r="H514" s="407">
        <f t="shared" si="30"/>
        <v>-3.9999999999991258E-3</v>
      </c>
      <c r="I514" s="407">
        <f t="shared" si="30"/>
        <v>-1.5999999999993006E-5</v>
      </c>
      <c r="J514" s="407">
        <f t="shared" si="30"/>
        <v>-9.5999999999937054E-8</v>
      </c>
      <c r="K514" s="589">
        <f t="shared" si="29"/>
        <v>-4.0160959999991181E-3</v>
      </c>
    </row>
    <row r="515" spans="7:11" customFormat="1" x14ac:dyDescent="0.25">
      <c r="G515" s="589">
        <f t="shared" si="28"/>
        <v>-1.9999999999991257E-3</v>
      </c>
      <c r="H515" s="407">
        <f t="shared" si="30"/>
        <v>-1.9999999999991257E-3</v>
      </c>
      <c r="I515" s="407">
        <f t="shared" si="30"/>
        <v>-3.9999999999965033E-6</v>
      </c>
      <c r="J515" s="407">
        <f t="shared" si="30"/>
        <v>-1.1999999999984265E-8</v>
      </c>
      <c r="K515" s="589">
        <f t="shared" si="29"/>
        <v>-2.0040119999991226E-3</v>
      </c>
    </row>
    <row r="516" spans="7:11" customFormat="1" x14ac:dyDescent="0.25">
      <c r="G516" s="589">
        <f t="shared" si="28"/>
        <v>8.7430063189231078E-16</v>
      </c>
      <c r="H516" s="407">
        <f t="shared" si="30"/>
        <v>8.7430063189231078E-16</v>
      </c>
      <c r="I516" s="407">
        <f t="shared" si="30"/>
        <v>-7.6440159492729391E-31</v>
      </c>
      <c r="J516" s="407">
        <f t="shared" si="30"/>
        <v>1.0024751961966349E-45</v>
      </c>
      <c r="K516" s="589">
        <f t="shared" si="29"/>
        <v>8.7430063189230999E-16</v>
      </c>
    </row>
    <row r="517" spans="7:11" customFormat="1" x14ac:dyDescent="0.25">
      <c r="G517" s="589">
        <f t="shared" si="28"/>
        <v>2.0000000000008743E-3</v>
      </c>
      <c r="H517" s="407">
        <f t="shared" si="30"/>
        <v>2.0000000000008743E-3</v>
      </c>
      <c r="I517" s="407">
        <f t="shared" si="30"/>
        <v>-4.0000000000034972E-6</v>
      </c>
      <c r="J517" s="407">
        <f t="shared" si="30"/>
        <v>1.2000000000015738E-8</v>
      </c>
      <c r="K517" s="589">
        <f t="shared" si="29"/>
        <v>1.996012000000871E-3</v>
      </c>
    </row>
    <row r="518" spans="7:11" customFormat="1" x14ac:dyDescent="0.25">
      <c r="G518" s="589">
        <f t="shared" si="28"/>
        <v>4.0000000000008744E-3</v>
      </c>
      <c r="H518" s="407">
        <f t="shared" si="30"/>
        <v>4.0000000000008744E-3</v>
      </c>
      <c r="I518" s="407">
        <f t="shared" si="30"/>
        <v>-1.6000000000006996E-5</v>
      </c>
      <c r="J518" s="407">
        <f t="shared" si="30"/>
        <v>9.6000000000062958E-8</v>
      </c>
      <c r="K518" s="589">
        <f t="shared" si="29"/>
        <v>3.9840960000008668E-3</v>
      </c>
    </row>
    <row r="519" spans="7:11" customFormat="1" x14ac:dyDescent="0.25">
      <c r="G519" s="589">
        <f t="shared" si="28"/>
        <v>6.0000000000008744E-3</v>
      </c>
      <c r="H519" s="407">
        <f t="shared" si="30"/>
        <v>6.0000000000008744E-3</v>
      </c>
      <c r="I519" s="407">
        <f t="shared" si="30"/>
        <v>-3.6000000000010491E-5</v>
      </c>
      <c r="J519" s="407">
        <f t="shared" si="30"/>
        <v>3.2400000000014166E-7</v>
      </c>
      <c r="K519" s="589">
        <f t="shared" si="29"/>
        <v>5.9643240000008639E-3</v>
      </c>
    </row>
    <row r="520" spans="7:11" customFormat="1" x14ac:dyDescent="0.25">
      <c r="G520" s="589">
        <f t="shared" si="28"/>
        <v>8.0000000000008745E-3</v>
      </c>
      <c r="H520" s="407">
        <f t="shared" si="30"/>
        <v>8.0000000000008745E-3</v>
      </c>
      <c r="I520" s="407">
        <f t="shared" si="30"/>
        <v>-6.4000000000013997E-5</v>
      </c>
      <c r="J520" s="407">
        <f t="shared" si="30"/>
        <v>7.6800000000025199E-7</v>
      </c>
      <c r="K520" s="589">
        <f t="shared" si="29"/>
        <v>7.9367680000008607E-3</v>
      </c>
    </row>
    <row r="521" spans="7:11" customFormat="1" x14ac:dyDescent="0.25">
      <c r="G521" s="589">
        <f t="shared" si="28"/>
        <v>1.0000000000000875E-2</v>
      </c>
      <c r="H521" s="407">
        <f t="shared" si="30"/>
        <v>1.0000000000000875E-2</v>
      </c>
      <c r="I521" s="407">
        <f t="shared" si="30"/>
        <v>-1.0000000000001749E-4</v>
      </c>
      <c r="J521" s="407">
        <f t="shared" si="30"/>
        <v>1.5000000000003933E-6</v>
      </c>
      <c r="K521" s="589">
        <f t="shared" si="29"/>
        <v>9.9015000000008575E-3</v>
      </c>
    </row>
    <row r="522" spans="7:11" customFormat="1" x14ac:dyDescent="0.25">
      <c r="G522" s="589">
        <f t="shared" si="28"/>
        <v>1.2000000000000875E-2</v>
      </c>
      <c r="H522" s="407">
        <f t="shared" si="30"/>
        <v>1.2000000000000875E-2</v>
      </c>
      <c r="I522" s="407">
        <f t="shared" si="30"/>
        <v>-1.4400000000002098E-4</v>
      </c>
      <c r="J522" s="407">
        <f t="shared" si="30"/>
        <v>2.592000000000567E-6</v>
      </c>
      <c r="K522" s="589">
        <f t="shared" si="29"/>
        <v>1.1858592000000855E-2</v>
      </c>
    </row>
    <row r="523" spans="7:11" customFormat="1" x14ac:dyDescent="0.25">
      <c r="G523" s="589">
        <f t="shared" si="28"/>
        <v>1.4000000000000875E-2</v>
      </c>
      <c r="H523" s="407">
        <f t="shared" si="30"/>
        <v>1.4000000000000875E-2</v>
      </c>
      <c r="I523" s="407">
        <f t="shared" si="30"/>
        <v>-1.960000000000245E-4</v>
      </c>
      <c r="J523" s="407">
        <f t="shared" si="30"/>
        <v>4.1160000000007717E-6</v>
      </c>
      <c r="K523" s="589">
        <f t="shared" si="29"/>
        <v>1.3808116000000851E-2</v>
      </c>
    </row>
    <row r="524" spans="7:11" customFormat="1" x14ac:dyDescent="0.25">
      <c r="G524" s="589">
        <f t="shared" si="28"/>
        <v>1.6000000000000875E-2</v>
      </c>
      <c r="H524" s="407">
        <f t="shared" si="30"/>
        <v>1.6000000000000875E-2</v>
      </c>
      <c r="I524" s="407">
        <f t="shared" si="30"/>
        <v>-2.5600000000002802E-4</v>
      </c>
      <c r="J524" s="407">
        <f t="shared" si="30"/>
        <v>6.1440000000010079E-6</v>
      </c>
      <c r="K524" s="589">
        <f t="shared" si="29"/>
        <v>1.5750144000000847E-2</v>
      </c>
    </row>
    <row r="525" spans="7:11" customFormat="1" x14ac:dyDescent="0.25">
      <c r="G525" s="589">
        <f t="shared" si="28"/>
        <v>1.8000000000000876E-2</v>
      </c>
      <c r="H525" s="407">
        <f t="shared" si="30"/>
        <v>1.8000000000000876E-2</v>
      </c>
      <c r="I525" s="407">
        <f t="shared" si="30"/>
        <v>-3.2400000000003157E-4</v>
      </c>
      <c r="J525" s="407">
        <f t="shared" si="30"/>
        <v>8.7480000000012789E-6</v>
      </c>
      <c r="K525" s="589">
        <f t="shared" si="29"/>
        <v>1.7684748000000847E-2</v>
      </c>
    </row>
    <row r="526" spans="7:11" customFormat="1" x14ac:dyDescent="0.25">
      <c r="G526" s="589">
        <f t="shared" si="28"/>
        <v>2.0000000000000878E-2</v>
      </c>
      <c r="H526" s="407">
        <f t="shared" si="30"/>
        <v>2.0000000000000878E-2</v>
      </c>
      <c r="I526" s="407">
        <f t="shared" si="30"/>
        <v>-4.0000000000003515E-4</v>
      </c>
      <c r="J526" s="407">
        <f t="shared" si="30"/>
        <v>1.2000000000001584E-5</v>
      </c>
      <c r="K526" s="589">
        <f t="shared" si="29"/>
        <v>1.9612000000000844E-2</v>
      </c>
    </row>
    <row r="527" spans="7:11" customFormat="1" x14ac:dyDescent="0.25">
      <c r="G527" s="589">
        <f t="shared" si="28"/>
        <v>2.200000000000088E-2</v>
      </c>
      <c r="H527" s="407">
        <f t="shared" si="30"/>
        <v>2.200000000000088E-2</v>
      </c>
      <c r="I527" s="407">
        <f t="shared" si="30"/>
        <v>-4.8400000000003871E-4</v>
      </c>
      <c r="J527" s="407">
        <f t="shared" si="30"/>
        <v>1.5972000000001917E-5</v>
      </c>
      <c r="K527" s="589">
        <f t="shared" si="29"/>
        <v>2.1531972000000843E-2</v>
      </c>
    </row>
    <row r="528" spans="7:11" customFormat="1" x14ac:dyDescent="0.25">
      <c r="G528" s="589">
        <f t="shared" si="28"/>
        <v>2.4000000000000882E-2</v>
      </c>
      <c r="H528" s="407">
        <f t="shared" si="30"/>
        <v>2.4000000000000882E-2</v>
      </c>
      <c r="I528" s="407">
        <f t="shared" si="30"/>
        <v>-5.760000000000423E-4</v>
      </c>
      <c r="J528" s="407">
        <f t="shared" si="30"/>
        <v>2.0736000000002286E-5</v>
      </c>
      <c r="K528" s="589">
        <f t="shared" si="29"/>
        <v>2.3444736000000844E-2</v>
      </c>
    </row>
    <row r="529" spans="7:11" customFormat="1" x14ac:dyDescent="0.25">
      <c r="G529" s="589">
        <f t="shared" ref="G529:G592" si="31">G528+$K$14</f>
        <v>2.6000000000000884E-2</v>
      </c>
      <c r="H529" s="407">
        <f t="shared" si="30"/>
        <v>2.6000000000000884E-2</v>
      </c>
      <c r="I529" s="407">
        <f t="shared" si="30"/>
        <v>-6.7600000000004592E-4</v>
      </c>
      <c r="J529" s="407">
        <f t="shared" si="30"/>
        <v>2.6364000000002687E-5</v>
      </c>
      <c r="K529" s="589">
        <f t="shared" si="29"/>
        <v>2.5350364000000843E-2</v>
      </c>
    </row>
    <row r="530" spans="7:11" customFormat="1" x14ac:dyDescent="0.25">
      <c r="G530" s="589">
        <f t="shared" si="31"/>
        <v>2.8000000000000885E-2</v>
      </c>
      <c r="H530" s="407">
        <f t="shared" si="30"/>
        <v>2.8000000000000885E-2</v>
      </c>
      <c r="I530" s="407">
        <f t="shared" si="30"/>
        <v>-7.8400000000004952E-4</v>
      </c>
      <c r="J530" s="407">
        <f t="shared" si="30"/>
        <v>3.2928000000003118E-5</v>
      </c>
      <c r="K530" s="589">
        <f t="shared" si="29"/>
        <v>2.7248928000000838E-2</v>
      </c>
    </row>
    <row r="531" spans="7:11" customFormat="1" x14ac:dyDescent="0.25">
      <c r="G531" s="589">
        <f t="shared" si="31"/>
        <v>3.0000000000000887E-2</v>
      </c>
      <c r="H531" s="407">
        <f t="shared" si="30"/>
        <v>3.0000000000000887E-2</v>
      </c>
      <c r="I531" s="407">
        <f t="shared" si="30"/>
        <v>-9.0000000000005321E-4</v>
      </c>
      <c r="J531" s="407">
        <f t="shared" si="30"/>
        <v>4.0500000000003593E-5</v>
      </c>
      <c r="K531" s="589">
        <f t="shared" si="29"/>
        <v>2.9140500000000836E-2</v>
      </c>
    </row>
    <row r="532" spans="7:11" customFormat="1" x14ac:dyDescent="0.25">
      <c r="G532" s="589">
        <f t="shared" si="31"/>
        <v>3.2000000000000889E-2</v>
      </c>
      <c r="H532" s="407">
        <f t="shared" si="30"/>
        <v>3.2000000000000889E-2</v>
      </c>
      <c r="I532" s="407">
        <f t="shared" si="30"/>
        <v>-1.024000000000057E-3</v>
      </c>
      <c r="J532" s="407">
        <f t="shared" si="30"/>
        <v>4.9152000000004099E-5</v>
      </c>
      <c r="K532" s="589">
        <f t="shared" si="29"/>
        <v>3.1025152000000836E-2</v>
      </c>
    </row>
    <row r="533" spans="7:11" customFormat="1" x14ac:dyDescent="0.25">
      <c r="G533" s="589">
        <f t="shared" si="31"/>
        <v>3.4000000000000891E-2</v>
      </c>
      <c r="H533" s="407">
        <f t="shared" si="30"/>
        <v>3.4000000000000891E-2</v>
      </c>
      <c r="I533" s="407">
        <f t="shared" si="30"/>
        <v>-1.1560000000000606E-3</v>
      </c>
      <c r="J533" s="407">
        <f t="shared" si="30"/>
        <v>5.8956000000004638E-5</v>
      </c>
      <c r="K533" s="589">
        <f t="shared" si="29"/>
        <v>3.2902956000000837E-2</v>
      </c>
    </row>
    <row r="534" spans="7:11" customFormat="1" x14ac:dyDescent="0.25">
      <c r="G534" s="589">
        <f t="shared" si="31"/>
        <v>3.6000000000000892E-2</v>
      </c>
      <c r="H534" s="407">
        <f t="shared" si="30"/>
        <v>3.6000000000000892E-2</v>
      </c>
      <c r="I534" s="407">
        <f t="shared" si="30"/>
        <v>-1.2960000000000642E-3</v>
      </c>
      <c r="J534" s="407">
        <f t="shared" si="30"/>
        <v>6.9984000000005204E-5</v>
      </c>
      <c r="K534" s="589">
        <f t="shared" si="29"/>
        <v>3.4773984000000834E-2</v>
      </c>
    </row>
    <row r="535" spans="7:11" customFormat="1" x14ac:dyDescent="0.25">
      <c r="G535" s="589">
        <f t="shared" si="31"/>
        <v>3.8000000000000894E-2</v>
      </c>
      <c r="H535" s="407">
        <f t="shared" si="30"/>
        <v>3.8000000000000894E-2</v>
      </c>
      <c r="I535" s="407">
        <f t="shared" si="30"/>
        <v>-1.4440000000000681E-3</v>
      </c>
      <c r="J535" s="407">
        <f t="shared" si="30"/>
        <v>8.2308000000005813E-5</v>
      </c>
      <c r="K535" s="589">
        <f t="shared" si="29"/>
        <v>3.6638308000000827E-2</v>
      </c>
    </row>
    <row r="536" spans="7:11" customFormat="1" x14ac:dyDescent="0.25">
      <c r="G536" s="589">
        <f t="shared" si="31"/>
        <v>4.0000000000000896E-2</v>
      </c>
      <c r="H536" s="407">
        <f t="shared" si="30"/>
        <v>4.0000000000000896E-2</v>
      </c>
      <c r="I536" s="407">
        <f t="shared" si="30"/>
        <v>-1.6000000000000716E-3</v>
      </c>
      <c r="J536" s="407">
        <f t="shared" si="30"/>
        <v>9.600000000000644E-5</v>
      </c>
      <c r="K536" s="589">
        <f t="shared" si="29"/>
        <v>3.8496000000000828E-2</v>
      </c>
    </row>
    <row r="537" spans="7:11" customFormat="1" x14ac:dyDescent="0.25">
      <c r="G537" s="589">
        <f t="shared" si="31"/>
        <v>4.2000000000000898E-2</v>
      </c>
      <c r="H537" s="407">
        <f t="shared" si="30"/>
        <v>4.2000000000000898E-2</v>
      </c>
      <c r="I537" s="407">
        <f t="shared" si="30"/>
        <v>-1.7640000000000754E-3</v>
      </c>
      <c r="J537" s="407">
        <f t="shared" si="30"/>
        <v>1.1113200000000712E-4</v>
      </c>
      <c r="K537" s="589">
        <f t="shared" si="29"/>
        <v>4.0347132000000827E-2</v>
      </c>
    </row>
    <row r="538" spans="7:11" customFormat="1" x14ac:dyDescent="0.25">
      <c r="G538" s="589">
        <f t="shared" si="31"/>
        <v>4.40000000000009E-2</v>
      </c>
      <c r="H538" s="407">
        <f t="shared" si="30"/>
        <v>4.40000000000009E-2</v>
      </c>
      <c r="I538" s="407">
        <f t="shared" si="30"/>
        <v>-1.9360000000000792E-3</v>
      </c>
      <c r="J538" s="407">
        <f t="shared" si="30"/>
        <v>1.2777600000000782E-4</v>
      </c>
      <c r="K538" s="589">
        <f t="shared" si="29"/>
        <v>4.2191776000000833E-2</v>
      </c>
    </row>
    <row r="539" spans="7:11" customFormat="1" x14ac:dyDescent="0.25">
      <c r="G539" s="589">
        <f t="shared" si="31"/>
        <v>4.6000000000000901E-2</v>
      </c>
      <c r="H539" s="407">
        <f t="shared" si="30"/>
        <v>4.6000000000000901E-2</v>
      </c>
      <c r="I539" s="407">
        <f t="shared" si="30"/>
        <v>-2.1160000000000831E-3</v>
      </c>
      <c r="J539" s="407">
        <f t="shared" si="30"/>
        <v>1.4600400000000857E-4</v>
      </c>
      <c r="K539" s="589">
        <f t="shared" si="29"/>
        <v>4.4030004000000823E-2</v>
      </c>
    </row>
    <row r="540" spans="7:11" customFormat="1" x14ac:dyDescent="0.25">
      <c r="G540" s="589">
        <f t="shared" si="31"/>
        <v>4.8000000000000903E-2</v>
      </c>
      <c r="H540" s="407">
        <f t="shared" si="30"/>
        <v>4.8000000000000903E-2</v>
      </c>
      <c r="I540" s="407">
        <f t="shared" si="30"/>
        <v>-2.3040000000000868E-3</v>
      </c>
      <c r="J540" s="407">
        <f t="shared" si="30"/>
        <v>1.6588800000000935E-4</v>
      </c>
      <c r="K540" s="589">
        <f t="shared" si="29"/>
        <v>4.5861888000000829E-2</v>
      </c>
    </row>
    <row r="541" spans="7:11" customFormat="1" x14ac:dyDescent="0.25">
      <c r="G541" s="589">
        <f t="shared" si="31"/>
        <v>5.0000000000000905E-2</v>
      </c>
      <c r="H541" s="407">
        <f t="shared" si="30"/>
        <v>5.0000000000000905E-2</v>
      </c>
      <c r="I541" s="407">
        <f t="shared" si="30"/>
        <v>-2.5000000000000907E-3</v>
      </c>
      <c r="J541" s="407">
        <f t="shared" si="30"/>
        <v>1.8750000000001022E-4</v>
      </c>
      <c r="K541" s="589">
        <f t="shared" si="29"/>
        <v>4.768750000000082E-2</v>
      </c>
    </row>
    <row r="542" spans="7:11" customFormat="1" x14ac:dyDescent="0.25">
      <c r="G542" s="589">
        <f t="shared" si="31"/>
        <v>5.2000000000000907E-2</v>
      </c>
      <c r="H542" s="407">
        <f t="shared" si="30"/>
        <v>5.2000000000000907E-2</v>
      </c>
      <c r="I542" s="407">
        <f t="shared" si="30"/>
        <v>-2.7040000000000943E-3</v>
      </c>
      <c r="J542" s="407">
        <f t="shared" si="30"/>
        <v>2.1091200000001103E-4</v>
      </c>
      <c r="K542" s="589">
        <f t="shared" si="29"/>
        <v>4.9506912000000826E-2</v>
      </c>
    </row>
    <row r="543" spans="7:11" customFormat="1" x14ac:dyDescent="0.25">
      <c r="G543" s="589">
        <f t="shared" si="31"/>
        <v>5.4000000000000908E-2</v>
      </c>
      <c r="H543" s="407">
        <f t="shared" si="30"/>
        <v>5.4000000000000908E-2</v>
      </c>
      <c r="I543" s="407">
        <f t="shared" si="30"/>
        <v>-2.9160000000000982E-3</v>
      </c>
      <c r="J543" s="407">
        <f t="shared" si="30"/>
        <v>2.3619600000001194E-4</v>
      </c>
      <c r="K543" s="589">
        <f t="shared" si="29"/>
        <v>5.1320196000000824E-2</v>
      </c>
    </row>
    <row r="544" spans="7:11" customFormat="1" x14ac:dyDescent="0.25">
      <c r="G544" s="589">
        <f t="shared" si="31"/>
        <v>5.600000000000091E-2</v>
      </c>
      <c r="H544" s="407">
        <f t="shared" si="30"/>
        <v>5.600000000000091E-2</v>
      </c>
      <c r="I544" s="407">
        <f t="shared" si="30"/>
        <v>-3.1360000000001018E-3</v>
      </c>
      <c r="J544" s="407">
        <f t="shared" si="30"/>
        <v>2.6342400000001285E-4</v>
      </c>
      <c r="K544" s="589">
        <f t="shared" si="29"/>
        <v>5.3127424000000818E-2</v>
      </c>
    </row>
    <row r="545" spans="7:11" customFormat="1" x14ac:dyDescent="0.25">
      <c r="G545" s="589">
        <f t="shared" si="31"/>
        <v>5.8000000000000912E-2</v>
      </c>
      <c r="H545" s="407">
        <f t="shared" si="30"/>
        <v>5.8000000000000912E-2</v>
      </c>
      <c r="I545" s="407">
        <f t="shared" si="30"/>
        <v>-3.3640000000001056E-3</v>
      </c>
      <c r="J545" s="407">
        <f t="shared" si="30"/>
        <v>2.9266800000001377E-4</v>
      </c>
      <c r="K545" s="589">
        <f t="shared" si="29"/>
        <v>5.4928668000000826E-2</v>
      </c>
    </row>
    <row r="546" spans="7:11" customFormat="1" x14ac:dyDescent="0.25">
      <c r="G546" s="589">
        <f t="shared" si="31"/>
        <v>6.0000000000000914E-2</v>
      </c>
      <c r="H546" s="407">
        <f t="shared" si="30"/>
        <v>6.0000000000000914E-2</v>
      </c>
      <c r="I546" s="407">
        <f t="shared" si="30"/>
        <v>-3.6000000000001096E-3</v>
      </c>
      <c r="J546" s="407">
        <f t="shared" si="30"/>
        <v>3.2400000000001476E-4</v>
      </c>
      <c r="K546" s="589">
        <f t="shared" si="29"/>
        <v>5.6724000000000815E-2</v>
      </c>
    </row>
    <row r="547" spans="7:11" customFormat="1" x14ac:dyDescent="0.25">
      <c r="G547" s="589">
        <f t="shared" si="31"/>
        <v>6.2000000000000915E-2</v>
      </c>
      <c r="H547" s="407">
        <f t="shared" si="30"/>
        <v>6.2000000000000915E-2</v>
      </c>
      <c r="I547" s="407">
        <f t="shared" si="30"/>
        <v>-3.8440000000001134E-3</v>
      </c>
      <c r="J547" s="407">
        <f t="shared" si="30"/>
        <v>3.5749200000001583E-4</v>
      </c>
      <c r="K547" s="589">
        <f t="shared" si="29"/>
        <v>5.8513492000000819E-2</v>
      </c>
    </row>
    <row r="548" spans="7:11" customFormat="1" x14ac:dyDescent="0.25">
      <c r="G548" s="589">
        <f t="shared" si="31"/>
        <v>6.4000000000000917E-2</v>
      </c>
      <c r="H548" s="407">
        <f t="shared" si="30"/>
        <v>6.4000000000000917E-2</v>
      </c>
      <c r="I548" s="407">
        <f t="shared" si="30"/>
        <v>-4.0960000000001178E-3</v>
      </c>
      <c r="J548" s="407">
        <f t="shared" si="30"/>
        <v>3.9321600000001697E-4</v>
      </c>
      <c r="K548" s="589">
        <f t="shared" si="29"/>
        <v>6.0297216000000813E-2</v>
      </c>
    </row>
    <row r="549" spans="7:11" customFormat="1" x14ac:dyDescent="0.25">
      <c r="G549" s="589">
        <f t="shared" si="31"/>
        <v>6.6000000000000919E-2</v>
      </c>
      <c r="H549" s="407">
        <f t="shared" si="30"/>
        <v>6.6000000000000919E-2</v>
      </c>
      <c r="I549" s="407">
        <f t="shared" si="30"/>
        <v>-4.3560000000001211E-3</v>
      </c>
      <c r="J549" s="407">
        <f t="shared" si="30"/>
        <v>4.3124400000001795E-4</v>
      </c>
      <c r="K549" s="589">
        <f t="shared" si="29"/>
        <v>6.2075244000000813E-2</v>
      </c>
    </row>
    <row r="550" spans="7:11" customFormat="1" x14ac:dyDescent="0.25">
      <c r="G550" s="589">
        <f t="shared" si="31"/>
        <v>6.8000000000000921E-2</v>
      </c>
      <c r="H550" s="407">
        <f t="shared" si="30"/>
        <v>6.8000000000000921E-2</v>
      </c>
      <c r="I550" s="407">
        <f t="shared" si="30"/>
        <v>-4.6240000000001254E-3</v>
      </c>
      <c r="J550" s="407">
        <f t="shared" si="30"/>
        <v>4.7164800000001921E-4</v>
      </c>
      <c r="K550" s="589">
        <f t="shared" si="29"/>
        <v>6.3847648000000812E-2</v>
      </c>
    </row>
    <row r="551" spans="7:11" customFormat="1" x14ac:dyDescent="0.25">
      <c r="G551" s="589">
        <f t="shared" si="31"/>
        <v>7.0000000000000923E-2</v>
      </c>
      <c r="H551" s="407">
        <f t="shared" si="30"/>
        <v>7.0000000000000923E-2</v>
      </c>
      <c r="I551" s="407">
        <f t="shared" si="30"/>
        <v>-4.9000000000001291E-3</v>
      </c>
      <c r="J551" s="407">
        <f t="shared" si="30"/>
        <v>5.1450000000002026E-4</v>
      </c>
      <c r="K551" s="589">
        <f t="shared" si="29"/>
        <v>6.5614500000000811E-2</v>
      </c>
    </row>
    <row r="552" spans="7:11" customFormat="1" x14ac:dyDescent="0.25">
      <c r="G552" s="589">
        <f t="shared" si="31"/>
        <v>7.2000000000000924E-2</v>
      </c>
      <c r="H552" s="407">
        <f t="shared" si="30"/>
        <v>7.2000000000000924E-2</v>
      </c>
      <c r="I552" s="407">
        <f t="shared" si="30"/>
        <v>-5.1840000000001329E-3</v>
      </c>
      <c r="J552" s="407">
        <f t="shared" si="30"/>
        <v>5.5987200000002157E-4</v>
      </c>
      <c r="K552" s="589">
        <f t="shared" si="29"/>
        <v>6.7375872000000808E-2</v>
      </c>
    </row>
    <row r="553" spans="7:11" customFormat="1" x14ac:dyDescent="0.25">
      <c r="G553" s="589">
        <f t="shared" si="31"/>
        <v>7.4000000000000926E-2</v>
      </c>
      <c r="H553" s="407">
        <f t="shared" si="30"/>
        <v>7.4000000000000926E-2</v>
      </c>
      <c r="I553" s="407">
        <f t="shared" si="30"/>
        <v>-5.476000000000137E-3</v>
      </c>
      <c r="J553" s="407">
        <f t="shared" si="30"/>
        <v>6.0783600000002282E-4</v>
      </c>
      <c r="K553" s="589">
        <f t="shared" si="29"/>
        <v>6.9131836000000821E-2</v>
      </c>
    </row>
    <row r="554" spans="7:11" customFormat="1" x14ac:dyDescent="0.25">
      <c r="G554" s="589">
        <f t="shared" si="31"/>
        <v>7.6000000000000928E-2</v>
      </c>
      <c r="H554" s="407">
        <f t="shared" si="30"/>
        <v>7.6000000000000928E-2</v>
      </c>
      <c r="I554" s="407">
        <f t="shared" si="30"/>
        <v>-5.7760000000001413E-3</v>
      </c>
      <c r="J554" s="407">
        <f t="shared" si="30"/>
        <v>6.5846400000002406E-4</v>
      </c>
      <c r="K554" s="589">
        <f t="shared" si="29"/>
        <v>7.0882464000000811E-2</v>
      </c>
    </row>
    <row r="555" spans="7:11" customFormat="1" x14ac:dyDescent="0.25">
      <c r="G555" s="589">
        <f t="shared" si="31"/>
        <v>7.800000000000093E-2</v>
      </c>
      <c r="H555" s="407">
        <f t="shared" si="30"/>
        <v>7.800000000000093E-2</v>
      </c>
      <c r="I555" s="407">
        <f t="shared" si="30"/>
        <v>-6.0840000000001448E-3</v>
      </c>
      <c r="J555" s="407">
        <f t="shared" si="30"/>
        <v>7.1182800000002544E-4</v>
      </c>
      <c r="K555" s="589">
        <f t="shared" si="29"/>
        <v>7.262782800000081E-2</v>
      </c>
    </row>
    <row r="556" spans="7:11" customFormat="1" x14ac:dyDescent="0.25">
      <c r="G556" s="589">
        <f t="shared" si="31"/>
        <v>8.0000000000000931E-2</v>
      </c>
      <c r="H556" s="407">
        <f t="shared" si="30"/>
        <v>8.0000000000000931E-2</v>
      </c>
      <c r="I556" s="407">
        <f t="shared" si="30"/>
        <v>-6.4000000000001486E-3</v>
      </c>
      <c r="J556" s="407">
        <f t="shared" si="30"/>
        <v>7.680000000000268E-4</v>
      </c>
      <c r="K556" s="589">
        <f t="shared" si="29"/>
        <v>7.4368000000000808E-2</v>
      </c>
    </row>
    <row r="557" spans="7:11" customFormat="1" x14ac:dyDescent="0.25">
      <c r="G557" s="589">
        <f t="shared" si="31"/>
        <v>8.2000000000000933E-2</v>
      </c>
      <c r="H557" s="407">
        <f t="shared" si="30"/>
        <v>8.2000000000000933E-2</v>
      </c>
      <c r="I557" s="407">
        <f t="shared" si="30"/>
        <v>-6.7240000000001535E-3</v>
      </c>
      <c r="J557" s="407">
        <f t="shared" si="30"/>
        <v>8.2705200000002829E-4</v>
      </c>
      <c r="K557" s="589">
        <f t="shared" si="29"/>
        <v>7.6103052000000809E-2</v>
      </c>
    </row>
    <row r="558" spans="7:11" customFormat="1" x14ac:dyDescent="0.25">
      <c r="G558" s="589">
        <f t="shared" si="31"/>
        <v>8.4000000000000935E-2</v>
      </c>
      <c r="H558" s="407">
        <f t="shared" si="30"/>
        <v>8.4000000000000935E-2</v>
      </c>
      <c r="I558" s="407">
        <f t="shared" si="30"/>
        <v>-7.0560000000001568E-3</v>
      </c>
      <c r="J558" s="407">
        <f t="shared" si="30"/>
        <v>8.8905600000002954E-4</v>
      </c>
      <c r="K558" s="589">
        <f t="shared" si="29"/>
        <v>7.7833056000000803E-2</v>
      </c>
    </row>
    <row r="559" spans="7:11" customFormat="1" x14ac:dyDescent="0.25">
      <c r="G559" s="589">
        <f t="shared" si="31"/>
        <v>8.6000000000000937E-2</v>
      </c>
      <c r="H559" s="407">
        <f t="shared" si="30"/>
        <v>8.6000000000000937E-2</v>
      </c>
      <c r="I559" s="407">
        <f t="shared" si="30"/>
        <v>-7.3960000000001611E-3</v>
      </c>
      <c r="J559" s="407">
        <f t="shared" si="30"/>
        <v>9.5408400000003123E-4</v>
      </c>
      <c r="K559" s="589">
        <f t="shared" si="29"/>
        <v>7.9558084000000806E-2</v>
      </c>
    </row>
    <row r="560" spans="7:11" customFormat="1" x14ac:dyDescent="0.25">
      <c r="G560" s="589">
        <f t="shared" si="31"/>
        <v>8.8000000000000939E-2</v>
      </c>
      <c r="H560" s="407">
        <f t="shared" si="30"/>
        <v>8.8000000000000939E-2</v>
      </c>
      <c r="I560" s="407">
        <f t="shared" si="30"/>
        <v>-7.7440000000001648E-3</v>
      </c>
      <c r="J560" s="407">
        <f t="shared" si="30"/>
        <v>1.0222080000000327E-3</v>
      </c>
      <c r="K560" s="589">
        <f t="shared" si="29"/>
        <v>8.1278208000000809E-2</v>
      </c>
    </row>
    <row r="561" spans="7:11" customFormat="1" x14ac:dyDescent="0.25">
      <c r="G561" s="589">
        <f t="shared" si="31"/>
        <v>9.000000000000094E-2</v>
      </c>
      <c r="H561" s="407">
        <f t="shared" si="30"/>
        <v>9.000000000000094E-2</v>
      </c>
      <c r="I561" s="407">
        <f t="shared" si="30"/>
        <v>-8.1000000000001696E-3</v>
      </c>
      <c r="J561" s="407">
        <f t="shared" si="30"/>
        <v>1.0935000000000343E-3</v>
      </c>
      <c r="K561" s="589">
        <f t="shared" si="29"/>
        <v>8.2993500000000817E-2</v>
      </c>
    </row>
    <row r="562" spans="7:11" customFormat="1" x14ac:dyDescent="0.25">
      <c r="G562" s="589">
        <f t="shared" si="31"/>
        <v>9.2000000000000942E-2</v>
      </c>
      <c r="H562" s="407">
        <f t="shared" si="30"/>
        <v>9.2000000000000942E-2</v>
      </c>
      <c r="I562" s="407">
        <f t="shared" si="30"/>
        <v>-8.4640000000001728E-3</v>
      </c>
      <c r="J562" s="407">
        <f t="shared" si="30"/>
        <v>1.1680320000000358E-3</v>
      </c>
      <c r="K562" s="589">
        <f t="shared" si="29"/>
        <v>8.4704032000000817E-2</v>
      </c>
    </row>
    <row r="563" spans="7:11" customFormat="1" x14ac:dyDescent="0.25">
      <c r="G563" s="589">
        <f t="shared" si="31"/>
        <v>9.4000000000000944E-2</v>
      </c>
      <c r="H563" s="407">
        <f t="shared" si="30"/>
        <v>9.4000000000000944E-2</v>
      </c>
      <c r="I563" s="407">
        <f t="shared" si="30"/>
        <v>-8.836000000000177E-3</v>
      </c>
      <c r="J563" s="407">
        <f t="shared" si="30"/>
        <v>1.2458760000000374E-3</v>
      </c>
      <c r="K563" s="589">
        <f t="shared" si="29"/>
        <v>8.6409876000000801E-2</v>
      </c>
    </row>
    <row r="564" spans="7:11" customFormat="1" x14ac:dyDescent="0.25">
      <c r="G564" s="589">
        <f t="shared" si="31"/>
        <v>9.6000000000000946E-2</v>
      </c>
      <c r="H564" s="407">
        <f t="shared" si="30"/>
        <v>9.6000000000000946E-2</v>
      </c>
      <c r="I564" s="407">
        <f t="shared" si="30"/>
        <v>-9.2160000000001824E-3</v>
      </c>
      <c r="J564" s="407">
        <f t="shared" si="30"/>
        <v>1.3271040000000392E-3</v>
      </c>
      <c r="K564" s="589">
        <f t="shared" si="29"/>
        <v>8.8111104000000801E-2</v>
      </c>
    </row>
    <row r="565" spans="7:11" customFormat="1" x14ac:dyDescent="0.25">
      <c r="G565" s="589">
        <f t="shared" si="31"/>
        <v>9.8000000000000947E-2</v>
      </c>
      <c r="H565" s="407">
        <f t="shared" si="30"/>
        <v>9.8000000000000947E-2</v>
      </c>
      <c r="I565" s="407">
        <f t="shared" si="30"/>
        <v>-9.6040000000001853E-3</v>
      </c>
      <c r="J565" s="407">
        <f t="shared" si="30"/>
        <v>1.4117880000000412E-3</v>
      </c>
      <c r="K565" s="589">
        <f t="shared" ref="K565:K628" si="32">SUM(H565:J565)</f>
        <v>8.9807788000000804E-2</v>
      </c>
    </row>
    <row r="566" spans="7:11" customFormat="1" x14ac:dyDescent="0.25">
      <c r="G566" s="589">
        <f t="shared" si="31"/>
        <v>0.10000000000000095</v>
      </c>
      <c r="H566" s="407">
        <f t="shared" si="30"/>
        <v>0.10000000000000095</v>
      </c>
      <c r="I566" s="407">
        <f t="shared" si="30"/>
        <v>-1.0000000000000189E-2</v>
      </c>
      <c r="J566" s="407">
        <f t="shared" si="30"/>
        <v>1.5000000000000427E-3</v>
      </c>
      <c r="K566" s="589">
        <f t="shared" si="32"/>
        <v>9.1500000000000803E-2</v>
      </c>
    </row>
    <row r="567" spans="7:11" customFormat="1" x14ac:dyDescent="0.25">
      <c r="G567" s="589">
        <f t="shared" si="31"/>
        <v>0.10200000000000095</v>
      </c>
      <c r="H567" s="407">
        <f t="shared" si="30"/>
        <v>0.10200000000000095</v>
      </c>
      <c r="I567" s="407">
        <f t="shared" si="30"/>
        <v>-1.0404000000000194E-2</v>
      </c>
      <c r="J567" s="407">
        <f t="shared" si="30"/>
        <v>1.5918120000000448E-3</v>
      </c>
      <c r="K567" s="589">
        <f t="shared" si="32"/>
        <v>9.31878120000008E-2</v>
      </c>
    </row>
    <row r="568" spans="7:11" customFormat="1" x14ac:dyDescent="0.25">
      <c r="G568" s="589">
        <f t="shared" si="31"/>
        <v>0.10400000000000095</v>
      </c>
      <c r="H568" s="407">
        <f t="shared" si="30"/>
        <v>0.10400000000000095</v>
      </c>
      <c r="I568" s="407">
        <f t="shared" si="30"/>
        <v>-1.0816000000000199E-2</v>
      </c>
      <c r="J568" s="407">
        <f t="shared" si="30"/>
        <v>1.6872960000000464E-3</v>
      </c>
      <c r="K568" s="589">
        <f t="shared" si="32"/>
        <v>9.4871296000000799E-2</v>
      </c>
    </row>
    <row r="569" spans="7:11" customFormat="1" x14ac:dyDescent="0.25">
      <c r="G569" s="589">
        <f t="shared" si="31"/>
        <v>0.10600000000000095</v>
      </c>
      <c r="H569" s="407">
        <f t="shared" si="30"/>
        <v>0.10600000000000095</v>
      </c>
      <c r="I569" s="407">
        <f t="shared" si="30"/>
        <v>-1.1236000000000202E-2</v>
      </c>
      <c r="J569" s="407">
        <f t="shared" si="30"/>
        <v>1.7865240000000482E-3</v>
      </c>
      <c r="K569" s="589">
        <f t="shared" si="32"/>
        <v>9.6550524000000804E-2</v>
      </c>
    </row>
    <row r="570" spans="7:11" customFormat="1" x14ac:dyDescent="0.25">
      <c r="G570" s="589">
        <f t="shared" si="31"/>
        <v>0.10800000000000096</v>
      </c>
      <c r="H570" s="407">
        <f t="shared" ref="H570:J633" si="33">($G570^H$15*(-H$15)^(-1+H$15))/FACT(H$15)</f>
        <v>0.10800000000000096</v>
      </c>
      <c r="I570" s="407">
        <f t="shared" si="33"/>
        <v>-1.1664000000000207E-2</v>
      </c>
      <c r="J570" s="407">
        <f t="shared" si="33"/>
        <v>1.8895680000000504E-3</v>
      </c>
      <c r="K570" s="589">
        <f t="shared" si="32"/>
        <v>9.8225568000000804E-2</v>
      </c>
    </row>
    <row r="571" spans="7:11" customFormat="1" x14ac:dyDescent="0.25">
      <c r="G571" s="589">
        <f t="shared" si="31"/>
        <v>0.11000000000000096</v>
      </c>
      <c r="H571" s="407">
        <f t="shared" si="33"/>
        <v>0.11000000000000096</v>
      </c>
      <c r="I571" s="407">
        <f t="shared" si="33"/>
        <v>-1.2100000000000211E-2</v>
      </c>
      <c r="J571" s="407">
        <f t="shared" si="33"/>
        <v>1.9965000000000525E-3</v>
      </c>
      <c r="K571" s="589">
        <f t="shared" si="32"/>
        <v>9.9896500000000804E-2</v>
      </c>
    </row>
    <row r="572" spans="7:11" customFormat="1" x14ac:dyDescent="0.25">
      <c r="G572" s="589">
        <f t="shared" si="31"/>
        <v>0.11200000000000096</v>
      </c>
      <c r="H572" s="407">
        <f t="shared" si="33"/>
        <v>0.11200000000000096</v>
      </c>
      <c r="I572" s="407">
        <f t="shared" si="33"/>
        <v>-1.2544000000000215E-2</v>
      </c>
      <c r="J572" s="407">
        <f t="shared" si="33"/>
        <v>2.1073920000000542E-3</v>
      </c>
      <c r="K572" s="589">
        <f t="shared" si="32"/>
        <v>0.10156339200000079</v>
      </c>
    </row>
    <row r="573" spans="7:11" customFormat="1" x14ac:dyDescent="0.25">
      <c r="G573" s="589">
        <f t="shared" si="31"/>
        <v>0.11400000000000096</v>
      </c>
      <c r="H573" s="407">
        <f t="shared" si="33"/>
        <v>0.11400000000000096</v>
      </c>
      <c r="I573" s="407">
        <f t="shared" si="33"/>
        <v>-1.2996000000000219E-2</v>
      </c>
      <c r="J573" s="407">
        <f t="shared" si="33"/>
        <v>2.2223160000000562E-3</v>
      </c>
      <c r="K573" s="589">
        <f t="shared" si="32"/>
        <v>0.1032263160000008</v>
      </c>
    </row>
    <row r="574" spans="7:11" customFormat="1" x14ac:dyDescent="0.25">
      <c r="G574" s="589">
        <f t="shared" si="31"/>
        <v>0.11600000000000096</v>
      </c>
      <c r="H574" s="407">
        <f t="shared" si="33"/>
        <v>0.11600000000000096</v>
      </c>
      <c r="I574" s="407">
        <f t="shared" si="33"/>
        <v>-1.3456000000000223E-2</v>
      </c>
      <c r="J574" s="407">
        <f t="shared" si="33"/>
        <v>2.3413440000000581E-3</v>
      </c>
      <c r="K574" s="589">
        <f t="shared" si="32"/>
        <v>0.10488534400000081</v>
      </c>
    </row>
    <row r="575" spans="7:11" customFormat="1" x14ac:dyDescent="0.25">
      <c r="G575" s="589">
        <f t="shared" si="31"/>
        <v>0.11800000000000097</v>
      </c>
      <c r="H575" s="407">
        <f t="shared" si="33"/>
        <v>0.11800000000000097</v>
      </c>
      <c r="I575" s="407">
        <f t="shared" si="33"/>
        <v>-1.3924000000000228E-2</v>
      </c>
      <c r="J575" s="407">
        <f t="shared" si="33"/>
        <v>2.4645480000000607E-3</v>
      </c>
      <c r="K575" s="589">
        <f t="shared" si="32"/>
        <v>0.1065405480000008</v>
      </c>
    </row>
    <row r="576" spans="7:11" customFormat="1" x14ac:dyDescent="0.25">
      <c r="G576" s="589">
        <f t="shared" si="31"/>
        <v>0.12000000000000097</v>
      </c>
      <c r="H576" s="407">
        <f t="shared" si="33"/>
        <v>0.12000000000000097</v>
      </c>
      <c r="I576" s="407">
        <f t="shared" si="33"/>
        <v>-1.4400000000000232E-2</v>
      </c>
      <c r="J576" s="407">
        <f t="shared" si="33"/>
        <v>2.5920000000000626E-3</v>
      </c>
      <c r="K576" s="589">
        <f t="shared" si="32"/>
        <v>0.1081920000000008</v>
      </c>
    </row>
    <row r="577" spans="7:11" customFormat="1" x14ac:dyDescent="0.25">
      <c r="G577" s="589">
        <f t="shared" si="31"/>
        <v>0.12200000000000097</v>
      </c>
      <c r="H577" s="407">
        <f t="shared" si="33"/>
        <v>0.12200000000000097</v>
      </c>
      <c r="I577" s="407">
        <f t="shared" si="33"/>
        <v>-1.4884000000000236E-2</v>
      </c>
      <c r="J577" s="407">
        <f t="shared" si="33"/>
        <v>2.7237720000000648E-3</v>
      </c>
      <c r="K577" s="589">
        <f t="shared" si="32"/>
        <v>0.10983977200000081</v>
      </c>
    </row>
    <row r="578" spans="7:11" customFormat="1" x14ac:dyDescent="0.25">
      <c r="G578" s="589">
        <f t="shared" si="31"/>
        <v>0.12400000000000097</v>
      </c>
      <c r="H578" s="407">
        <f t="shared" si="33"/>
        <v>0.12400000000000097</v>
      </c>
      <c r="I578" s="407">
        <f t="shared" si="33"/>
        <v>-1.537600000000024E-2</v>
      </c>
      <c r="J578" s="407">
        <f t="shared" si="33"/>
        <v>2.8599360000000668E-3</v>
      </c>
      <c r="K578" s="589">
        <f t="shared" si="32"/>
        <v>0.1114839360000008</v>
      </c>
    </row>
    <row r="579" spans="7:11" customFormat="1" x14ac:dyDescent="0.25">
      <c r="G579" s="589">
        <f t="shared" si="31"/>
        <v>0.12600000000000097</v>
      </c>
      <c r="H579" s="407">
        <f t="shared" si="33"/>
        <v>0.12600000000000097</v>
      </c>
      <c r="I579" s="407">
        <f t="shared" si="33"/>
        <v>-1.5876000000000244E-2</v>
      </c>
      <c r="J579" s="407">
        <f t="shared" si="33"/>
        <v>3.0005640000000697E-3</v>
      </c>
      <c r="K579" s="589">
        <f t="shared" si="32"/>
        <v>0.11312456400000079</v>
      </c>
    </row>
    <row r="580" spans="7:11" customFormat="1" x14ac:dyDescent="0.25">
      <c r="G580" s="589">
        <f t="shared" si="31"/>
        <v>0.12800000000000097</v>
      </c>
      <c r="H580" s="407">
        <f t="shared" si="33"/>
        <v>0.12800000000000097</v>
      </c>
      <c r="I580" s="407">
        <f t="shared" si="33"/>
        <v>-1.6384000000000249E-2</v>
      </c>
      <c r="J580" s="407">
        <f t="shared" si="33"/>
        <v>3.1457280000000715E-3</v>
      </c>
      <c r="K580" s="589">
        <f t="shared" si="32"/>
        <v>0.1147617280000008</v>
      </c>
    </row>
    <row r="581" spans="7:11" customFormat="1" x14ac:dyDescent="0.25">
      <c r="G581" s="589">
        <f t="shared" si="31"/>
        <v>0.13000000000000098</v>
      </c>
      <c r="H581" s="407">
        <f t="shared" si="33"/>
        <v>0.13000000000000098</v>
      </c>
      <c r="I581" s="407">
        <f t="shared" si="33"/>
        <v>-1.6900000000000255E-2</v>
      </c>
      <c r="J581" s="407">
        <f t="shared" si="33"/>
        <v>3.2955000000000744E-3</v>
      </c>
      <c r="K581" s="589">
        <f t="shared" si="32"/>
        <v>0.1163955000000008</v>
      </c>
    </row>
    <row r="582" spans="7:11" customFormat="1" x14ac:dyDescent="0.25">
      <c r="G582" s="589">
        <f t="shared" si="31"/>
        <v>0.13200000000000098</v>
      </c>
      <c r="H582" s="407">
        <f t="shared" si="33"/>
        <v>0.13200000000000098</v>
      </c>
      <c r="I582" s="407">
        <f t="shared" si="33"/>
        <v>-1.7424000000000259E-2</v>
      </c>
      <c r="J582" s="407">
        <f t="shared" si="33"/>
        <v>3.4499520000000768E-3</v>
      </c>
      <c r="K582" s="589">
        <f t="shared" si="32"/>
        <v>0.11802595200000079</v>
      </c>
    </row>
    <row r="583" spans="7:11" customFormat="1" x14ac:dyDescent="0.25">
      <c r="G583" s="589">
        <f t="shared" si="31"/>
        <v>0.13400000000000098</v>
      </c>
      <c r="H583" s="407">
        <f t="shared" si="33"/>
        <v>0.13400000000000098</v>
      </c>
      <c r="I583" s="407">
        <f t="shared" si="33"/>
        <v>-1.7956000000000263E-2</v>
      </c>
      <c r="J583" s="407">
        <f t="shared" si="33"/>
        <v>3.6091560000000799E-3</v>
      </c>
      <c r="K583" s="589">
        <f t="shared" si="32"/>
        <v>0.1196531560000008</v>
      </c>
    </row>
    <row r="584" spans="7:11" customFormat="1" x14ac:dyDescent="0.25">
      <c r="G584" s="589">
        <f t="shared" si="31"/>
        <v>0.13600000000000098</v>
      </c>
      <c r="H584" s="407">
        <f t="shared" si="33"/>
        <v>0.13600000000000098</v>
      </c>
      <c r="I584" s="407">
        <f t="shared" si="33"/>
        <v>-1.8496000000000266E-2</v>
      </c>
      <c r="J584" s="407">
        <f t="shared" si="33"/>
        <v>3.7731840000000817E-3</v>
      </c>
      <c r="K584" s="589">
        <f t="shared" si="32"/>
        <v>0.1212771840000008</v>
      </c>
    </row>
    <row r="585" spans="7:11" customFormat="1" x14ac:dyDescent="0.25">
      <c r="G585" s="589">
        <f t="shared" si="31"/>
        <v>0.13800000000000098</v>
      </c>
      <c r="H585" s="407">
        <f t="shared" si="33"/>
        <v>0.13800000000000098</v>
      </c>
      <c r="I585" s="407">
        <f t="shared" si="33"/>
        <v>-1.9044000000000273E-2</v>
      </c>
      <c r="J585" s="407">
        <f t="shared" si="33"/>
        <v>3.9421080000000847E-3</v>
      </c>
      <c r="K585" s="589">
        <f t="shared" si="32"/>
        <v>0.1228981080000008</v>
      </c>
    </row>
    <row r="586" spans="7:11" customFormat="1" x14ac:dyDescent="0.25">
      <c r="G586" s="589">
        <f t="shared" si="31"/>
        <v>0.14000000000000098</v>
      </c>
      <c r="H586" s="407">
        <f t="shared" si="33"/>
        <v>0.14000000000000098</v>
      </c>
      <c r="I586" s="407">
        <f t="shared" si="33"/>
        <v>-1.9600000000000277E-2</v>
      </c>
      <c r="J586" s="407">
        <f t="shared" si="33"/>
        <v>4.1160000000000875E-3</v>
      </c>
      <c r="K586" s="589">
        <f t="shared" si="32"/>
        <v>0.12451600000000079</v>
      </c>
    </row>
    <row r="587" spans="7:11" customFormat="1" x14ac:dyDescent="0.25">
      <c r="G587" s="589">
        <f t="shared" si="31"/>
        <v>0.14200000000000099</v>
      </c>
      <c r="H587" s="407">
        <f t="shared" si="33"/>
        <v>0.14200000000000099</v>
      </c>
      <c r="I587" s="407">
        <f t="shared" si="33"/>
        <v>-2.0164000000000279E-2</v>
      </c>
      <c r="J587" s="407">
        <f t="shared" si="33"/>
        <v>4.2949320000000898E-3</v>
      </c>
      <c r="K587" s="589">
        <f t="shared" si="32"/>
        <v>0.12613093200000081</v>
      </c>
    </row>
    <row r="588" spans="7:11" customFormat="1" x14ac:dyDescent="0.25">
      <c r="G588" s="589">
        <f t="shared" si="31"/>
        <v>0.14400000000000099</v>
      </c>
      <c r="H588" s="407">
        <f t="shared" si="33"/>
        <v>0.14400000000000099</v>
      </c>
      <c r="I588" s="407">
        <f t="shared" si="33"/>
        <v>-2.0736000000000285E-2</v>
      </c>
      <c r="J588" s="407">
        <f t="shared" si="33"/>
        <v>4.4789760000000928E-3</v>
      </c>
      <c r="K588" s="589">
        <f t="shared" si="32"/>
        <v>0.12774297600000079</v>
      </c>
    </row>
    <row r="589" spans="7:11" customFormat="1" x14ac:dyDescent="0.25">
      <c r="G589" s="589">
        <f t="shared" si="31"/>
        <v>0.14600000000000099</v>
      </c>
      <c r="H589" s="407">
        <f t="shared" si="33"/>
        <v>0.14600000000000099</v>
      </c>
      <c r="I589" s="407">
        <f t="shared" si="33"/>
        <v>-2.131600000000029E-2</v>
      </c>
      <c r="J589" s="407">
        <f t="shared" si="33"/>
        <v>4.668204000000095E-3</v>
      </c>
      <c r="K589" s="589">
        <f t="shared" si="32"/>
        <v>0.1293522040000008</v>
      </c>
    </row>
    <row r="590" spans="7:11" customFormat="1" x14ac:dyDescent="0.25">
      <c r="G590" s="589">
        <f t="shared" si="31"/>
        <v>0.14800000000000099</v>
      </c>
      <c r="H590" s="407">
        <f t="shared" si="33"/>
        <v>0.14800000000000099</v>
      </c>
      <c r="I590" s="407">
        <f t="shared" si="33"/>
        <v>-2.1904000000000295E-2</v>
      </c>
      <c r="J590" s="407">
        <f t="shared" si="33"/>
        <v>4.8626880000000984E-3</v>
      </c>
      <c r="K590" s="589">
        <f t="shared" si="32"/>
        <v>0.13095868800000079</v>
      </c>
    </row>
    <row r="591" spans="7:11" customFormat="1" x14ac:dyDescent="0.25">
      <c r="G591" s="589">
        <f t="shared" si="31"/>
        <v>0.15000000000000099</v>
      </c>
      <c r="H591" s="407">
        <f t="shared" si="33"/>
        <v>0.15000000000000099</v>
      </c>
      <c r="I591" s="407">
        <f t="shared" si="33"/>
        <v>-2.2500000000000298E-2</v>
      </c>
      <c r="J591" s="407">
        <f t="shared" si="33"/>
        <v>5.0625000000001008E-3</v>
      </c>
      <c r="K591" s="589">
        <f t="shared" si="32"/>
        <v>0.1325625000000008</v>
      </c>
    </row>
    <row r="592" spans="7:11" customFormat="1" x14ac:dyDescent="0.25">
      <c r="G592" s="589">
        <f t="shared" si="31"/>
        <v>0.152000000000001</v>
      </c>
      <c r="H592" s="407">
        <f t="shared" si="33"/>
        <v>0.152000000000001</v>
      </c>
      <c r="I592" s="407">
        <f t="shared" si="33"/>
        <v>-2.3104000000000301E-2</v>
      </c>
      <c r="J592" s="407">
        <f t="shared" si="33"/>
        <v>5.267712000000104E-3</v>
      </c>
      <c r="K592" s="589">
        <f t="shared" si="32"/>
        <v>0.1341637120000008</v>
      </c>
    </row>
    <row r="593" spans="7:11" customFormat="1" x14ac:dyDescent="0.25">
      <c r="G593" s="589">
        <f t="shared" ref="G593:G656" si="34">G592+$K$14</f>
        <v>0.154000000000001</v>
      </c>
      <c r="H593" s="407">
        <f t="shared" si="33"/>
        <v>0.154000000000001</v>
      </c>
      <c r="I593" s="407">
        <f t="shared" si="33"/>
        <v>-2.3716000000000306E-2</v>
      </c>
      <c r="J593" s="407">
        <f t="shared" si="33"/>
        <v>5.4783960000001066E-3</v>
      </c>
      <c r="K593" s="589">
        <f t="shared" si="32"/>
        <v>0.13576239600000078</v>
      </c>
    </row>
    <row r="594" spans="7:11" customFormat="1" x14ac:dyDescent="0.25">
      <c r="G594" s="589">
        <f t="shared" si="34"/>
        <v>0.156000000000001</v>
      </c>
      <c r="H594" s="407">
        <f t="shared" si="33"/>
        <v>0.156000000000001</v>
      </c>
      <c r="I594" s="407">
        <f t="shared" si="33"/>
        <v>-2.4336000000000312E-2</v>
      </c>
      <c r="J594" s="407">
        <f t="shared" si="33"/>
        <v>5.6946240000001098E-3</v>
      </c>
      <c r="K594" s="589">
        <f t="shared" si="32"/>
        <v>0.13735862400000082</v>
      </c>
    </row>
    <row r="595" spans="7:11" customFormat="1" x14ac:dyDescent="0.25">
      <c r="G595" s="589">
        <f t="shared" si="34"/>
        <v>0.158000000000001</v>
      </c>
      <c r="H595" s="407">
        <f t="shared" si="33"/>
        <v>0.158000000000001</v>
      </c>
      <c r="I595" s="407">
        <f t="shared" si="33"/>
        <v>-2.4964000000000316E-2</v>
      </c>
      <c r="J595" s="407">
        <f t="shared" si="33"/>
        <v>5.9164680000001121E-3</v>
      </c>
      <c r="K595" s="589">
        <f t="shared" si="32"/>
        <v>0.1389524680000008</v>
      </c>
    </row>
    <row r="596" spans="7:11" customFormat="1" x14ac:dyDescent="0.25">
      <c r="G596" s="589">
        <f t="shared" si="34"/>
        <v>0.160000000000001</v>
      </c>
      <c r="H596" s="407">
        <f t="shared" si="33"/>
        <v>0.160000000000001</v>
      </c>
      <c r="I596" s="407">
        <f t="shared" si="33"/>
        <v>-2.560000000000032E-2</v>
      </c>
      <c r="J596" s="407">
        <f t="shared" si="33"/>
        <v>6.1440000000001155E-3</v>
      </c>
      <c r="K596" s="589">
        <f t="shared" si="32"/>
        <v>0.14054400000000081</v>
      </c>
    </row>
    <row r="597" spans="7:11" customFormat="1" x14ac:dyDescent="0.25">
      <c r="G597" s="589">
        <f t="shared" si="34"/>
        <v>0.162000000000001</v>
      </c>
      <c r="H597" s="407">
        <f t="shared" si="33"/>
        <v>0.162000000000001</v>
      </c>
      <c r="I597" s="407">
        <f t="shared" si="33"/>
        <v>-2.6244000000000326E-2</v>
      </c>
      <c r="J597" s="407">
        <f t="shared" si="33"/>
        <v>6.3772920000001185E-3</v>
      </c>
      <c r="K597" s="589">
        <f t="shared" si="32"/>
        <v>0.1421332920000008</v>
      </c>
    </row>
    <row r="598" spans="7:11" customFormat="1" x14ac:dyDescent="0.25">
      <c r="G598" s="589">
        <f t="shared" si="34"/>
        <v>0.16400000000000101</v>
      </c>
      <c r="H598" s="407">
        <f t="shared" si="33"/>
        <v>0.16400000000000101</v>
      </c>
      <c r="I598" s="407">
        <f t="shared" si="33"/>
        <v>-2.6896000000000329E-2</v>
      </c>
      <c r="J598" s="407">
        <f t="shared" si="33"/>
        <v>6.6164160000001223E-3</v>
      </c>
      <c r="K598" s="589">
        <f t="shared" si="32"/>
        <v>0.14372041600000079</v>
      </c>
    </row>
    <row r="599" spans="7:11" customFormat="1" x14ac:dyDescent="0.25">
      <c r="G599" s="589">
        <f t="shared" si="34"/>
        <v>0.16600000000000101</v>
      </c>
      <c r="H599" s="407">
        <f t="shared" si="33"/>
        <v>0.16600000000000101</v>
      </c>
      <c r="I599" s="407">
        <f t="shared" si="33"/>
        <v>-2.7556000000000334E-2</v>
      </c>
      <c r="J599" s="407">
        <f t="shared" si="33"/>
        <v>6.8614440000001253E-3</v>
      </c>
      <c r="K599" s="589">
        <f t="shared" si="32"/>
        <v>0.14530544400000081</v>
      </c>
    </row>
    <row r="600" spans="7:11" customFormat="1" x14ac:dyDescent="0.25">
      <c r="G600" s="589">
        <f t="shared" si="34"/>
        <v>0.16800000000000101</v>
      </c>
      <c r="H600" s="407">
        <f t="shared" si="33"/>
        <v>0.16800000000000101</v>
      </c>
      <c r="I600" s="407">
        <f t="shared" si="33"/>
        <v>-2.8224000000000339E-2</v>
      </c>
      <c r="J600" s="407">
        <f t="shared" si="33"/>
        <v>7.1124480000001288E-3</v>
      </c>
      <c r="K600" s="589">
        <f t="shared" si="32"/>
        <v>0.14688844800000081</v>
      </c>
    </row>
    <row r="601" spans="7:11" customFormat="1" x14ac:dyDescent="0.25">
      <c r="G601" s="589">
        <f t="shared" si="34"/>
        <v>0.17000000000000101</v>
      </c>
      <c r="H601" s="407">
        <f t="shared" si="33"/>
        <v>0.17000000000000101</v>
      </c>
      <c r="I601" s="407">
        <f t="shared" si="33"/>
        <v>-2.8900000000000346E-2</v>
      </c>
      <c r="J601" s="407">
        <f t="shared" si="33"/>
        <v>7.3695000000001329E-3</v>
      </c>
      <c r="K601" s="589">
        <f t="shared" si="32"/>
        <v>0.14846950000000081</v>
      </c>
    </row>
    <row r="602" spans="7:11" customFormat="1" x14ac:dyDescent="0.25">
      <c r="G602" s="589">
        <f t="shared" si="34"/>
        <v>0.17200000000000101</v>
      </c>
      <c r="H602" s="407">
        <f t="shared" si="33"/>
        <v>0.17200000000000101</v>
      </c>
      <c r="I602" s="407">
        <f t="shared" si="33"/>
        <v>-2.958400000000035E-2</v>
      </c>
      <c r="J602" s="407">
        <f t="shared" si="33"/>
        <v>7.6326720000001354E-3</v>
      </c>
      <c r="K602" s="589">
        <f t="shared" si="32"/>
        <v>0.1500486720000008</v>
      </c>
    </row>
    <row r="603" spans="7:11" customFormat="1" x14ac:dyDescent="0.25">
      <c r="G603" s="589">
        <f t="shared" si="34"/>
        <v>0.17400000000000101</v>
      </c>
      <c r="H603" s="407">
        <f t="shared" si="33"/>
        <v>0.17400000000000101</v>
      </c>
      <c r="I603" s="407">
        <f t="shared" si="33"/>
        <v>-3.0276000000000355E-2</v>
      </c>
      <c r="J603" s="407">
        <f t="shared" si="33"/>
        <v>7.9020360000001382E-3</v>
      </c>
      <c r="K603" s="589">
        <f t="shared" si="32"/>
        <v>0.1516260360000008</v>
      </c>
    </row>
    <row r="604" spans="7:11" customFormat="1" x14ac:dyDescent="0.25">
      <c r="G604" s="589">
        <f t="shared" si="34"/>
        <v>0.17600000000000102</v>
      </c>
      <c r="H604" s="407">
        <f t="shared" si="33"/>
        <v>0.17600000000000102</v>
      </c>
      <c r="I604" s="407">
        <f t="shared" si="33"/>
        <v>-3.0976000000000357E-2</v>
      </c>
      <c r="J604" s="407">
        <f t="shared" si="33"/>
        <v>8.1776640000001417E-3</v>
      </c>
      <c r="K604" s="589">
        <f t="shared" si="32"/>
        <v>0.15320166400000079</v>
      </c>
    </row>
    <row r="605" spans="7:11" customFormat="1" x14ac:dyDescent="0.25">
      <c r="G605" s="589">
        <f t="shared" si="34"/>
        <v>0.17800000000000102</v>
      </c>
      <c r="H605" s="407">
        <f t="shared" si="33"/>
        <v>0.17800000000000102</v>
      </c>
      <c r="I605" s="407">
        <f t="shared" si="33"/>
        <v>-3.1684000000000365E-2</v>
      </c>
      <c r="J605" s="407">
        <f t="shared" si="33"/>
        <v>8.4596280000001443E-3</v>
      </c>
      <c r="K605" s="589">
        <f t="shared" si="32"/>
        <v>0.1547756280000008</v>
      </c>
    </row>
    <row r="606" spans="7:11" customFormat="1" x14ac:dyDescent="0.25">
      <c r="G606" s="589">
        <f t="shared" si="34"/>
        <v>0.18000000000000102</v>
      </c>
      <c r="H606" s="407">
        <f t="shared" si="33"/>
        <v>0.18000000000000102</v>
      </c>
      <c r="I606" s="407">
        <f t="shared" si="33"/>
        <v>-3.2400000000000366E-2</v>
      </c>
      <c r="J606" s="407">
        <f t="shared" si="33"/>
        <v>8.7480000000001498E-3</v>
      </c>
      <c r="K606" s="589">
        <f t="shared" si="32"/>
        <v>0.15634800000000079</v>
      </c>
    </row>
    <row r="607" spans="7:11" customFormat="1" x14ac:dyDescent="0.25">
      <c r="G607" s="589">
        <f t="shared" si="34"/>
        <v>0.18200000000000102</v>
      </c>
      <c r="H607" s="407">
        <f t="shared" si="33"/>
        <v>0.18200000000000102</v>
      </c>
      <c r="I607" s="407">
        <f t="shared" si="33"/>
        <v>-3.3124000000000375E-2</v>
      </c>
      <c r="J607" s="407">
        <f t="shared" si="33"/>
        <v>9.0428520000001532E-3</v>
      </c>
      <c r="K607" s="589">
        <f t="shared" si="32"/>
        <v>0.1579188520000008</v>
      </c>
    </row>
    <row r="608" spans="7:11" customFormat="1" x14ac:dyDescent="0.25">
      <c r="G608" s="589">
        <f t="shared" si="34"/>
        <v>0.18400000000000102</v>
      </c>
      <c r="H608" s="407">
        <f t="shared" si="33"/>
        <v>0.18400000000000102</v>
      </c>
      <c r="I608" s="407">
        <f t="shared" si="33"/>
        <v>-3.3856000000000379E-2</v>
      </c>
      <c r="J608" s="407">
        <f t="shared" si="33"/>
        <v>9.3442560000001566E-3</v>
      </c>
      <c r="K608" s="589">
        <f t="shared" si="32"/>
        <v>0.1594882560000008</v>
      </c>
    </row>
    <row r="609" spans="7:11" customFormat="1" x14ac:dyDescent="0.25">
      <c r="G609" s="589">
        <f t="shared" si="34"/>
        <v>0.18600000000000103</v>
      </c>
      <c r="H609" s="407">
        <f t="shared" si="33"/>
        <v>0.18600000000000103</v>
      </c>
      <c r="I609" s="407">
        <f t="shared" si="33"/>
        <v>-3.4596000000000383E-2</v>
      </c>
      <c r="J609" s="407">
        <f t="shared" si="33"/>
        <v>9.6522840000001602E-3</v>
      </c>
      <c r="K609" s="589">
        <f t="shared" si="32"/>
        <v>0.1610562840000008</v>
      </c>
    </row>
    <row r="610" spans="7:11" customFormat="1" x14ac:dyDescent="0.25">
      <c r="G610" s="589">
        <f t="shared" si="34"/>
        <v>0.18800000000000103</v>
      </c>
      <c r="H610" s="407">
        <f t="shared" si="33"/>
        <v>0.18800000000000103</v>
      </c>
      <c r="I610" s="407">
        <f t="shared" si="33"/>
        <v>-3.5344000000000389E-2</v>
      </c>
      <c r="J610" s="407">
        <f t="shared" si="33"/>
        <v>9.9670080000001642E-3</v>
      </c>
      <c r="K610" s="589">
        <f t="shared" si="32"/>
        <v>0.16262300800000079</v>
      </c>
    </row>
    <row r="611" spans="7:11" customFormat="1" x14ac:dyDescent="0.25">
      <c r="G611" s="589">
        <f t="shared" si="34"/>
        <v>0.19000000000000103</v>
      </c>
      <c r="H611" s="407">
        <f t="shared" si="33"/>
        <v>0.19000000000000103</v>
      </c>
      <c r="I611" s="407">
        <f t="shared" si="33"/>
        <v>-3.6100000000000389E-2</v>
      </c>
      <c r="J611" s="407">
        <f t="shared" si="33"/>
        <v>1.0288500000000166E-2</v>
      </c>
      <c r="K611" s="589">
        <f t="shared" si="32"/>
        <v>0.16418850000000082</v>
      </c>
    </row>
    <row r="612" spans="7:11" customFormat="1" x14ac:dyDescent="0.25">
      <c r="G612" s="589">
        <f t="shared" si="34"/>
        <v>0.19200000000000103</v>
      </c>
      <c r="H612" s="407">
        <f t="shared" si="33"/>
        <v>0.19200000000000103</v>
      </c>
      <c r="I612" s="407">
        <f t="shared" si="33"/>
        <v>-3.6864000000000396E-2</v>
      </c>
      <c r="J612" s="407">
        <f t="shared" si="33"/>
        <v>1.0616832000000171E-2</v>
      </c>
      <c r="K612" s="589">
        <f t="shared" si="32"/>
        <v>0.16575283200000079</v>
      </c>
    </row>
    <row r="613" spans="7:11" customFormat="1" x14ac:dyDescent="0.25">
      <c r="G613" s="589">
        <f t="shared" si="34"/>
        <v>0.19400000000000103</v>
      </c>
      <c r="H613" s="407">
        <f t="shared" si="33"/>
        <v>0.19400000000000103</v>
      </c>
      <c r="I613" s="407">
        <f t="shared" si="33"/>
        <v>-3.7636000000000398E-2</v>
      </c>
      <c r="J613" s="407">
        <f t="shared" si="33"/>
        <v>1.0952076000000173E-2</v>
      </c>
      <c r="K613" s="589">
        <f t="shared" si="32"/>
        <v>0.16731607600000081</v>
      </c>
    </row>
    <row r="614" spans="7:11" customFormat="1" x14ac:dyDescent="0.25">
      <c r="G614" s="589">
        <f t="shared" si="34"/>
        <v>0.19600000000000103</v>
      </c>
      <c r="H614" s="407">
        <f t="shared" si="33"/>
        <v>0.19600000000000103</v>
      </c>
      <c r="I614" s="407">
        <f t="shared" si="33"/>
        <v>-3.8416000000000408E-2</v>
      </c>
      <c r="J614" s="407">
        <f t="shared" si="33"/>
        <v>1.1294304000000178E-2</v>
      </c>
      <c r="K614" s="589">
        <f t="shared" si="32"/>
        <v>0.16887830400000078</v>
      </c>
    </row>
    <row r="615" spans="7:11" customFormat="1" x14ac:dyDescent="0.25">
      <c r="G615" s="589">
        <f t="shared" si="34"/>
        <v>0.19800000000000104</v>
      </c>
      <c r="H615" s="407">
        <f t="shared" si="33"/>
        <v>0.19800000000000104</v>
      </c>
      <c r="I615" s="407">
        <f t="shared" si="33"/>
        <v>-3.9204000000000412E-2</v>
      </c>
      <c r="J615" s="407">
        <f t="shared" si="33"/>
        <v>1.1643588000000184E-2</v>
      </c>
      <c r="K615" s="589">
        <f t="shared" si="32"/>
        <v>0.17043958800000081</v>
      </c>
    </row>
    <row r="616" spans="7:11" customFormat="1" x14ac:dyDescent="0.25">
      <c r="G616" s="589">
        <f t="shared" si="34"/>
        <v>0.20000000000000104</v>
      </c>
      <c r="H616" s="407">
        <f t="shared" si="33"/>
        <v>0.20000000000000104</v>
      </c>
      <c r="I616" s="407">
        <f t="shared" si="33"/>
        <v>-4.0000000000000417E-2</v>
      </c>
      <c r="J616" s="407">
        <f t="shared" si="33"/>
        <v>1.2000000000000186E-2</v>
      </c>
      <c r="K616" s="589">
        <f t="shared" si="32"/>
        <v>0.17200000000000079</v>
      </c>
    </row>
    <row r="617" spans="7:11" customFormat="1" x14ac:dyDescent="0.25">
      <c r="G617" s="589">
        <f t="shared" si="34"/>
        <v>0.20200000000000104</v>
      </c>
      <c r="H617" s="407">
        <f t="shared" si="33"/>
        <v>0.20200000000000104</v>
      </c>
      <c r="I617" s="407">
        <f t="shared" si="33"/>
        <v>-4.0804000000000423E-2</v>
      </c>
      <c r="J617" s="407">
        <f t="shared" si="33"/>
        <v>1.2363612000000192E-2</v>
      </c>
      <c r="K617" s="589">
        <f t="shared" si="32"/>
        <v>0.17355961200000081</v>
      </c>
    </row>
    <row r="618" spans="7:11" customFormat="1" x14ac:dyDescent="0.25">
      <c r="G618" s="589">
        <f t="shared" si="34"/>
        <v>0.20400000000000104</v>
      </c>
      <c r="H618" s="407">
        <f t="shared" si="33"/>
        <v>0.20400000000000104</v>
      </c>
      <c r="I618" s="407">
        <f t="shared" si="33"/>
        <v>-4.1616000000000423E-2</v>
      </c>
      <c r="J618" s="407">
        <f t="shared" si="33"/>
        <v>1.2734496000000194E-2</v>
      </c>
      <c r="K618" s="589">
        <f t="shared" si="32"/>
        <v>0.17511849600000082</v>
      </c>
    </row>
    <row r="619" spans="7:11" customFormat="1" x14ac:dyDescent="0.25">
      <c r="G619" s="589">
        <f t="shared" si="34"/>
        <v>0.20600000000000104</v>
      </c>
      <c r="H619" s="407">
        <f t="shared" si="33"/>
        <v>0.20600000000000104</v>
      </c>
      <c r="I619" s="407">
        <f t="shared" si="33"/>
        <v>-4.2436000000000432E-2</v>
      </c>
      <c r="J619" s="407">
        <f t="shared" si="33"/>
        <v>1.31127240000002E-2</v>
      </c>
      <c r="K619" s="589">
        <f t="shared" si="32"/>
        <v>0.17667672400000078</v>
      </c>
    </row>
    <row r="620" spans="7:11" customFormat="1" x14ac:dyDescent="0.25">
      <c r="G620" s="589">
        <f t="shared" si="34"/>
        <v>0.20800000000000105</v>
      </c>
      <c r="H620" s="407">
        <f t="shared" si="33"/>
        <v>0.20800000000000105</v>
      </c>
      <c r="I620" s="407">
        <f t="shared" si="33"/>
        <v>-4.3264000000000434E-2</v>
      </c>
      <c r="J620" s="407">
        <f t="shared" si="33"/>
        <v>1.3498368000000203E-2</v>
      </c>
      <c r="K620" s="589">
        <f t="shared" si="32"/>
        <v>0.17823436800000081</v>
      </c>
    </row>
    <row r="621" spans="7:11" customFormat="1" x14ac:dyDescent="0.25">
      <c r="G621" s="589">
        <f t="shared" si="34"/>
        <v>0.21000000000000105</v>
      </c>
      <c r="H621" s="407">
        <f t="shared" si="33"/>
        <v>0.21000000000000105</v>
      </c>
      <c r="I621" s="407">
        <f t="shared" si="33"/>
        <v>-4.4100000000000437E-2</v>
      </c>
      <c r="J621" s="407">
        <f t="shared" si="33"/>
        <v>1.3891500000000204E-2</v>
      </c>
      <c r="K621" s="589">
        <f t="shared" si="32"/>
        <v>0.1797915000000008</v>
      </c>
    </row>
    <row r="622" spans="7:11" customFormat="1" x14ac:dyDescent="0.25">
      <c r="G622" s="589">
        <f t="shared" si="34"/>
        <v>0.21200000000000105</v>
      </c>
      <c r="H622" s="407">
        <f t="shared" si="33"/>
        <v>0.21200000000000105</v>
      </c>
      <c r="I622" s="407">
        <f t="shared" si="33"/>
        <v>-4.4944000000000442E-2</v>
      </c>
      <c r="J622" s="407">
        <f t="shared" si="33"/>
        <v>1.429219200000021E-2</v>
      </c>
      <c r="K622" s="589">
        <f t="shared" si="32"/>
        <v>0.1813481920000008</v>
      </c>
    </row>
    <row r="623" spans="7:11" customFormat="1" x14ac:dyDescent="0.25">
      <c r="G623" s="589">
        <f t="shared" si="34"/>
        <v>0.21400000000000105</v>
      </c>
      <c r="H623" s="407">
        <f t="shared" si="33"/>
        <v>0.21400000000000105</v>
      </c>
      <c r="I623" s="407">
        <f t="shared" si="33"/>
        <v>-4.5796000000000447E-2</v>
      </c>
      <c r="J623" s="407">
        <f t="shared" si="33"/>
        <v>1.4700516000000214E-2</v>
      </c>
      <c r="K623" s="589">
        <f t="shared" si="32"/>
        <v>0.18290451600000082</v>
      </c>
    </row>
    <row r="624" spans="7:11" customFormat="1" x14ac:dyDescent="0.25">
      <c r="G624" s="589">
        <f t="shared" si="34"/>
        <v>0.21600000000000105</v>
      </c>
      <c r="H624" s="407">
        <f t="shared" si="33"/>
        <v>0.21600000000000105</v>
      </c>
      <c r="I624" s="407">
        <f t="shared" si="33"/>
        <v>-4.6656000000000454E-2</v>
      </c>
      <c r="J624" s="407">
        <f t="shared" si="33"/>
        <v>1.5116544000000223E-2</v>
      </c>
      <c r="K624" s="589">
        <f t="shared" si="32"/>
        <v>0.18446054400000084</v>
      </c>
    </row>
    <row r="625" spans="7:11" customFormat="1" x14ac:dyDescent="0.25">
      <c r="G625" s="589">
        <f t="shared" si="34"/>
        <v>0.21800000000000105</v>
      </c>
      <c r="H625" s="407">
        <f t="shared" si="33"/>
        <v>0.21800000000000105</v>
      </c>
      <c r="I625" s="407">
        <f t="shared" si="33"/>
        <v>-4.7524000000000462E-2</v>
      </c>
      <c r="J625" s="407">
        <f t="shared" si="33"/>
        <v>1.5540348000000226E-2</v>
      </c>
      <c r="K625" s="589">
        <f t="shared" si="32"/>
        <v>0.18601634800000083</v>
      </c>
    </row>
    <row r="626" spans="7:11" customFormat="1" x14ac:dyDescent="0.25">
      <c r="G626" s="589">
        <f t="shared" si="34"/>
        <v>0.22000000000000106</v>
      </c>
      <c r="H626" s="407">
        <f t="shared" si="33"/>
        <v>0.22000000000000106</v>
      </c>
      <c r="I626" s="407">
        <f t="shared" si="33"/>
        <v>-4.8400000000000463E-2</v>
      </c>
      <c r="J626" s="407">
        <f t="shared" si="33"/>
        <v>1.5972000000000233E-2</v>
      </c>
      <c r="K626" s="589">
        <f t="shared" si="32"/>
        <v>0.18757200000000082</v>
      </c>
    </row>
    <row r="627" spans="7:11" customFormat="1" x14ac:dyDescent="0.25">
      <c r="G627" s="589">
        <f t="shared" si="34"/>
        <v>0.22200000000000106</v>
      </c>
      <c r="H627" s="407">
        <f t="shared" si="33"/>
        <v>0.22200000000000106</v>
      </c>
      <c r="I627" s="407">
        <f t="shared" si="33"/>
        <v>-4.9284000000000466E-2</v>
      </c>
      <c r="J627" s="407">
        <f t="shared" si="33"/>
        <v>1.6411572000000235E-2</v>
      </c>
      <c r="K627" s="589">
        <f t="shared" si="32"/>
        <v>0.18912757200000083</v>
      </c>
    </row>
    <row r="628" spans="7:11" customFormat="1" x14ac:dyDescent="0.25">
      <c r="G628" s="589">
        <f t="shared" si="34"/>
        <v>0.22400000000000106</v>
      </c>
      <c r="H628" s="407">
        <f t="shared" si="33"/>
        <v>0.22400000000000106</v>
      </c>
      <c r="I628" s="407">
        <f t="shared" si="33"/>
        <v>-5.0176000000000477E-2</v>
      </c>
      <c r="J628" s="407">
        <f t="shared" si="33"/>
        <v>1.685913600000024E-2</v>
      </c>
      <c r="K628" s="589">
        <f t="shared" si="32"/>
        <v>0.19068313600000084</v>
      </c>
    </row>
    <row r="629" spans="7:11" customFormat="1" x14ac:dyDescent="0.25">
      <c r="G629" s="589">
        <f t="shared" si="34"/>
        <v>0.22600000000000106</v>
      </c>
      <c r="H629" s="407">
        <f t="shared" si="33"/>
        <v>0.22600000000000106</v>
      </c>
      <c r="I629" s="407">
        <f t="shared" si="33"/>
        <v>-5.1076000000000482E-2</v>
      </c>
      <c r="J629" s="407">
        <f t="shared" si="33"/>
        <v>1.7314764000000246E-2</v>
      </c>
      <c r="K629" s="589">
        <f t="shared" ref="K629:K692" si="35">SUM(H629:J629)</f>
        <v>0.19223876400000084</v>
      </c>
    </row>
    <row r="630" spans="7:11" customFormat="1" x14ac:dyDescent="0.25">
      <c r="G630" s="589">
        <f t="shared" si="34"/>
        <v>0.22800000000000106</v>
      </c>
      <c r="H630" s="407">
        <f t="shared" si="33"/>
        <v>0.22800000000000106</v>
      </c>
      <c r="I630" s="407">
        <f t="shared" si="33"/>
        <v>-5.1984000000000488E-2</v>
      </c>
      <c r="J630" s="407">
        <f t="shared" si="33"/>
        <v>1.7778528000000248E-2</v>
      </c>
      <c r="K630" s="589">
        <f t="shared" si="35"/>
        <v>0.1937945280000008</v>
      </c>
    </row>
    <row r="631" spans="7:11" customFormat="1" x14ac:dyDescent="0.25">
      <c r="G631" s="589">
        <f t="shared" si="34"/>
        <v>0.23000000000000106</v>
      </c>
      <c r="H631" s="407">
        <f t="shared" si="33"/>
        <v>0.23000000000000106</v>
      </c>
      <c r="I631" s="407">
        <f t="shared" si="33"/>
        <v>-5.2900000000000488E-2</v>
      </c>
      <c r="J631" s="407">
        <f t="shared" si="33"/>
        <v>1.8250500000000253E-2</v>
      </c>
      <c r="K631" s="589">
        <f t="shared" si="35"/>
        <v>0.19535050000000084</v>
      </c>
    </row>
    <row r="632" spans="7:11" customFormat="1" x14ac:dyDescent="0.25">
      <c r="G632" s="589">
        <f t="shared" si="34"/>
        <v>0.23200000000000107</v>
      </c>
      <c r="H632" s="407">
        <f t="shared" si="33"/>
        <v>0.23200000000000107</v>
      </c>
      <c r="I632" s="407">
        <f t="shared" si="33"/>
        <v>-5.3824000000000496E-2</v>
      </c>
      <c r="J632" s="407">
        <f t="shared" si="33"/>
        <v>1.873075200000026E-2</v>
      </c>
      <c r="K632" s="589">
        <f t="shared" si="35"/>
        <v>0.19690675200000082</v>
      </c>
    </row>
    <row r="633" spans="7:11" customFormat="1" x14ac:dyDescent="0.25">
      <c r="G633" s="589">
        <f t="shared" si="34"/>
        <v>0.23400000000000107</v>
      </c>
      <c r="H633" s="407">
        <f t="shared" si="33"/>
        <v>0.23400000000000107</v>
      </c>
      <c r="I633" s="407">
        <f t="shared" si="33"/>
        <v>-5.4756000000000499E-2</v>
      </c>
      <c r="J633" s="407">
        <f t="shared" si="33"/>
        <v>1.9219356000000264E-2</v>
      </c>
      <c r="K633" s="589">
        <f t="shared" si="35"/>
        <v>0.19846335600000084</v>
      </c>
    </row>
    <row r="634" spans="7:11" customFormat="1" x14ac:dyDescent="0.25">
      <c r="G634" s="589">
        <f t="shared" si="34"/>
        <v>0.23600000000000107</v>
      </c>
      <c r="H634" s="407">
        <f t="shared" ref="H634:J697" si="36">($G634^H$15*(-H$15)^(-1+H$15))/FACT(H$15)</f>
        <v>0.23600000000000107</v>
      </c>
      <c r="I634" s="407">
        <f t="shared" si="36"/>
        <v>-5.5696000000000502E-2</v>
      </c>
      <c r="J634" s="407">
        <f t="shared" si="36"/>
        <v>1.9716384000000267E-2</v>
      </c>
      <c r="K634" s="589">
        <f t="shared" si="35"/>
        <v>0.20002038400000083</v>
      </c>
    </row>
    <row r="635" spans="7:11" customFormat="1" x14ac:dyDescent="0.25">
      <c r="G635" s="589">
        <f t="shared" si="34"/>
        <v>0.23800000000000107</v>
      </c>
      <c r="H635" s="407">
        <f t="shared" si="36"/>
        <v>0.23800000000000107</v>
      </c>
      <c r="I635" s="407">
        <f t="shared" si="36"/>
        <v>-5.6644000000000513E-2</v>
      </c>
      <c r="J635" s="407">
        <f t="shared" si="36"/>
        <v>2.0221908000000274E-2</v>
      </c>
      <c r="K635" s="589">
        <f t="shared" si="35"/>
        <v>0.20157790800000086</v>
      </c>
    </row>
    <row r="636" spans="7:11" customFormat="1" x14ac:dyDescent="0.25">
      <c r="G636" s="589">
        <f t="shared" si="34"/>
        <v>0.24000000000000107</v>
      </c>
      <c r="H636" s="407">
        <f t="shared" si="36"/>
        <v>0.24000000000000107</v>
      </c>
      <c r="I636" s="407">
        <f t="shared" si="36"/>
        <v>-5.7600000000000512E-2</v>
      </c>
      <c r="J636" s="407">
        <f t="shared" si="36"/>
        <v>2.0736000000000279E-2</v>
      </c>
      <c r="K636" s="589">
        <f t="shared" si="35"/>
        <v>0.20313600000000084</v>
      </c>
    </row>
    <row r="637" spans="7:11" customFormat="1" x14ac:dyDescent="0.25">
      <c r="G637" s="589">
        <f t="shared" si="34"/>
        <v>0.24200000000000108</v>
      </c>
      <c r="H637" s="407">
        <f t="shared" si="36"/>
        <v>0.24200000000000108</v>
      </c>
      <c r="I637" s="407">
        <f t="shared" si="36"/>
        <v>-5.8564000000000518E-2</v>
      </c>
      <c r="J637" s="407">
        <f t="shared" si="36"/>
        <v>2.125873200000028E-2</v>
      </c>
      <c r="K637" s="589">
        <f t="shared" si="35"/>
        <v>0.20469473200000082</v>
      </c>
    </row>
    <row r="638" spans="7:11" customFormat="1" x14ac:dyDescent="0.25">
      <c r="G638" s="589">
        <f t="shared" si="34"/>
        <v>0.24400000000000108</v>
      </c>
      <c r="H638" s="407">
        <f t="shared" si="36"/>
        <v>0.24400000000000108</v>
      </c>
      <c r="I638" s="407">
        <f t="shared" si="36"/>
        <v>-5.9536000000000526E-2</v>
      </c>
      <c r="J638" s="407">
        <f t="shared" si="36"/>
        <v>2.1790176000000286E-2</v>
      </c>
      <c r="K638" s="589">
        <f t="shared" si="35"/>
        <v>0.20625417600000084</v>
      </c>
    </row>
    <row r="639" spans="7:11" customFormat="1" x14ac:dyDescent="0.25">
      <c r="G639" s="589">
        <f t="shared" si="34"/>
        <v>0.24600000000000108</v>
      </c>
      <c r="H639" s="407">
        <f t="shared" si="36"/>
        <v>0.24600000000000108</v>
      </c>
      <c r="I639" s="407">
        <f t="shared" si="36"/>
        <v>-6.0516000000000528E-2</v>
      </c>
      <c r="J639" s="407">
        <f t="shared" si="36"/>
        <v>2.2330404000000293E-2</v>
      </c>
      <c r="K639" s="589">
        <f t="shared" si="35"/>
        <v>0.20781440400000084</v>
      </c>
    </row>
    <row r="640" spans="7:11" customFormat="1" x14ac:dyDescent="0.25">
      <c r="G640" s="589">
        <f t="shared" si="34"/>
        <v>0.24800000000000108</v>
      </c>
      <c r="H640" s="407">
        <f t="shared" si="36"/>
        <v>0.24800000000000108</v>
      </c>
      <c r="I640" s="407">
        <f t="shared" si="36"/>
        <v>-6.1504000000000537E-2</v>
      </c>
      <c r="J640" s="407">
        <f t="shared" si="36"/>
        <v>2.2879488000000298E-2</v>
      </c>
      <c r="K640" s="589">
        <f t="shared" si="35"/>
        <v>0.20937548800000086</v>
      </c>
    </row>
    <row r="641" spans="7:11" customFormat="1" x14ac:dyDescent="0.25">
      <c r="G641" s="589">
        <f t="shared" si="34"/>
        <v>0.25000000000000105</v>
      </c>
      <c r="H641" s="407">
        <f t="shared" si="36"/>
        <v>0.25000000000000105</v>
      </c>
      <c r="I641" s="407">
        <f t="shared" si="36"/>
        <v>-6.2500000000000527E-2</v>
      </c>
      <c r="J641" s="407">
        <f t="shared" si="36"/>
        <v>2.3437500000000295E-2</v>
      </c>
      <c r="K641" s="589">
        <f t="shared" si="35"/>
        <v>0.21093750000000083</v>
      </c>
    </row>
    <row r="642" spans="7:11" customFormat="1" x14ac:dyDescent="0.25">
      <c r="G642" s="589">
        <f t="shared" si="34"/>
        <v>0.25200000000000106</v>
      </c>
      <c r="H642" s="407">
        <f t="shared" si="36"/>
        <v>0.25200000000000106</v>
      </c>
      <c r="I642" s="407">
        <f t="shared" si="36"/>
        <v>-6.3504000000000532E-2</v>
      </c>
      <c r="J642" s="407">
        <f t="shared" si="36"/>
        <v>2.4004512000000301E-2</v>
      </c>
      <c r="K642" s="589">
        <f t="shared" si="35"/>
        <v>0.21250051200000084</v>
      </c>
    </row>
    <row r="643" spans="7:11" customFormat="1" x14ac:dyDescent="0.25">
      <c r="G643" s="589">
        <f t="shared" si="34"/>
        <v>0.25400000000000106</v>
      </c>
      <c r="H643" s="407">
        <f t="shared" si="36"/>
        <v>0.25400000000000106</v>
      </c>
      <c r="I643" s="407">
        <f t="shared" si="36"/>
        <v>-6.4516000000000531E-2</v>
      </c>
      <c r="J643" s="407">
        <f t="shared" si="36"/>
        <v>2.4580596000000305E-2</v>
      </c>
      <c r="K643" s="589">
        <f t="shared" si="35"/>
        <v>0.21406459600000086</v>
      </c>
    </row>
    <row r="644" spans="7:11" customFormat="1" x14ac:dyDescent="0.25">
      <c r="G644" s="589">
        <f t="shared" si="34"/>
        <v>0.25600000000000106</v>
      </c>
      <c r="H644" s="407">
        <f t="shared" si="36"/>
        <v>0.25600000000000106</v>
      </c>
      <c r="I644" s="407">
        <f t="shared" si="36"/>
        <v>-6.5536000000000538E-2</v>
      </c>
      <c r="J644" s="407">
        <f t="shared" si="36"/>
        <v>2.5165824000000309E-2</v>
      </c>
      <c r="K644" s="589">
        <f t="shared" si="35"/>
        <v>0.21562982400000083</v>
      </c>
    </row>
    <row r="645" spans="7:11" customFormat="1" x14ac:dyDescent="0.25">
      <c r="G645" s="589">
        <f t="shared" si="34"/>
        <v>0.25800000000000106</v>
      </c>
      <c r="H645" s="407">
        <f t="shared" si="36"/>
        <v>0.25800000000000106</v>
      </c>
      <c r="I645" s="407">
        <f t="shared" si="36"/>
        <v>-6.6564000000000553E-2</v>
      </c>
      <c r="J645" s="407">
        <f t="shared" si="36"/>
        <v>2.5760268000000322E-2</v>
      </c>
      <c r="K645" s="589">
        <f t="shared" si="35"/>
        <v>0.2171962680000008</v>
      </c>
    </row>
    <row r="646" spans="7:11" customFormat="1" x14ac:dyDescent="0.25">
      <c r="G646" s="589">
        <f t="shared" si="34"/>
        <v>0.26000000000000106</v>
      </c>
      <c r="H646" s="407">
        <f t="shared" si="36"/>
        <v>0.26000000000000106</v>
      </c>
      <c r="I646" s="407">
        <f t="shared" si="36"/>
        <v>-6.7600000000000549E-2</v>
      </c>
      <c r="J646" s="407">
        <f t="shared" si="36"/>
        <v>2.6364000000000318E-2</v>
      </c>
      <c r="K646" s="589">
        <f t="shared" si="35"/>
        <v>0.21876400000000085</v>
      </c>
    </row>
    <row r="647" spans="7:11" customFormat="1" x14ac:dyDescent="0.25">
      <c r="G647" s="589">
        <f t="shared" si="34"/>
        <v>0.26200000000000107</v>
      </c>
      <c r="H647" s="407">
        <f t="shared" si="36"/>
        <v>0.26200000000000107</v>
      </c>
      <c r="I647" s="407">
        <f t="shared" si="36"/>
        <v>-6.8644000000000552E-2</v>
      </c>
      <c r="J647" s="407">
        <f t="shared" si="36"/>
        <v>2.6977092000000327E-2</v>
      </c>
      <c r="K647" s="589">
        <f t="shared" si="35"/>
        <v>0.22033309200000084</v>
      </c>
    </row>
    <row r="648" spans="7:11" customFormat="1" x14ac:dyDescent="0.25">
      <c r="G648" s="589">
        <f t="shared" si="34"/>
        <v>0.26400000000000107</v>
      </c>
      <c r="H648" s="407">
        <f t="shared" si="36"/>
        <v>0.26400000000000107</v>
      </c>
      <c r="I648" s="407">
        <f t="shared" si="36"/>
        <v>-6.9696000000000563E-2</v>
      </c>
      <c r="J648" s="407">
        <f t="shared" si="36"/>
        <v>2.7599616000000337E-2</v>
      </c>
      <c r="K648" s="589">
        <f t="shared" si="35"/>
        <v>0.22190361600000083</v>
      </c>
    </row>
    <row r="649" spans="7:11" customFormat="1" x14ac:dyDescent="0.25">
      <c r="G649" s="589">
        <f t="shared" si="34"/>
        <v>0.26600000000000107</v>
      </c>
      <c r="H649" s="407">
        <f t="shared" si="36"/>
        <v>0.26600000000000107</v>
      </c>
      <c r="I649" s="407">
        <f t="shared" si="36"/>
        <v>-7.0756000000000568E-2</v>
      </c>
      <c r="J649" s="407">
        <f t="shared" si="36"/>
        <v>2.8231644000000344E-2</v>
      </c>
      <c r="K649" s="589">
        <f t="shared" si="35"/>
        <v>0.22347564400000083</v>
      </c>
    </row>
    <row r="650" spans="7:11" customFormat="1" x14ac:dyDescent="0.25">
      <c r="G650" s="589">
        <f t="shared" si="34"/>
        <v>0.26800000000000107</v>
      </c>
      <c r="H650" s="407">
        <f t="shared" si="36"/>
        <v>0.26800000000000107</v>
      </c>
      <c r="I650" s="407">
        <f t="shared" si="36"/>
        <v>-7.1824000000000568E-2</v>
      </c>
      <c r="J650" s="407">
        <f t="shared" si="36"/>
        <v>2.8873248000000341E-2</v>
      </c>
      <c r="K650" s="589">
        <f t="shared" si="35"/>
        <v>0.22504924800000087</v>
      </c>
    </row>
    <row r="651" spans="7:11" customFormat="1" x14ac:dyDescent="0.25">
      <c r="G651" s="589">
        <f t="shared" si="34"/>
        <v>0.27000000000000107</v>
      </c>
      <c r="H651" s="407">
        <f t="shared" si="36"/>
        <v>0.27000000000000107</v>
      </c>
      <c r="I651" s="407">
        <f t="shared" si="36"/>
        <v>-7.2900000000000575E-2</v>
      </c>
      <c r="J651" s="407">
        <f t="shared" si="36"/>
        <v>2.9524500000000353E-2</v>
      </c>
      <c r="K651" s="589">
        <f t="shared" si="35"/>
        <v>0.22662450000000084</v>
      </c>
    </row>
    <row r="652" spans="7:11" customFormat="1" x14ac:dyDescent="0.25">
      <c r="G652" s="589">
        <f t="shared" si="34"/>
        <v>0.27200000000000107</v>
      </c>
      <c r="H652" s="407">
        <f t="shared" si="36"/>
        <v>0.27200000000000107</v>
      </c>
      <c r="I652" s="407">
        <f t="shared" si="36"/>
        <v>-7.3984000000000591E-2</v>
      </c>
      <c r="J652" s="407">
        <f t="shared" si="36"/>
        <v>3.0185472000000362E-2</v>
      </c>
      <c r="K652" s="589">
        <f t="shared" si="35"/>
        <v>0.22820147200000082</v>
      </c>
    </row>
    <row r="653" spans="7:11" customFormat="1" x14ac:dyDescent="0.25">
      <c r="G653" s="589">
        <f t="shared" si="34"/>
        <v>0.27400000000000108</v>
      </c>
      <c r="H653" s="407">
        <f t="shared" si="36"/>
        <v>0.27400000000000108</v>
      </c>
      <c r="I653" s="407">
        <f t="shared" si="36"/>
        <v>-7.5076000000000587E-2</v>
      </c>
      <c r="J653" s="407">
        <f t="shared" si="36"/>
        <v>3.085623600000036E-2</v>
      </c>
      <c r="K653" s="589">
        <f t="shared" si="35"/>
        <v>0.22978023600000086</v>
      </c>
    </row>
    <row r="654" spans="7:11" customFormat="1" x14ac:dyDescent="0.25">
      <c r="G654" s="589">
        <f t="shared" si="34"/>
        <v>0.27600000000000108</v>
      </c>
      <c r="H654" s="407">
        <f t="shared" si="36"/>
        <v>0.27600000000000108</v>
      </c>
      <c r="I654" s="407">
        <f t="shared" si="36"/>
        <v>-7.617600000000059E-2</v>
      </c>
      <c r="J654" s="407">
        <f t="shared" si="36"/>
        <v>3.1536864000000366E-2</v>
      </c>
      <c r="K654" s="589">
        <f t="shared" si="35"/>
        <v>0.23136086400000086</v>
      </c>
    </row>
    <row r="655" spans="7:11" customFormat="1" x14ac:dyDescent="0.25">
      <c r="G655" s="589">
        <f t="shared" si="34"/>
        <v>0.27800000000000108</v>
      </c>
      <c r="H655" s="407">
        <f t="shared" si="36"/>
        <v>0.27800000000000108</v>
      </c>
      <c r="I655" s="407">
        <f t="shared" si="36"/>
        <v>-7.7284000000000602E-2</v>
      </c>
      <c r="J655" s="407">
        <f t="shared" si="36"/>
        <v>3.2227428000000377E-2</v>
      </c>
      <c r="K655" s="589">
        <f t="shared" si="35"/>
        <v>0.23294342800000084</v>
      </c>
    </row>
    <row r="656" spans="7:11" customFormat="1" x14ac:dyDescent="0.25">
      <c r="G656" s="589">
        <f t="shared" si="34"/>
        <v>0.28000000000000108</v>
      </c>
      <c r="H656" s="407">
        <f t="shared" si="36"/>
        <v>0.28000000000000108</v>
      </c>
      <c r="I656" s="407">
        <f t="shared" si="36"/>
        <v>-7.8400000000000608E-2</v>
      </c>
      <c r="J656" s="407">
        <f t="shared" si="36"/>
        <v>3.2928000000000381E-2</v>
      </c>
      <c r="K656" s="589">
        <f t="shared" si="35"/>
        <v>0.23452800000000085</v>
      </c>
    </row>
    <row r="657" spans="7:11" customFormat="1" x14ac:dyDescent="0.25">
      <c r="G657" s="589">
        <f t="shared" ref="G657:G720" si="37">G656+$K$14</f>
        <v>0.28200000000000108</v>
      </c>
      <c r="H657" s="407">
        <f t="shared" si="36"/>
        <v>0.28200000000000108</v>
      </c>
      <c r="I657" s="407">
        <f t="shared" si="36"/>
        <v>-7.9524000000000608E-2</v>
      </c>
      <c r="J657" s="407">
        <f t="shared" si="36"/>
        <v>3.3638652000000387E-2</v>
      </c>
      <c r="K657" s="589">
        <f t="shared" si="35"/>
        <v>0.23611465200000087</v>
      </c>
    </row>
    <row r="658" spans="7:11" customFormat="1" x14ac:dyDescent="0.25">
      <c r="G658" s="589">
        <f t="shared" si="37"/>
        <v>0.28400000000000108</v>
      </c>
      <c r="H658" s="407">
        <f t="shared" si="36"/>
        <v>0.28400000000000108</v>
      </c>
      <c r="I658" s="407">
        <f t="shared" si="36"/>
        <v>-8.0656000000000616E-2</v>
      </c>
      <c r="J658" s="407">
        <f t="shared" si="36"/>
        <v>3.4359456000000392E-2</v>
      </c>
      <c r="K658" s="589">
        <f t="shared" si="35"/>
        <v>0.23770345600000087</v>
      </c>
    </row>
    <row r="659" spans="7:11" customFormat="1" x14ac:dyDescent="0.25">
      <c r="G659" s="589">
        <f t="shared" si="37"/>
        <v>0.28600000000000109</v>
      </c>
      <c r="H659" s="407">
        <f t="shared" si="36"/>
        <v>0.28600000000000109</v>
      </c>
      <c r="I659" s="407">
        <f t="shared" si="36"/>
        <v>-8.1796000000000618E-2</v>
      </c>
      <c r="J659" s="407">
        <f t="shared" si="36"/>
        <v>3.5090484000000401E-2</v>
      </c>
      <c r="K659" s="589">
        <f t="shared" si="35"/>
        <v>0.23929448400000086</v>
      </c>
    </row>
    <row r="660" spans="7:11" customFormat="1" x14ac:dyDescent="0.25">
      <c r="G660" s="589">
        <f t="shared" si="37"/>
        <v>0.28800000000000109</v>
      </c>
      <c r="H660" s="407">
        <f t="shared" si="36"/>
        <v>0.28800000000000109</v>
      </c>
      <c r="I660" s="407">
        <f t="shared" si="36"/>
        <v>-8.2944000000000628E-2</v>
      </c>
      <c r="J660" s="407">
        <f t="shared" si="36"/>
        <v>3.5831808000000409E-2</v>
      </c>
      <c r="K660" s="589">
        <f t="shared" si="35"/>
        <v>0.24088780800000087</v>
      </c>
    </row>
    <row r="661" spans="7:11" customFormat="1" x14ac:dyDescent="0.25">
      <c r="G661" s="589">
        <f t="shared" si="37"/>
        <v>0.29000000000000109</v>
      </c>
      <c r="H661" s="407">
        <f t="shared" si="36"/>
        <v>0.29000000000000109</v>
      </c>
      <c r="I661" s="407">
        <f t="shared" si="36"/>
        <v>-8.4100000000000633E-2</v>
      </c>
      <c r="J661" s="407">
        <f t="shared" si="36"/>
        <v>3.6583500000000414E-2</v>
      </c>
      <c r="K661" s="589">
        <f t="shared" si="35"/>
        <v>0.24248350000000088</v>
      </c>
    </row>
    <row r="662" spans="7:11" customFormat="1" x14ac:dyDescent="0.25">
      <c r="G662" s="589">
        <f t="shared" si="37"/>
        <v>0.29200000000000109</v>
      </c>
      <c r="H662" s="407">
        <f t="shared" si="36"/>
        <v>0.29200000000000109</v>
      </c>
      <c r="I662" s="407">
        <f t="shared" si="36"/>
        <v>-8.5264000000000631E-2</v>
      </c>
      <c r="J662" s="407">
        <f t="shared" si="36"/>
        <v>3.734563200000042E-2</v>
      </c>
      <c r="K662" s="589">
        <f t="shared" si="35"/>
        <v>0.24408163200000088</v>
      </c>
    </row>
    <row r="663" spans="7:11" customFormat="1" x14ac:dyDescent="0.25">
      <c r="G663" s="589">
        <f t="shared" si="37"/>
        <v>0.29400000000000109</v>
      </c>
      <c r="H663" s="407">
        <f t="shared" si="36"/>
        <v>0.29400000000000109</v>
      </c>
      <c r="I663" s="407">
        <f t="shared" si="36"/>
        <v>-8.6436000000000637E-2</v>
      </c>
      <c r="J663" s="407">
        <f t="shared" si="36"/>
        <v>3.8118276000000423E-2</v>
      </c>
      <c r="K663" s="589">
        <f t="shared" si="35"/>
        <v>0.24568227600000089</v>
      </c>
    </row>
    <row r="664" spans="7:11" customFormat="1" x14ac:dyDescent="0.25">
      <c r="G664" s="589">
        <f t="shared" si="37"/>
        <v>0.2960000000000011</v>
      </c>
      <c r="H664" s="407">
        <f t="shared" si="36"/>
        <v>0.2960000000000011</v>
      </c>
      <c r="I664" s="407">
        <f t="shared" si="36"/>
        <v>-8.7616000000000652E-2</v>
      </c>
      <c r="J664" s="407">
        <f t="shared" si="36"/>
        <v>3.8901504000000434E-2</v>
      </c>
      <c r="K664" s="589">
        <f t="shared" si="35"/>
        <v>0.24728550400000088</v>
      </c>
    </row>
    <row r="665" spans="7:11" customFormat="1" x14ac:dyDescent="0.25">
      <c r="G665" s="589">
        <f t="shared" si="37"/>
        <v>0.2980000000000011</v>
      </c>
      <c r="H665" s="407">
        <f t="shared" si="36"/>
        <v>0.2980000000000011</v>
      </c>
      <c r="I665" s="407">
        <f t="shared" si="36"/>
        <v>-8.880400000000066E-2</v>
      </c>
      <c r="J665" s="407">
        <f t="shared" si="36"/>
        <v>3.9695388000000435E-2</v>
      </c>
      <c r="K665" s="589">
        <f t="shared" si="35"/>
        <v>0.24889138800000088</v>
      </c>
    </row>
    <row r="666" spans="7:11" customFormat="1" x14ac:dyDescent="0.25">
      <c r="G666" s="589">
        <f t="shared" si="37"/>
        <v>0.3000000000000011</v>
      </c>
      <c r="H666" s="407">
        <f t="shared" si="36"/>
        <v>0.3000000000000011</v>
      </c>
      <c r="I666" s="407">
        <f t="shared" si="36"/>
        <v>-9.0000000000000663E-2</v>
      </c>
      <c r="J666" s="407">
        <f t="shared" si="36"/>
        <v>4.0500000000000445E-2</v>
      </c>
      <c r="K666" s="589">
        <f t="shared" si="35"/>
        <v>0.25050000000000089</v>
      </c>
    </row>
    <row r="667" spans="7:11" customFormat="1" x14ac:dyDescent="0.25">
      <c r="G667" s="589">
        <f t="shared" si="37"/>
        <v>0.3020000000000011</v>
      </c>
      <c r="H667" s="407">
        <f t="shared" si="36"/>
        <v>0.3020000000000011</v>
      </c>
      <c r="I667" s="407">
        <f t="shared" si="36"/>
        <v>-9.120400000000066E-2</v>
      </c>
      <c r="J667" s="407">
        <f t="shared" si="36"/>
        <v>4.1315412000000447E-2</v>
      </c>
      <c r="K667" s="589">
        <f t="shared" si="35"/>
        <v>0.25211141200000087</v>
      </c>
    </row>
    <row r="668" spans="7:11" customFormat="1" x14ac:dyDescent="0.25">
      <c r="G668" s="589">
        <f t="shared" si="37"/>
        <v>0.3040000000000011</v>
      </c>
      <c r="H668" s="407">
        <f t="shared" si="36"/>
        <v>0.3040000000000011</v>
      </c>
      <c r="I668" s="407">
        <f t="shared" si="36"/>
        <v>-9.2416000000000664E-2</v>
      </c>
      <c r="J668" s="407">
        <f t="shared" si="36"/>
        <v>4.2141696000000457E-2</v>
      </c>
      <c r="K668" s="589">
        <f t="shared" si="35"/>
        <v>0.25372569600000089</v>
      </c>
    </row>
    <row r="669" spans="7:11" customFormat="1" x14ac:dyDescent="0.25">
      <c r="G669" s="589">
        <f t="shared" si="37"/>
        <v>0.3060000000000011</v>
      </c>
      <c r="H669" s="407">
        <f t="shared" si="36"/>
        <v>0.3060000000000011</v>
      </c>
      <c r="I669" s="407">
        <f t="shared" si="36"/>
        <v>-9.3636000000000677E-2</v>
      </c>
      <c r="J669" s="407">
        <f t="shared" si="36"/>
        <v>4.2978924000000467E-2</v>
      </c>
      <c r="K669" s="589">
        <f t="shared" si="35"/>
        <v>0.25534292400000091</v>
      </c>
    </row>
    <row r="670" spans="7:11" customFormat="1" x14ac:dyDescent="0.25">
      <c r="G670" s="589">
        <f t="shared" si="37"/>
        <v>0.30800000000000111</v>
      </c>
      <c r="H670" s="407">
        <f t="shared" si="36"/>
        <v>0.30800000000000111</v>
      </c>
      <c r="I670" s="407">
        <f t="shared" si="36"/>
        <v>-9.4864000000000684E-2</v>
      </c>
      <c r="J670" s="407">
        <f t="shared" si="36"/>
        <v>4.3827168000000472E-2</v>
      </c>
      <c r="K670" s="589">
        <f t="shared" si="35"/>
        <v>0.25696316800000091</v>
      </c>
    </row>
    <row r="671" spans="7:11" customFormat="1" x14ac:dyDescent="0.25">
      <c r="G671" s="589">
        <f t="shared" si="37"/>
        <v>0.31000000000000111</v>
      </c>
      <c r="H671" s="407">
        <f t="shared" si="36"/>
        <v>0.31000000000000111</v>
      </c>
      <c r="I671" s="407">
        <f t="shared" si="36"/>
        <v>-9.6100000000000685E-2</v>
      </c>
      <c r="J671" s="407">
        <f t="shared" si="36"/>
        <v>4.4686500000000483E-2</v>
      </c>
      <c r="K671" s="589">
        <f t="shared" si="35"/>
        <v>0.25858650000000089</v>
      </c>
    </row>
    <row r="672" spans="7:11" customFormat="1" x14ac:dyDescent="0.25">
      <c r="G672" s="589">
        <f t="shared" si="37"/>
        <v>0.31200000000000111</v>
      </c>
      <c r="H672" s="407">
        <f t="shared" si="36"/>
        <v>0.31200000000000111</v>
      </c>
      <c r="I672" s="407">
        <f t="shared" si="36"/>
        <v>-9.7344000000000694E-2</v>
      </c>
      <c r="J672" s="407">
        <f t="shared" si="36"/>
        <v>4.555699200000049E-2</v>
      </c>
      <c r="K672" s="589">
        <f t="shared" si="35"/>
        <v>0.26021299200000092</v>
      </c>
    </row>
    <row r="673" spans="7:11" customFormat="1" x14ac:dyDescent="0.25">
      <c r="G673" s="589">
        <f t="shared" si="37"/>
        <v>0.31400000000000111</v>
      </c>
      <c r="H673" s="407">
        <f t="shared" si="36"/>
        <v>0.31400000000000111</v>
      </c>
      <c r="I673" s="407">
        <f t="shared" si="36"/>
        <v>-9.8596000000000697E-2</v>
      </c>
      <c r="J673" s="407">
        <f t="shared" si="36"/>
        <v>4.6438716000000491E-2</v>
      </c>
      <c r="K673" s="589">
        <f t="shared" si="35"/>
        <v>0.26184271600000092</v>
      </c>
    </row>
    <row r="674" spans="7:11" customFormat="1" x14ac:dyDescent="0.25">
      <c r="G674" s="589">
        <f t="shared" si="37"/>
        <v>0.31600000000000111</v>
      </c>
      <c r="H674" s="407">
        <f t="shared" si="36"/>
        <v>0.31600000000000111</v>
      </c>
      <c r="I674" s="407">
        <f t="shared" si="36"/>
        <v>-9.9856000000000708E-2</v>
      </c>
      <c r="J674" s="407">
        <f t="shared" si="36"/>
        <v>4.7331744000000502E-2</v>
      </c>
      <c r="K674" s="589">
        <f t="shared" si="35"/>
        <v>0.2634757440000009</v>
      </c>
    </row>
    <row r="675" spans="7:11" customFormat="1" x14ac:dyDescent="0.25">
      <c r="G675" s="589">
        <f t="shared" si="37"/>
        <v>0.31800000000000112</v>
      </c>
      <c r="H675" s="407">
        <f t="shared" si="36"/>
        <v>0.31800000000000112</v>
      </c>
      <c r="I675" s="407">
        <f t="shared" si="36"/>
        <v>-0.10112400000000071</v>
      </c>
      <c r="J675" s="407">
        <f t="shared" si="36"/>
        <v>4.8236148000000506E-2</v>
      </c>
      <c r="K675" s="589">
        <f t="shared" si="35"/>
        <v>0.26511214800000094</v>
      </c>
    </row>
    <row r="676" spans="7:11" customFormat="1" x14ac:dyDescent="0.25">
      <c r="G676" s="589">
        <f t="shared" si="37"/>
        <v>0.32000000000000112</v>
      </c>
      <c r="H676" s="407">
        <f t="shared" si="36"/>
        <v>0.32000000000000112</v>
      </c>
      <c r="I676" s="407">
        <f t="shared" si="36"/>
        <v>-0.10240000000000071</v>
      </c>
      <c r="J676" s="407">
        <f t="shared" si="36"/>
        <v>4.9152000000000522E-2</v>
      </c>
      <c r="K676" s="589">
        <f t="shared" si="35"/>
        <v>0.26675200000000093</v>
      </c>
    </row>
    <row r="677" spans="7:11" customFormat="1" x14ac:dyDescent="0.25">
      <c r="G677" s="589">
        <f t="shared" si="37"/>
        <v>0.32200000000000112</v>
      </c>
      <c r="H677" s="407">
        <f t="shared" si="36"/>
        <v>0.32200000000000112</v>
      </c>
      <c r="I677" s="407">
        <f t="shared" si="36"/>
        <v>-0.10368400000000072</v>
      </c>
      <c r="J677" s="407">
        <f t="shared" si="36"/>
        <v>5.0079372000000517E-2</v>
      </c>
      <c r="K677" s="589">
        <f t="shared" si="35"/>
        <v>0.26839537200000091</v>
      </c>
    </row>
    <row r="678" spans="7:11" customFormat="1" x14ac:dyDescent="0.25">
      <c r="G678" s="589">
        <f t="shared" si="37"/>
        <v>0.32400000000000112</v>
      </c>
      <c r="H678" s="407">
        <f t="shared" si="36"/>
        <v>0.32400000000000112</v>
      </c>
      <c r="I678" s="407">
        <f t="shared" si="36"/>
        <v>-0.10497600000000072</v>
      </c>
      <c r="J678" s="407">
        <f t="shared" si="36"/>
        <v>5.1018336000000532E-2</v>
      </c>
      <c r="K678" s="589">
        <f t="shared" si="35"/>
        <v>0.27004233600000094</v>
      </c>
    </row>
    <row r="679" spans="7:11" customFormat="1" x14ac:dyDescent="0.25">
      <c r="G679" s="589">
        <f t="shared" si="37"/>
        <v>0.32600000000000112</v>
      </c>
      <c r="H679" s="407">
        <f t="shared" si="36"/>
        <v>0.32600000000000112</v>
      </c>
      <c r="I679" s="407">
        <f t="shared" si="36"/>
        <v>-0.10627600000000073</v>
      </c>
      <c r="J679" s="407">
        <f t="shared" si="36"/>
        <v>5.1968964000000534E-2</v>
      </c>
      <c r="K679" s="589">
        <f t="shared" si="35"/>
        <v>0.27169296400000092</v>
      </c>
    </row>
    <row r="680" spans="7:11" customFormat="1" x14ac:dyDescent="0.25">
      <c r="G680" s="589">
        <f t="shared" si="37"/>
        <v>0.32800000000000112</v>
      </c>
      <c r="H680" s="407">
        <f t="shared" si="36"/>
        <v>0.32800000000000112</v>
      </c>
      <c r="I680" s="407">
        <f t="shared" si="36"/>
        <v>-0.10758400000000073</v>
      </c>
      <c r="J680" s="407">
        <f t="shared" si="36"/>
        <v>5.2931328000000534E-2</v>
      </c>
      <c r="K680" s="589">
        <f t="shared" si="35"/>
        <v>0.27334732800000094</v>
      </c>
    </row>
    <row r="681" spans="7:11" customFormat="1" x14ac:dyDescent="0.25">
      <c r="G681" s="589">
        <f t="shared" si="37"/>
        <v>0.33000000000000113</v>
      </c>
      <c r="H681" s="407">
        <f t="shared" si="36"/>
        <v>0.33000000000000113</v>
      </c>
      <c r="I681" s="407">
        <f t="shared" si="36"/>
        <v>-0.10890000000000075</v>
      </c>
      <c r="J681" s="407">
        <f t="shared" si="36"/>
        <v>5.3905500000000557E-2</v>
      </c>
      <c r="K681" s="589">
        <f t="shared" si="35"/>
        <v>0.27500550000000096</v>
      </c>
    </row>
    <row r="682" spans="7:11" customFormat="1" x14ac:dyDescent="0.25">
      <c r="G682" s="589">
        <f t="shared" si="37"/>
        <v>0.33200000000000113</v>
      </c>
      <c r="H682" s="407">
        <f t="shared" si="36"/>
        <v>0.33200000000000113</v>
      </c>
      <c r="I682" s="407">
        <f t="shared" si="36"/>
        <v>-0.11022400000000075</v>
      </c>
      <c r="J682" s="407">
        <f t="shared" si="36"/>
        <v>5.4891552000000565E-2</v>
      </c>
      <c r="K682" s="589">
        <f t="shared" si="35"/>
        <v>0.27666755200000093</v>
      </c>
    </row>
    <row r="683" spans="7:11" customFormat="1" x14ac:dyDescent="0.25">
      <c r="G683" s="589">
        <f t="shared" si="37"/>
        <v>0.33400000000000113</v>
      </c>
      <c r="H683" s="407">
        <f t="shared" si="36"/>
        <v>0.33400000000000113</v>
      </c>
      <c r="I683" s="407">
        <f t="shared" si="36"/>
        <v>-0.11155600000000075</v>
      </c>
      <c r="J683" s="407">
        <f t="shared" si="36"/>
        <v>5.5889556000000569E-2</v>
      </c>
      <c r="K683" s="589">
        <f t="shared" si="35"/>
        <v>0.27833355600000093</v>
      </c>
    </row>
    <row r="684" spans="7:11" customFormat="1" x14ac:dyDescent="0.25">
      <c r="G684" s="589">
        <f t="shared" si="37"/>
        <v>0.33600000000000113</v>
      </c>
      <c r="H684" s="407">
        <f t="shared" si="36"/>
        <v>0.33600000000000113</v>
      </c>
      <c r="I684" s="407">
        <f t="shared" si="36"/>
        <v>-0.11289600000000076</v>
      </c>
      <c r="J684" s="407">
        <f t="shared" si="36"/>
        <v>5.6899584000000579E-2</v>
      </c>
      <c r="K684" s="589">
        <f t="shared" si="35"/>
        <v>0.28000358400000092</v>
      </c>
    </row>
    <row r="685" spans="7:11" customFormat="1" x14ac:dyDescent="0.25">
      <c r="G685" s="589">
        <f t="shared" si="37"/>
        <v>0.33800000000000113</v>
      </c>
      <c r="H685" s="407">
        <f t="shared" si="36"/>
        <v>0.33800000000000113</v>
      </c>
      <c r="I685" s="407">
        <f t="shared" si="36"/>
        <v>-0.11424400000000076</v>
      </c>
      <c r="J685" s="407">
        <f t="shared" si="36"/>
        <v>5.7921708000000578E-2</v>
      </c>
      <c r="K685" s="589">
        <f t="shared" si="35"/>
        <v>0.28167770800000097</v>
      </c>
    </row>
    <row r="686" spans="7:11" customFormat="1" x14ac:dyDescent="0.25">
      <c r="G686" s="589">
        <f t="shared" si="37"/>
        <v>0.34000000000000113</v>
      </c>
      <c r="H686" s="407">
        <f t="shared" si="36"/>
        <v>0.34000000000000113</v>
      </c>
      <c r="I686" s="407">
        <f t="shared" si="36"/>
        <v>-0.11560000000000077</v>
      </c>
      <c r="J686" s="407">
        <f t="shared" si="36"/>
        <v>5.8956000000000591E-2</v>
      </c>
      <c r="K686" s="589">
        <f t="shared" si="35"/>
        <v>0.28335600000000094</v>
      </c>
    </row>
    <row r="687" spans="7:11" customFormat="1" x14ac:dyDescent="0.25">
      <c r="G687" s="589">
        <f t="shared" si="37"/>
        <v>0.34200000000000114</v>
      </c>
      <c r="H687" s="407">
        <f t="shared" si="36"/>
        <v>0.34200000000000114</v>
      </c>
      <c r="I687" s="407">
        <f t="shared" si="36"/>
        <v>-0.11696400000000078</v>
      </c>
      <c r="J687" s="407">
        <f t="shared" si="36"/>
        <v>6.0002532000000587E-2</v>
      </c>
      <c r="K687" s="589">
        <f t="shared" si="35"/>
        <v>0.28503853200000095</v>
      </c>
    </row>
    <row r="688" spans="7:11" customFormat="1" x14ac:dyDescent="0.25">
      <c r="G688" s="589">
        <f t="shared" si="37"/>
        <v>0.34400000000000114</v>
      </c>
      <c r="H688" s="407">
        <f t="shared" si="36"/>
        <v>0.34400000000000114</v>
      </c>
      <c r="I688" s="407">
        <f t="shared" si="36"/>
        <v>-0.11833600000000079</v>
      </c>
      <c r="J688" s="407">
        <f t="shared" si="36"/>
        <v>6.1061376000000611E-2</v>
      </c>
      <c r="K688" s="589">
        <f t="shared" si="35"/>
        <v>0.28672537600000098</v>
      </c>
    </row>
    <row r="689" spans="7:11" customFormat="1" x14ac:dyDescent="0.25">
      <c r="G689" s="589">
        <f t="shared" si="37"/>
        <v>0.34600000000000114</v>
      </c>
      <c r="H689" s="407">
        <f t="shared" si="36"/>
        <v>0.34600000000000114</v>
      </c>
      <c r="I689" s="407">
        <f t="shared" si="36"/>
        <v>-0.11971600000000079</v>
      </c>
      <c r="J689" s="407">
        <f t="shared" si="36"/>
        <v>6.2132604000000619E-2</v>
      </c>
      <c r="K689" s="589">
        <f t="shared" si="35"/>
        <v>0.28841660400000096</v>
      </c>
    </row>
    <row r="690" spans="7:11" customFormat="1" x14ac:dyDescent="0.25">
      <c r="G690" s="589">
        <f t="shared" si="37"/>
        <v>0.34800000000000114</v>
      </c>
      <c r="H690" s="407">
        <f t="shared" si="36"/>
        <v>0.34800000000000114</v>
      </c>
      <c r="I690" s="407">
        <f t="shared" si="36"/>
        <v>-0.12110400000000079</v>
      </c>
      <c r="J690" s="407">
        <f t="shared" si="36"/>
        <v>6.321628800000062E-2</v>
      </c>
      <c r="K690" s="589">
        <f t="shared" si="35"/>
        <v>0.290112288000001</v>
      </c>
    </row>
    <row r="691" spans="7:11" customFormat="1" x14ac:dyDescent="0.25">
      <c r="G691" s="589">
        <f t="shared" si="37"/>
        <v>0.35000000000000114</v>
      </c>
      <c r="H691" s="407">
        <f t="shared" si="36"/>
        <v>0.35000000000000114</v>
      </c>
      <c r="I691" s="407">
        <f t="shared" si="36"/>
        <v>-0.1225000000000008</v>
      </c>
      <c r="J691" s="407">
        <f t="shared" si="36"/>
        <v>6.4312500000000633E-2</v>
      </c>
      <c r="K691" s="589">
        <f t="shared" si="35"/>
        <v>0.29181250000000097</v>
      </c>
    </row>
    <row r="692" spans="7:11" customFormat="1" x14ac:dyDescent="0.25">
      <c r="G692" s="589">
        <f t="shared" si="37"/>
        <v>0.35200000000000115</v>
      </c>
      <c r="H692" s="407">
        <f t="shared" si="36"/>
        <v>0.35200000000000115</v>
      </c>
      <c r="I692" s="407">
        <f t="shared" si="36"/>
        <v>-0.12390400000000081</v>
      </c>
      <c r="J692" s="407">
        <f t="shared" si="36"/>
        <v>6.5421312000000634E-2</v>
      </c>
      <c r="K692" s="589">
        <f t="shared" si="35"/>
        <v>0.29351731200000097</v>
      </c>
    </row>
    <row r="693" spans="7:11" customFormat="1" x14ac:dyDescent="0.25">
      <c r="G693" s="589">
        <f t="shared" si="37"/>
        <v>0.35400000000000115</v>
      </c>
      <c r="H693" s="407">
        <f t="shared" si="36"/>
        <v>0.35400000000000115</v>
      </c>
      <c r="I693" s="407">
        <f t="shared" si="36"/>
        <v>-0.12531600000000082</v>
      </c>
      <c r="J693" s="407">
        <f t="shared" si="36"/>
        <v>6.654279600000064E-2</v>
      </c>
      <c r="K693" s="589">
        <f t="shared" ref="K693:K756" si="38">SUM(H693:J693)</f>
        <v>0.29522679600000096</v>
      </c>
    </row>
    <row r="694" spans="7:11" customFormat="1" x14ac:dyDescent="0.25">
      <c r="G694" s="589">
        <f t="shared" si="37"/>
        <v>0.35600000000000115</v>
      </c>
      <c r="H694" s="407">
        <f t="shared" si="36"/>
        <v>0.35600000000000115</v>
      </c>
      <c r="I694" s="407">
        <f t="shared" si="36"/>
        <v>-0.12673600000000082</v>
      </c>
      <c r="J694" s="407">
        <f t="shared" si="36"/>
        <v>6.7677024000000655E-2</v>
      </c>
      <c r="K694" s="589">
        <f t="shared" si="38"/>
        <v>0.296941024000001</v>
      </c>
    </row>
    <row r="695" spans="7:11" customFormat="1" x14ac:dyDescent="0.25">
      <c r="G695" s="589">
        <f t="shared" si="37"/>
        <v>0.35800000000000115</v>
      </c>
      <c r="H695" s="407">
        <f t="shared" si="36"/>
        <v>0.35800000000000115</v>
      </c>
      <c r="I695" s="407">
        <f t="shared" si="36"/>
        <v>-0.12816400000000083</v>
      </c>
      <c r="J695" s="407">
        <f t="shared" si="36"/>
        <v>6.8824068000000668E-2</v>
      </c>
      <c r="K695" s="589">
        <f t="shared" si="38"/>
        <v>0.298660068000001</v>
      </c>
    </row>
    <row r="696" spans="7:11" customFormat="1" x14ac:dyDescent="0.25">
      <c r="G696" s="589">
        <f t="shared" si="37"/>
        <v>0.36000000000000115</v>
      </c>
      <c r="H696" s="407">
        <f t="shared" si="36"/>
        <v>0.36000000000000115</v>
      </c>
      <c r="I696" s="407">
        <f t="shared" si="36"/>
        <v>-0.12960000000000083</v>
      </c>
      <c r="J696" s="407">
        <f t="shared" si="36"/>
        <v>6.9984000000000671E-2</v>
      </c>
      <c r="K696" s="589">
        <f t="shared" si="38"/>
        <v>0.30038400000000098</v>
      </c>
    </row>
    <row r="697" spans="7:11" customFormat="1" x14ac:dyDescent="0.25">
      <c r="G697" s="589">
        <f t="shared" si="37"/>
        <v>0.36200000000000115</v>
      </c>
      <c r="H697" s="407">
        <f t="shared" si="36"/>
        <v>0.36200000000000115</v>
      </c>
      <c r="I697" s="407">
        <f t="shared" si="36"/>
        <v>-0.13104400000000083</v>
      </c>
      <c r="J697" s="407">
        <f t="shared" si="36"/>
        <v>7.1156892000000679E-2</v>
      </c>
      <c r="K697" s="589">
        <f t="shared" si="38"/>
        <v>0.30211289200000102</v>
      </c>
    </row>
    <row r="698" spans="7:11" customFormat="1" x14ac:dyDescent="0.25">
      <c r="G698" s="589">
        <f t="shared" si="37"/>
        <v>0.36400000000000116</v>
      </c>
      <c r="H698" s="407">
        <f t="shared" ref="H698:J761" si="39">($G698^H$15*(-H$15)^(-1+H$15))/FACT(H$15)</f>
        <v>0.36400000000000116</v>
      </c>
      <c r="I698" s="407">
        <f t="shared" si="39"/>
        <v>-0.13249600000000084</v>
      </c>
      <c r="J698" s="407">
        <f t="shared" si="39"/>
        <v>7.2342816000000684E-2</v>
      </c>
      <c r="K698" s="589">
        <f t="shared" si="38"/>
        <v>0.30384681600000102</v>
      </c>
    </row>
    <row r="699" spans="7:11" customFormat="1" x14ac:dyDescent="0.25">
      <c r="G699" s="589">
        <f t="shared" si="37"/>
        <v>0.36600000000000116</v>
      </c>
      <c r="H699" s="407">
        <f t="shared" si="39"/>
        <v>0.36600000000000116</v>
      </c>
      <c r="I699" s="407">
        <f t="shared" si="39"/>
        <v>-0.13395600000000085</v>
      </c>
      <c r="J699" s="407">
        <f t="shared" si="39"/>
        <v>7.3541844000000703E-2</v>
      </c>
      <c r="K699" s="589">
        <f t="shared" si="38"/>
        <v>0.30558584400000099</v>
      </c>
    </row>
    <row r="700" spans="7:11" customFormat="1" x14ac:dyDescent="0.25">
      <c r="G700" s="589">
        <f t="shared" si="37"/>
        <v>0.36800000000000116</v>
      </c>
      <c r="H700" s="407">
        <f t="shared" si="39"/>
        <v>0.36800000000000116</v>
      </c>
      <c r="I700" s="407">
        <f t="shared" si="39"/>
        <v>-0.13542400000000085</v>
      </c>
      <c r="J700" s="407">
        <f t="shared" si="39"/>
        <v>7.4754048000000697E-2</v>
      </c>
      <c r="K700" s="589">
        <f t="shared" si="38"/>
        <v>0.30733004800000102</v>
      </c>
    </row>
    <row r="701" spans="7:11" customFormat="1" x14ac:dyDescent="0.25">
      <c r="G701" s="589">
        <f t="shared" si="37"/>
        <v>0.37000000000000116</v>
      </c>
      <c r="H701" s="407">
        <f t="shared" si="39"/>
        <v>0.37000000000000116</v>
      </c>
      <c r="I701" s="407">
        <f t="shared" si="39"/>
        <v>-0.13690000000000085</v>
      </c>
      <c r="J701" s="407">
        <f t="shared" si="39"/>
        <v>7.5979500000000713E-2</v>
      </c>
      <c r="K701" s="589">
        <f t="shared" si="38"/>
        <v>0.30907950000000101</v>
      </c>
    </row>
    <row r="702" spans="7:11" customFormat="1" x14ac:dyDescent="0.25">
      <c r="G702" s="589">
        <f t="shared" si="37"/>
        <v>0.37200000000000116</v>
      </c>
      <c r="H702" s="407">
        <f t="shared" si="39"/>
        <v>0.37200000000000116</v>
      </c>
      <c r="I702" s="407">
        <f t="shared" si="39"/>
        <v>-0.13838400000000087</v>
      </c>
      <c r="J702" s="407">
        <f t="shared" si="39"/>
        <v>7.7218272000000726E-2</v>
      </c>
      <c r="K702" s="589">
        <f t="shared" si="38"/>
        <v>0.31083427200000102</v>
      </c>
    </row>
    <row r="703" spans="7:11" customFormat="1" x14ac:dyDescent="0.25">
      <c r="G703" s="589">
        <f t="shared" si="37"/>
        <v>0.37400000000000116</v>
      </c>
      <c r="H703" s="407">
        <f t="shared" si="39"/>
        <v>0.37400000000000116</v>
      </c>
      <c r="I703" s="407">
        <f t="shared" si="39"/>
        <v>-0.13987600000000086</v>
      </c>
      <c r="J703" s="407">
        <f t="shared" si="39"/>
        <v>7.8470436000000726E-2</v>
      </c>
      <c r="K703" s="589">
        <f t="shared" si="38"/>
        <v>0.31259443600000103</v>
      </c>
    </row>
    <row r="704" spans="7:11" customFormat="1" x14ac:dyDescent="0.25">
      <c r="G704" s="589">
        <f t="shared" si="37"/>
        <v>0.37600000000000117</v>
      </c>
      <c r="H704" s="407">
        <f t="shared" si="39"/>
        <v>0.37600000000000117</v>
      </c>
      <c r="I704" s="407">
        <f t="shared" si="39"/>
        <v>-0.14137600000000089</v>
      </c>
      <c r="J704" s="407">
        <f t="shared" si="39"/>
        <v>7.9736064000000745E-2</v>
      </c>
      <c r="K704" s="589">
        <f t="shared" si="38"/>
        <v>0.31436006400000105</v>
      </c>
    </row>
    <row r="705" spans="7:11" customFormat="1" x14ac:dyDescent="0.25">
      <c r="G705" s="589">
        <f t="shared" si="37"/>
        <v>0.37800000000000117</v>
      </c>
      <c r="H705" s="407">
        <f t="shared" si="39"/>
        <v>0.37800000000000117</v>
      </c>
      <c r="I705" s="407">
        <f t="shared" si="39"/>
        <v>-0.14288400000000087</v>
      </c>
      <c r="J705" s="407">
        <f t="shared" si="39"/>
        <v>8.1015228000000744E-2</v>
      </c>
      <c r="K705" s="589">
        <f t="shared" si="38"/>
        <v>0.31613122800000104</v>
      </c>
    </row>
    <row r="706" spans="7:11" customFormat="1" x14ac:dyDescent="0.25">
      <c r="G706" s="589">
        <f t="shared" si="37"/>
        <v>0.38000000000000117</v>
      </c>
      <c r="H706" s="407">
        <f t="shared" si="39"/>
        <v>0.38000000000000117</v>
      </c>
      <c r="I706" s="407">
        <f t="shared" si="39"/>
        <v>-0.14440000000000089</v>
      </c>
      <c r="J706" s="407">
        <f t="shared" si="39"/>
        <v>8.2308000000000756E-2</v>
      </c>
      <c r="K706" s="589">
        <f t="shared" si="38"/>
        <v>0.31790800000000102</v>
      </c>
    </row>
    <row r="707" spans="7:11" customFormat="1" x14ac:dyDescent="0.25">
      <c r="G707" s="589">
        <f t="shared" si="37"/>
        <v>0.38200000000000117</v>
      </c>
      <c r="H707" s="407">
        <f t="shared" si="39"/>
        <v>0.38200000000000117</v>
      </c>
      <c r="I707" s="407">
        <f t="shared" si="39"/>
        <v>-0.14592400000000089</v>
      </c>
      <c r="J707" s="407">
        <f t="shared" si="39"/>
        <v>8.3614452000000769E-2</v>
      </c>
      <c r="K707" s="589">
        <f t="shared" si="38"/>
        <v>0.31969045200000107</v>
      </c>
    </row>
    <row r="708" spans="7:11" customFormat="1" x14ac:dyDescent="0.25">
      <c r="G708" s="589">
        <f t="shared" si="37"/>
        <v>0.38400000000000117</v>
      </c>
      <c r="H708" s="407">
        <f t="shared" si="39"/>
        <v>0.38400000000000117</v>
      </c>
      <c r="I708" s="407">
        <f t="shared" si="39"/>
        <v>-0.14745600000000089</v>
      </c>
      <c r="J708" s="407">
        <f t="shared" si="39"/>
        <v>8.4934656000000774E-2</v>
      </c>
      <c r="K708" s="589">
        <f t="shared" si="38"/>
        <v>0.32147865600000103</v>
      </c>
    </row>
    <row r="709" spans="7:11" customFormat="1" x14ac:dyDescent="0.25">
      <c r="G709" s="589">
        <f t="shared" si="37"/>
        <v>0.38600000000000118</v>
      </c>
      <c r="H709" s="407">
        <f t="shared" si="39"/>
        <v>0.38600000000000118</v>
      </c>
      <c r="I709" s="407">
        <f t="shared" si="39"/>
        <v>-0.14899600000000091</v>
      </c>
      <c r="J709" s="407">
        <f t="shared" si="39"/>
        <v>8.6268684000000775E-2</v>
      </c>
      <c r="K709" s="589">
        <f t="shared" si="38"/>
        <v>0.32327268400000103</v>
      </c>
    </row>
    <row r="710" spans="7:11" customFormat="1" x14ac:dyDescent="0.25">
      <c r="G710" s="589">
        <f t="shared" si="37"/>
        <v>0.38800000000000118</v>
      </c>
      <c r="H710" s="407">
        <f t="shared" si="39"/>
        <v>0.38800000000000118</v>
      </c>
      <c r="I710" s="407">
        <f t="shared" si="39"/>
        <v>-0.15054400000000093</v>
      </c>
      <c r="J710" s="407">
        <f t="shared" si="39"/>
        <v>8.7616608000000804E-2</v>
      </c>
      <c r="K710" s="589">
        <f t="shared" si="38"/>
        <v>0.32507260800000104</v>
      </c>
    </row>
    <row r="711" spans="7:11" customFormat="1" x14ac:dyDescent="0.25">
      <c r="G711" s="589">
        <f t="shared" si="37"/>
        <v>0.39000000000000118</v>
      </c>
      <c r="H711" s="407">
        <f t="shared" si="39"/>
        <v>0.39000000000000118</v>
      </c>
      <c r="I711" s="407">
        <f t="shared" si="39"/>
        <v>-0.15210000000000093</v>
      </c>
      <c r="J711" s="407">
        <f t="shared" si="39"/>
        <v>8.8978500000000807E-2</v>
      </c>
      <c r="K711" s="589">
        <f t="shared" si="38"/>
        <v>0.32687850000000107</v>
      </c>
    </row>
    <row r="712" spans="7:11" customFormat="1" x14ac:dyDescent="0.25">
      <c r="G712" s="589">
        <f t="shared" si="37"/>
        <v>0.39200000000000118</v>
      </c>
      <c r="H712" s="407">
        <f t="shared" si="39"/>
        <v>0.39200000000000118</v>
      </c>
      <c r="I712" s="407">
        <f t="shared" si="39"/>
        <v>-0.15366400000000094</v>
      </c>
      <c r="J712" s="407">
        <f t="shared" si="39"/>
        <v>9.0354432000000817E-2</v>
      </c>
      <c r="K712" s="589">
        <f t="shared" si="38"/>
        <v>0.32869043200000103</v>
      </c>
    </row>
    <row r="713" spans="7:11" customFormat="1" x14ac:dyDescent="0.25">
      <c r="G713" s="589">
        <f t="shared" si="37"/>
        <v>0.39400000000000118</v>
      </c>
      <c r="H713" s="407">
        <f t="shared" si="39"/>
        <v>0.39400000000000118</v>
      </c>
      <c r="I713" s="407">
        <f t="shared" si="39"/>
        <v>-0.15523600000000093</v>
      </c>
      <c r="J713" s="407">
        <f t="shared" si="39"/>
        <v>9.1744476000000838E-2</v>
      </c>
      <c r="K713" s="589">
        <f t="shared" si="38"/>
        <v>0.33050847600000111</v>
      </c>
    </row>
    <row r="714" spans="7:11" customFormat="1" x14ac:dyDescent="0.25">
      <c r="G714" s="589">
        <f t="shared" si="37"/>
        <v>0.39600000000000118</v>
      </c>
      <c r="H714" s="407">
        <f t="shared" si="39"/>
        <v>0.39600000000000118</v>
      </c>
      <c r="I714" s="407">
        <f t="shared" si="39"/>
        <v>-0.15681600000000093</v>
      </c>
      <c r="J714" s="407">
        <f t="shared" si="39"/>
        <v>9.3148704000000818E-2</v>
      </c>
      <c r="K714" s="589">
        <f t="shared" si="38"/>
        <v>0.33233270400000109</v>
      </c>
    </row>
    <row r="715" spans="7:11" customFormat="1" x14ac:dyDescent="0.25">
      <c r="G715" s="589">
        <f t="shared" si="37"/>
        <v>0.39800000000000119</v>
      </c>
      <c r="H715" s="407">
        <f t="shared" si="39"/>
        <v>0.39800000000000119</v>
      </c>
      <c r="I715" s="407">
        <f t="shared" si="39"/>
        <v>-0.15840400000000093</v>
      </c>
      <c r="J715" s="407">
        <f t="shared" si="39"/>
        <v>9.4567188000000843E-2</v>
      </c>
      <c r="K715" s="589">
        <f t="shared" si="38"/>
        <v>0.33416318800000111</v>
      </c>
    </row>
    <row r="716" spans="7:11" customFormat="1" x14ac:dyDescent="0.25">
      <c r="G716" s="589">
        <f t="shared" si="37"/>
        <v>0.40000000000000119</v>
      </c>
      <c r="H716" s="407">
        <f t="shared" si="39"/>
        <v>0.40000000000000119</v>
      </c>
      <c r="I716" s="407">
        <f t="shared" si="39"/>
        <v>-0.16000000000000095</v>
      </c>
      <c r="J716" s="407">
        <f t="shared" si="39"/>
        <v>9.6000000000000862E-2</v>
      </c>
      <c r="K716" s="589">
        <f t="shared" si="38"/>
        <v>0.33600000000000108</v>
      </c>
    </row>
    <row r="717" spans="7:11" customFormat="1" x14ac:dyDescent="0.25">
      <c r="G717" s="589">
        <f t="shared" si="37"/>
        <v>0.40200000000000119</v>
      </c>
      <c r="H717" s="407">
        <f t="shared" si="39"/>
        <v>0.40200000000000119</v>
      </c>
      <c r="I717" s="407">
        <f t="shared" si="39"/>
        <v>-0.16160400000000097</v>
      </c>
      <c r="J717" s="407">
        <f t="shared" si="39"/>
        <v>9.744721200000088E-2</v>
      </c>
      <c r="K717" s="589">
        <f t="shared" si="38"/>
        <v>0.33784321200000111</v>
      </c>
    </row>
    <row r="718" spans="7:11" customFormat="1" x14ac:dyDescent="0.25">
      <c r="G718" s="589">
        <f t="shared" si="37"/>
        <v>0.40400000000000119</v>
      </c>
      <c r="H718" s="407">
        <f t="shared" si="39"/>
        <v>0.40400000000000119</v>
      </c>
      <c r="I718" s="407">
        <f t="shared" si="39"/>
        <v>-0.16321600000000097</v>
      </c>
      <c r="J718" s="407">
        <f t="shared" si="39"/>
        <v>9.890889600000087E-2</v>
      </c>
      <c r="K718" s="589">
        <f t="shared" si="38"/>
        <v>0.33969289600000108</v>
      </c>
    </row>
    <row r="719" spans="7:11" customFormat="1" x14ac:dyDescent="0.25">
      <c r="G719" s="589">
        <f t="shared" si="37"/>
        <v>0.40600000000000119</v>
      </c>
      <c r="H719" s="407">
        <f t="shared" si="39"/>
        <v>0.40600000000000119</v>
      </c>
      <c r="I719" s="407">
        <f t="shared" si="39"/>
        <v>-0.16483600000000098</v>
      </c>
      <c r="J719" s="407">
        <f t="shared" si="39"/>
        <v>0.10038512400000089</v>
      </c>
      <c r="K719" s="589">
        <f t="shared" si="38"/>
        <v>0.34154912400000109</v>
      </c>
    </row>
    <row r="720" spans="7:11" customFormat="1" x14ac:dyDescent="0.25">
      <c r="G720" s="589">
        <f t="shared" si="37"/>
        <v>0.4080000000000012</v>
      </c>
      <c r="H720" s="407">
        <f t="shared" si="39"/>
        <v>0.4080000000000012</v>
      </c>
      <c r="I720" s="407">
        <f t="shared" si="39"/>
        <v>-0.16646400000000097</v>
      </c>
      <c r="J720" s="407">
        <f t="shared" si="39"/>
        <v>0.10187596800000089</v>
      </c>
      <c r="K720" s="589">
        <f t="shared" si="38"/>
        <v>0.34341196800000112</v>
      </c>
    </row>
    <row r="721" spans="7:11" customFormat="1" x14ac:dyDescent="0.25">
      <c r="G721" s="589">
        <f t="shared" ref="G721:G784" si="40">G720+$K$14</f>
        <v>0.4100000000000012</v>
      </c>
      <c r="H721" s="407">
        <f t="shared" si="39"/>
        <v>0.4100000000000012</v>
      </c>
      <c r="I721" s="407">
        <f t="shared" si="39"/>
        <v>-0.16810000000000097</v>
      </c>
      <c r="J721" s="407">
        <f t="shared" si="39"/>
        <v>0.10338150000000089</v>
      </c>
      <c r="K721" s="589">
        <f t="shared" si="38"/>
        <v>0.34528150000000113</v>
      </c>
    </row>
    <row r="722" spans="7:11" customFormat="1" x14ac:dyDescent="0.25">
      <c r="G722" s="589">
        <f t="shared" si="40"/>
        <v>0.4120000000000012</v>
      </c>
      <c r="H722" s="407">
        <f t="shared" si="39"/>
        <v>0.4120000000000012</v>
      </c>
      <c r="I722" s="407">
        <f t="shared" si="39"/>
        <v>-0.16974400000000098</v>
      </c>
      <c r="J722" s="407">
        <f t="shared" si="39"/>
        <v>0.1049017920000009</v>
      </c>
      <c r="K722" s="589">
        <f t="shared" si="38"/>
        <v>0.34715779200000113</v>
      </c>
    </row>
    <row r="723" spans="7:11" customFormat="1" x14ac:dyDescent="0.25">
      <c r="G723" s="589">
        <f t="shared" si="40"/>
        <v>0.4140000000000012</v>
      </c>
      <c r="H723" s="407">
        <f t="shared" si="39"/>
        <v>0.4140000000000012</v>
      </c>
      <c r="I723" s="407">
        <f t="shared" si="39"/>
        <v>-0.17139600000000099</v>
      </c>
      <c r="J723" s="407">
        <f t="shared" si="39"/>
        <v>0.10643691600000094</v>
      </c>
      <c r="K723" s="589">
        <f t="shared" si="38"/>
        <v>0.34904091600000114</v>
      </c>
    </row>
    <row r="724" spans="7:11" customFormat="1" x14ac:dyDescent="0.25">
      <c r="G724" s="589">
        <f t="shared" si="40"/>
        <v>0.4160000000000012</v>
      </c>
      <c r="H724" s="407">
        <f t="shared" si="39"/>
        <v>0.4160000000000012</v>
      </c>
      <c r="I724" s="407">
        <f t="shared" si="39"/>
        <v>-0.17305600000000099</v>
      </c>
      <c r="J724" s="407">
        <f t="shared" si="39"/>
        <v>0.10798694400000093</v>
      </c>
      <c r="K724" s="589">
        <f t="shared" si="38"/>
        <v>0.35093094400000113</v>
      </c>
    </row>
    <row r="725" spans="7:11" customFormat="1" x14ac:dyDescent="0.25">
      <c r="G725" s="589">
        <f t="shared" si="40"/>
        <v>0.4180000000000012</v>
      </c>
      <c r="H725" s="407">
        <f t="shared" si="39"/>
        <v>0.4180000000000012</v>
      </c>
      <c r="I725" s="407">
        <f t="shared" si="39"/>
        <v>-0.17472400000000102</v>
      </c>
      <c r="J725" s="407">
        <f t="shared" si="39"/>
        <v>0.10955194800000095</v>
      </c>
      <c r="K725" s="589">
        <f t="shared" si="38"/>
        <v>0.35282794800000117</v>
      </c>
    </row>
    <row r="726" spans="7:11" customFormat="1" x14ac:dyDescent="0.25">
      <c r="G726" s="589">
        <f t="shared" si="40"/>
        <v>0.42000000000000121</v>
      </c>
      <c r="H726" s="407">
        <f t="shared" si="39"/>
        <v>0.42000000000000121</v>
      </c>
      <c r="I726" s="407">
        <f t="shared" si="39"/>
        <v>-0.176400000000001</v>
      </c>
      <c r="J726" s="407">
        <f t="shared" si="39"/>
        <v>0.11113200000000095</v>
      </c>
      <c r="K726" s="589">
        <f t="shared" si="38"/>
        <v>0.35473200000000116</v>
      </c>
    </row>
    <row r="727" spans="7:11" customFormat="1" x14ac:dyDescent="0.25">
      <c r="G727" s="589">
        <f t="shared" si="40"/>
        <v>0.42200000000000121</v>
      </c>
      <c r="H727" s="407">
        <f t="shared" si="39"/>
        <v>0.42200000000000121</v>
      </c>
      <c r="I727" s="407">
        <f t="shared" si="39"/>
        <v>-0.17808400000000102</v>
      </c>
      <c r="J727" s="407">
        <f t="shared" si="39"/>
        <v>0.11272717200000097</v>
      </c>
      <c r="K727" s="589">
        <f t="shared" si="38"/>
        <v>0.35664317200000117</v>
      </c>
    </row>
    <row r="728" spans="7:11" customFormat="1" x14ac:dyDescent="0.25">
      <c r="G728" s="589">
        <f t="shared" si="40"/>
        <v>0.42400000000000121</v>
      </c>
      <c r="H728" s="407">
        <f t="shared" si="39"/>
        <v>0.42400000000000121</v>
      </c>
      <c r="I728" s="407">
        <f t="shared" si="39"/>
        <v>-0.17977600000000102</v>
      </c>
      <c r="J728" s="407">
        <f t="shared" si="39"/>
        <v>0.11433753600000097</v>
      </c>
      <c r="K728" s="589">
        <f t="shared" si="38"/>
        <v>0.35856153600000118</v>
      </c>
    </row>
    <row r="729" spans="7:11" customFormat="1" x14ac:dyDescent="0.25">
      <c r="G729" s="589">
        <f t="shared" si="40"/>
        <v>0.42600000000000121</v>
      </c>
      <c r="H729" s="407">
        <f t="shared" si="39"/>
        <v>0.42600000000000121</v>
      </c>
      <c r="I729" s="407">
        <f t="shared" si="39"/>
        <v>-0.18147600000000103</v>
      </c>
      <c r="J729" s="407">
        <f t="shared" si="39"/>
        <v>0.11596316400000099</v>
      </c>
      <c r="K729" s="589">
        <f t="shared" si="38"/>
        <v>0.36048716400000119</v>
      </c>
    </row>
    <row r="730" spans="7:11" customFormat="1" x14ac:dyDescent="0.25">
      <c r="G730" s="589">
        <f t="shared" si="40"/>
        <v>0.42800000000000121</v>
      </c>
      <c r="H730" s="407">
        <f t="shared" si="39"/>
        <v>0.42800000000000121</v>
      </c>
      <c r="I730" s="407">
        <f t="shared" si="39"/>
        <v>-0.18318400000000104</v>
      </c>
      <c r="J730" s="407">
        <f t="shared" si="39"/>
        <v>0.11760412800000102</v>
      </c>
      <c r="K730" s="589">
        <f t="shared" si="38"/>
        <v>0.36242012800000117</v>
      </c>
    </row>
    <row r="731" spans="7:11" customFormat="1" x14ac:dyDescent="0.25">
      <c r="G731" s="589">
        <f t="shared" si="40"/>
        <v>0.43000000000000121</v>
      </c>
      <c r="H731" s="407">
        <f t="shared" si="39"/>
        <v>0.43000000000000121</v>
      </c>
      <c r="I731" s="407">
        <f t="shared" si="39"/>
        <v>-0.18490000000000104</v>
      </c>
      <c r="J731" s="407">
        <f t="shared" si="39"/>
        <v>0.119260500000001</v>
      </c>
      <c r="K731" s="589">
        <f t="shared" si="38"/>
        <v>0.3643605000000012</v>
      </c>
    </row>
    <row r="732" spans="7:11" customFormat="1" x14ac:dyDescent="0.25">
      <c r="G732" s="589">
        <f t="shared" si="40"/>
        <v>0.43200000000000122</v>
      </c>
      <c r="H732" s="407">
        <f t="shared" si="39"/>
        <v>0.43200000000000122</v>
      </c>
      <c r="I732" s="407">
        <f t="shared" si="39"/>
        <v>-0.18662400000000104</v>
      </c>
      <c r="J732" s="407">
        <f t="shared" si="39"/>
        <v>0.12093235200000101</v>
      </c>
      <c r="K732" s="589">
        <f t="shared" si="38"/>
        <v>0.36630835200000117</v>
      </c>
    </row>
    <row r="733" spans="7:11" customFormat="1" x14ac:dyDescent="0.25">
      <c r="G733" s="589">
        <f t="shared" si="40"/>
        <v>0.43400000000000122</v>
      </c>
      <c r="H733" s="407">
        <f t="shared" si="39"/>
        <v>0.43400000000000122</v>
      </c>
      <c r="I733" s="407">
        <f t="shared" si="39"/>
        <v>-0.18835600000000105</v>
      </c>
      <c r="J733" s="407">
        <f t="shared" si="39"/>
        <v>0.12261975600000104</v>
      </c>
      <c r="K733" s="589">
        <f t="shared" si="38"/>
        <v>0.36826375600000122</v>
      </c>
    </row>
    <row r="734" spans="7:11" customFormat="1" x14ac:dyDescent="0.25">
      <c r="G734" s="589">
        <f t="shared" si="40"/>
        <v>0.43600000000000122</v>
      </c>
      <c r="H734" s="407">
        <f t="shared" si="39"/>
        <v>0.43600000000000122</v>
      </c>
      <c r="I734" s="407">
        <f t="shared" si="39"/>
        <v>-0.19009600000000107</v>
      </c>
      <c r="J734" s="407">
        <f t="shared" si="39"/>
        <v>0.12432278400000103</v>
      </c>
      <c r="K734" s="589">
        <f t="shared" si="38"/>
        <v>0.3702267840000012</v>
      </c>
    </row>
    <row r="735" spans="7:11" customFormat="1" x14ac:dyDescent="0.25">
      <c r="G735" s="589">
        <f t="shared" si="40"/>
        <v>0.43800000000000122</v>
      </c>
      <c r="H735" s="407">
        <f t="shared" si="39"/>
        <v>0.43800000000000122</v>
      </c>
      <c r="I735" s="407">
        <f t="shared" si="39"/>
        <v>-0.19184400000000107</v>
      </c>
      <c r="J735" s="407">
        <f t="shared" si="39"/>
        <v>0.12604150800000105</v>
      </c>
      <c r="K735" s="589">
        <f t="shared" si="38"/>
        <v>0.37219750800000118</v>
      </c>
    </row>
    <row r="736" spans="7:11" customFormat="1" x14ac:dyDescent="0.25">
      <c r="G736" s="589">
        <f t="shared" si="40"/>
        <v>0.44000000000000122</v>
      </c>
      <c r="H736" s="407">
        <f t="shared" si="39"/>
        <v>0.44000000000000122</v>
      </c>
      <c r="I736" s="407">
        <f t="shared" si="39"/>
        <v>-0.19360000000000108</v>
      </c>
      <c r="J736" s="407">
        <f t="shared" si="39"/>
        <v>0.12777600000000108</v>
      </c>
      <c r="K736" s="589">
        <f t="shared" si="38"/>
        <v>0.37417600000000123</v>
      </c>
    </row>
    <row r="737" spans="7:11" customFormat="1" x14ac:dyDescent="0.25">
      <c r="G737" s="589">
        <f t="shared" si="40"/>
        <v>0.44200000000000123</v>
      </c>
      <c r="H737" s="407">
        <f t="shared" si="39"/>
        <v>0.44200000000000123</v>
      </c>
      <c r="I737" s="407">
        <f t="shared" si="39"/>
        <v>-0.19536400000000109</v>
      </c>
      <c r="J737" s="407">
        <f t="shared" si="39"/>
        <v>0.12952633200000108</v>
      </c>
      <c r="K737" s="589">
        <f t="shared" si="38"/>
        <v>0.37616233200000121</v>
      </c>
    </row>
    <row r="738" spans="7:11" customFormat="1" x14ac:dyDescent="0.25">
      <c r="G738" s="589">
        <f t="shared" si="40"/>
        <v>0.44400000000000123</v>
      </c>
      <c r="H738" s="407">
        <f t="shared" si="39"/>
        <v>0.44400000000000123</v>
      </c>
      <c r="I738" s="407">
        <f t="shared" si="39"/>
        <v>-0.19713600000000109</v>
      </c>
      <c r="J738" s="407">
        <f t="shared" si="39"/>
        <v>0.13129257600000108</v>
      </c>
      <c r="K738" s="589">
        <f t="shared" si="38"/>
        <v>0.37815657600000119</v>
      </c>
    </row>
    <row r="739" spans="7:11" customFormat="1" x14ac:dyDescent="0.25">
      <c r="G739" s="589">
        <f t="shared" si="40"/>
        <v>0.44600000000000123</v>
      </c>
      <c r="H739" s="407">
        <f t="shared" si="39"/>
        <v>0.44600000000000123</v>
      </c>
      <c r="I739" s="407">
        <f t="shared" si="39"/>
        <v>-0.19891600000000109</v>
      </c>
      <c r="J739" s="407">
        <f t="shared" si="39"/>
        <v>0.1330748040000011</v>
      </c>
      <c r="K739" s="589">
        <f t="shared" si="38"/>
        <v>0.38015880400000124</v>
      </c>
    </row>
    <row r="740" spans="7:11" customFormat="1" x14ac:dyDescent="0.25">
      <c r="G740" s="589">
        <f t="shared" si="40"/>
        <v>0.44800000000000123</v>
      </c>
      <c r="H740" s="407">
        <f t="shared" si="39"/>
        <v>0.44800000000000123</v>
      </c>
      <c r="I740" s="407">
        <f t="shared" si="39"/>
        <v>-0.2007040000000011</v>
      </c>
      <c r="J740" s="407">
        <f t="shared" si="39"/>
        <v>0.13487308800000111</v>
      </c>
      <c r="K740" s="589">
        <f t="shared" si="38"/>
        <v>0.38216908800000127</v>
      </c>
    </row>
    <row r="741" spans="7:11" customFormat="1" x14ac:dyDescent="0.25">
      <c r="G741" s="589">
        <f t="shared" si="40"/>
        <v>0.45000000000000123</v>
      </c>
      <c r="H741" s="407">
        <f t="shared" si="39"/>
        <v>0.45000000000000123</v>
      </c>
      <c r="I741" s="407">
        <f t="shared" si="39"/>
        <v>-0.2025000000000011</v>
      </c>
      <c r="J741" s="407">
        <f t="shared" si="39"/>
        <v>0.13668750000000113</v>
      </c>
      <c r="K741" s="589">
        <f t="shared" si="38"/>
        <v>0.38418750000000124</v>
      </c>
    </row>
    <row r="742" spans="7:11" customFormat="1" x14ac:dyDescent="0.25">
      <c r="G742" s="589">
        <f t="shared" si="40"/>
        <v>0.45200000000000123</v>
      </c>
      <c r="H742" s="407">
        <f t="shared" si="39"/>
        <v>0.45200000000000123</v>
      </c>
      <c r="I742" s="407">
        <f t="shared" si="39"/>
        <v>-0.20430400000000112</v>
      </c>
      <c r="J742" s="407">
        <f t="shared" si="39"/>
        <v>0.13851811200000114</v>
      </c>
      <c r="K742" s="589">
        <f t="shared" si="38"/>
        <v>0.38621411200000122</v>
      </c>
    </row>
    <row r="743" spans="7:11" customFormat="1" x14ac:dyDescent="0.25">
      <c r="G743" s="589">
        <f t="shared" si="40"/>
        <v>0.45400000000000124</v>
      </c>
      <c r="H743" s="407">
        <f t="shared" si="39"/>
        <v>0.45400000000000124</v>
      </c>
      <c r="I743" s="407">
        <f t="shared" si="39"/>
        <v>-0.20611600000000113</v>
      </c>
      <c r="J743" s="407">
        <f t="shared" si="39"/>
        <v>0.14036499600000116</v>
      </c>
      <c r="K743" s="589">
        <f t="shared" si="38"/>
        <v>0.38824899600000129</v>
      </c>
    </row>
    <row r="744" spans="7:11" customFormat="1" x14ac:dyDescent="0.25">
      <c r="G744" s="589">
        <f t="shared" si="40"/>
        <v>0.45600000000000124</v>
      </c>
      <c r="H744" s="407">
        <f t="shared" si="39"/>
        <v>0.45600000000000124</v>
      </c>
      <c r="I744" s="407">
        <f t="shared" si="39"/>
        <v>-0.20793600000000112</v>
      </c>
      <c r="J744" s="407">
        <f t="shared" si="39"/>
        <v>0.14222822400000115</v>
      </c>
      <c r="K744" s="589">
        <f t="shared" si="38"/>
        <v>0.3902922240000013</v>
      </c>
    </row>
    <row r="745" spans="7:11" customFormat="1" x14ac:dyDescent="0.25">
      <c r="G745" s="589">
        <f t="shared" si="40"/>
        <v>0.45800000000000124</v>
      </c>
      <c r="H745" s="407">
        <f t="shared" si="39"/>
        <v>0.45800000000000124</v>
      </c>
      <c r="I745" s="407">
        <f t="shared" si="39"/>
        <v>-0.20976400000000114</v>
      </c>
      <c r="J745" s="407">
        <f t="shared" si="39"/>
        <v>0.14410786800000117</v>
      </c>
      <c r="K745" s="589">
        <f t="shared" si="38"/>
        <v>0.39234386800000126</v>
      </c>
    </row>
    <row r="746" spans="7:11" customFormat="1" x14ac:dyDescent="0.25">
      <c r="G746" s="589">
        <f t="shared" si="40"/>
        <v>0.46000000000000124</v>
      </c>
      <c r="H746" s="407">
        <f t="shared" si="39"/>
        <v>0.46000000000000124</v>
      </c>
      <c r="I746" s="407">
        <f t="shared" si="39"/>
        <v>-0.21160000000000115</v>
      </c>
      <c r="J746" s="407">
        <f t="shared" si="39"/>
        <v>0.14600400000000119</v>
      </c>
      <c r="K746" s="589">
        <f t="shared" si="38"/>
        <v>0.39440400000000131</v>
      </c>
    </row>
    <row r="747" spans="7:11" customFormat="1" x14ac:dyDescent="0.25">
      <c r="G747" s="589">
        <f t="shared" si="40"/>
        <v>0.46200000000000124</v>
      </c>
      <c r="H747" s="407">
        <f t="shared" si="39"/>
        <v>0.46200000000000124</v>
      </c>
      <c r="I747" s="407">
        <f t="shared" si="39"/>
        <v>-0.21344400000000116</v>
      </c>
      <c r="J747" s="407">
        <f t="shared" si="39"/>
        <v>0.14791669200000121</v>
      </c>
      <c r="K747" s="589">
        <f t="shared" si="38"/>
        <v>0.39647269200000129</v>
      </c>
    </row>
    <row r="748" spans="7:11" customFormat="1" x14ac:dyDescent="0.25">
      <c r="G748" s="589">
        <f t="shared" si="40"/>
        <v>0.46400000000000124</v>
      </c>
      <c r="H748" s="407">
        <f t="shared" si="39"/>
        <v>0.46400000000000124</v>
      </c>
      <c r="I748" s="407">
        <f t="shared" si="39"/>
        <v>-0.21529600000000115</v>
      </c>
      <c r="J748" s="407">
        <f t="shared" si="39"/>
        <v>0.14984601600000122</v>
      </c>
      <c r="K748" s="589">
        <f t="shared" si="38"/>
        <v>0.39855001600000128</v>
      </c>
    </row>
    <row r="749" spans="7:11" customFormat="1" x14ac:dyDescent="0.25">
      <c r="G749" s="589">
        <f t="shared" si="40"/>
        <v>0.46600000000000125</v>
      </c>
      <c r="H749" s="407">
        <f t="shared" si="39"/>
        <v>0.46600000000000125</v>
      </c>
      <c r="I749" s="407">
        <f t="shared" si="39"/>
        <v>-0.21715600000000115</v>
      </c>
      <c r="J749" s="407">
        <f t="shared" si="39"/>
        <v>0.15179204400000121</v>
      </c>
      <c r="K749" s="589">
        <f t="shared" si="38"/>
        <v>0.4006360440000013</v>
      </c>
    </row>
    <row r="750" spans="7:11" customFormat="1" x14ac:dyDescent="0.25">
      <c r="G750" s="589">
        <f t="shared" si="40"/>
        <v>0.46800000000000125</v>
      </c>
      <c r="H750" s="407">
        <f t="shared" si="39"/>
        <v>0.46800000000000125</v>
      </c>
      <c r="I750" s="407">
        <f t="shared" si="39"/>
        <v>-0.21902400000000116</v>
      </c>
      <c r="J750" s="407">
        <f t="shared" si="39"/>
        <v>0.15375484800000122</v>
      </c>
      <c r="K750" s="589">
        <f t="shared" si="38"/>
        <v>0.40273084800000131</v>
      </c>
    </row>
    <row r="751" spans="7:11" customFormat="1" x14ac:dyDescent="0.25">
      <c r="G751" s="589">
        <f t="shared" si="40"/>
        <v>0.47000000000000125</v>
      </c>
      <c r="H751" s="407">
        <f t="shared" si="39"/>
        <v>0.47000000000000125</v>
      </c>
      <c r="I751" s="407">
        <f t="shared" si="39"/>
        <v>-0.22090000000000118</v>
      </c>
      <c r="J751" s="407">
        <f t="shared" si="39"/>
        <v>0.15573450000000125</v>
      </c>
      <c r="K751" s="589">
        <f t="shared" si="38"/>
        <v>0.40483450000000132</v>
      </c>
    </row>
    <row r="752" spans="7:11" customFormat="1" x14ac:dyDescent="0.25">
      <c r="G752" s="589">
        <f t="shared" si="40"/>
        <v>0.47200000000000125</v>
      </c>
      <c r="H752" s="407">
        <f t="shared" si="39"/>
        <v>0.47200000000000125</v>
      </c>
      <c r="I752" s="407">
        <f t="shared" si="39"/>
        <v>-0.22278400000000118</v>
      </c>
      <c r="J752" s="407">
        <f t="shared" si="39"/>
        <v>0.15773107200000125</v>
      </c>
      <c r="K752" s="589">
        <f t="shared" si="38"/>
        <v>0.40694707200000135</v>
      </c>
    </row>
    <row r="753" spans="7:11" customFormat="1" x14ac:dyDescent="0.25">
      <c r="G753" s="589">
        <f t="shared" si="40"/>
        <v>0.47400000000000125</v>
      </c>
      <c r="H753" s="407">
        <f t="shared" si="39"/>
        <v>0.47400000000000125</v>
      </c>
      <c r="I753" s="407">
        <f t="shared" si="39"/>
        <v>-0.22467600000000118</v>
      </c>
      <c r="J753" s="407">
        <f t="shared" si="39"/>
        <v>0.15974463600000124</v>
      </c>
      <c r="K753" s="589">
        <f t="shared" si="38"/>
        <v>0.40906863600000132</v>
      </c>
    </row>
    <row r="754" spans="7:11" customFormat="1" x14ac:dyDescent="0.25">
      <c r="G754" s="589">
        <f t="shared" si="40"/>
        <v>0.47600000000000126</v>
      </c>
      <c r="H754" s="407">
        <f t="shared" si="39"/>
        <v>0.47600000000000126</v>
      </c>
      <c r="I754" s="407">
        <f t="shared" si="39"/>
        <v>-0.22657600000000119</v>
      </c>
      <c r="J754" s="407">
        <f t="shared" si="39"/>
        <v>0.16177526400000128</v>
      </c>
      <c r="K754" s="589">
        <f t="shared" si="38"/>
        <v>0.41119926400000134</v>
      </c>
    </row>
    <row r="755" spans="7:11" customFormat="1" x14ac:dyDescent="0.25">
      <c r="G755" s="589">
        <f t="shared" si="40"/>
        <v>0.47800000000000126</v>
      </c>
      <c r="H755" s="407">
        <f t="shared" si="39"/>
        <v>0.47800000000000126</v>
      </c>
      <c r="I755" s="407">
        <f t="shared" si="39"/>
        <v>-0.22848400000000121</v>
      </c>
      <c r="J755" s="407">
        <f t="shared" si="39"/>
        <v>0.16382302800000129</v>
      </c>
      <c r="K755" s="589">
        <f t="shared" si="38"/>
        <v>0.41333902800000133</v>
      </c>
    </row>
    <row r="756" spans="7:11" customFormat="1" x14ac:dyDescent="0.25">
      <c r="G756" s="589">
        <f t="shared" si="40"/>
        <v>0.48000000000000126</v>
      </c>
      <c r="H756" s="407">
        <f t="shared" si="39"/>
        <v>0.48000000000000126</v>
      </c>
      <c r="I756" s="407">
        <f t="shared" si="39"/>
        <v>-0.23040000000000121</v>
      </c>
      <c r="J756" s="407">
        <f t="shared" si="39"/>
        <v>0.16588800000000131</v>
      </c>
      <c r="K756" s="589">
        <f t="shared" si="38"/>
        <v>0.41548800000000136</v>
      </c>
    </row>
    <row r="757" spans="7:11" customFormat="1" x14ac:dyDescent="0.25">
      <c r="G757" s="589">
        <f t="shared" si="40"/>
        <v>0.48200000000000126</v>
      </c>
      <c r="H757" s="407">
        <f t="shared" si="39"/>
        <v>0.48200000000000126</v>
      </c>
      <c r="I757" s="407">
        <f t="shared" si="39"/>
        <v>-0.23232400000000122</v>
      </c>
      <c r="J757" s="407">
        <f t="shared" si="39"/>
        <v>0.16797025200000135</v>
      </c>
      <c r="K757" s="589">
        <f t="shared" ref="K757:K820" si="41">SUM(H757:J757)</f>
        <v>0.41764625200000138</v>
      </c>
    </row>
    <row r="758" spans="7:11" customFormat="1" x14ac:dyDescent="0.25">
      <c r="G758" s="589">
        <f t="shared" si="40"/>
        <v>0.48400000000000126</v>
      </c>
      <c r="H758" s="407">
        <f t="shared" si="39"/>
        <v>0.48400000000000126</v>
      </c>
      <c r="I758" s="407">
        <f t="shared" si="39"/>
        <v>-0.23425600000000121</v>
      </c>
      <c r="J758" s="407">
        <f t="shared" si="39"/>
        <v>0.17006985600000132</v>
      </c>
      <c r="K758" s="589">
        <f t="shared" si="41"/>
        <v>0.41981385600000137</v>
      </c>
    </row>
    <row r="759" spans="7:11" customFormat="1" x14ac:dyDescent="0.25">
      <c r="G759" s="589">
        <f t="shared" si="40"/>
        <v>0.48600000000000126</v>
      </c>
      <c r="H759" s="407">
        <f t="shared" si="39"/>
        <v>0.48600000000000126</v>
      </c>
      <c r="I759" s="407">
        <f t="shared" si="39"/>
        <v>-0.23619600000000124</v>
      </c>
      <c r="J759" s="407">
        <f t="shared" si="39"/>
        <v>0.17218688400000134</v>
      </c>
      <c r="K759" s="589">
        <f t="shared" si="41"/>
        <v>0.4219908840000014</v>
      </c>
    </row>
    <row r="760" spans="7:11" customFormat="1" x14ac:dyDescent="0.25">
      <c r="G760" s="589">
        <f t="shared" si="40"/>
        <v>0.48800000000000127</v>
      </c>
      <c r="H760" s="407">
        <f t="shared" si="39"/>
        <v>0.48800000000000127</v>
      </c>
      <c r="I760" s="407">
        <f t="shared" si="39"/>
        <v>-0.23814400000000124</v>
      </c>
      <c r="J760" s="407">
        <f t="shared" si="39"/>
        <v>0.17432140800000137</v>
      </c>
      <c r="K760" s="589">
        <f t="shared" si="41"/>
        <v>0.42417740800000137</v>
      </c>
    </row>
    <row r="761" spans="7:11" customFormat="1" x14ac:dyDescent="0.25">
      <c r="G761" s="589">
        <f t="shared" si="40"/>
        <v>0.49000000000000127</v>
      </c>
      <c r="H761" s="407">
        <f t="shared" si="39"/>
        <v>0.49000000000000127</v>
      </c>
      <c r="I761" s="407">
        <f t="shared" si="39"/>
        <v>-0.24010000000000123</v>
      </c>
      <c r="J761" s="407">
        <f t="shared" si="39"/>
        <v>0.17647350000000137</v>
      </c>
      <c r="K761" s="589">
        <f t="shared" si="41"/>
        <v>0.4263735000000014</v>
      </c>
    </row>
    <row r="762" spans="7:11" customFormat="1" x14ac:dyDescent="0.25">
      <c r="G762" s="589">
        <f t="shared" si="40"/>
        <v>0.49200000000000127</v>
      </c>
      <c r="H762" s="407">
        <f t="shared" ref="H762:J825" si="42">($G762^H$15*(-H$15)^(-1+H$15))/FACT(H$15)</f>
        <v>0.49200000000000127</v>
      </c>
      <c r="I762" s="407">
        <f t="shared" si="42"/>
        <v>-0.24206400000000125</v>
      </c>
      <c r="J762" s="407">
        <f t="shared" si="42"/>
        <v>0.1786432320000014</v>
      </c>
      <c r="K762" s="589">
        <f t="shared" si="41"/>
        <v>0.42857923200000142</v>
      </c>
    </row>
    <row r="763" spans="7:11" customFormat="1" x14ac:dyDescent="0.25">
      <c r="G763" s="589">
        <f t="shared" si="40"/>
        <v>0.49400000000000127</v>
      </c>
      <c r="H763" s="407">
        <f t="shared" si="42"/>
        <v>0.49400000000000127</v>
      </c>
      <c r="I763" s="407">
        <f t="shared" si="42"/>
        <v>-0.24403600000000125</v>
      </c>
      <c r="J763" s="407">
        <f t="shared" si="42"/>
        <v>0.18083067600000138</v>
      </c>
      <c r="K763" s="589">
        <f t="shared" si="41"/>
        <v>0.43079467600000143</v>
      </c>
    </row>
    <row r="764" spans="7:11" customFormat="1" x14ac:dyDescent="0.25">
      <c r="G764" s="589">
        <f t="shared" si="40"/>
        <v>0.49600000000000127</v>
      </c>
      <c r="H764" s="407">
        <f t="shared" si="42"/>
        <v>0.49600000000000127</v>
      </c>
      <c r="I764" s="407">
        <f t="shared" si="42"/>
        <v>-0.24601600000000126</v>
      </c>
      <c r="J764" s="407">
        <f t="shared" si="42"/>
        <v>0.18303590400000144</v>
      </c>
      <c r="K764" s="589">
        <f t="shared" si="41"/>
        <v>0.43301990400000145</v>
      </c>
    </row>
    <row r="765" spans="7:11" customFormat="1" x14ac:dyDescent="0.25">
      <c r="G765" s="589">
        <f t="shared" si="40"/>
        <v>0.49800000000000127</v>
      </c>
      <c r="H765" s="407">
        <f t="shared" si="42"/>
        <v>0.49800000000000127</v>
      </c>
      <c r="I765" s="407">
        <f t="shared" si="42"/>
        <v>-0.24800400000000128</v>
      </c>
      <c r="J765" s="407">
        <f t="shared" si="42"/>
        <v>0.18525898800000143</v>
      </c>
      <c r="K765" s="589">
        <f t="shared" si="41"/>
        <v>0.4352549880000014</v>
      </c>
    </row>
    <row r="766" spans="7:11" customFormat="1" x14ac:dyDescent="0.25">
      <c r="G766" s="589">
        <f t="shared" si="40"/>
        <v>0.50000000000000122</v>
      </c>
      <c r="H766" s="407">
        <f t="shared" si="42"/>
        <v>0.50000000000000122</v>
      </c>
      <c r="I766" s="407">
        <f t="shared" si="42"/>
        <v>-0.25000000000000122</v>
      </c>
      <c r="J766" s="407">
        <f t="shared" si="42"/>
        <v>0.18750000000000136</v>
      </c>
      <c r="K766" s="589">
        <f t="shared" si="41"/>
        <v>0.43750000000000133</v>
      </c>
    </row>
    <row r="767" spans="7:11" customFormat="1" x14ac:dyDescent="0.25">
      <c r="G767" s="589">
        <f t="shared" si="40"/>
        <v>0.50200000000000122</v>
      </c>
      <c r="H767" s="407">
        <f t="shared" si="42"/>
        <v>0.50200000000000122</v>
      </c>
      <c r="I767" s="407">
        <f t="shared" si="42"/>
        <v>-0.25200400000000123</v>
      </c>
      <c r="J767" s="407">
        <f t="shared" si="42"/>
        <v>0.18975901200000136</v>
      </c>
      <c r="K767" s="589">
        <f t="shared" si="41"/>
        <v>0.43975501200000133</v>
      </c>
    </row>
    <row r="768" spans="7:11" customFormat="1" x14ac:dyDescent="0.25">
      <c r="G768" s="589">
        <f t="shared" si="40"/>
        <v>0.50400000000000122</v>
      </c>
      <c r="H768" s="407">
        <f t="shared" si="42"/>
        <v>0.50400000000000122</v>
      </c>
      <c r="I768" s="407">
        <f t="shared" si="42"/>
        <v>-0.25401600000000124</v>
      </c>
      <c r="J768" s="407">
        <f t="shared" si="42"/>
        <v>0.19203609600000141</v>
      </c>
      <c r="K768" s="589">
        <f t="shared" si="41"/>
        <v>0.44202009600000136</v>
      </c>
    </row>
    <row r="769" spans="7:11" customFormat="1" x14ac:dyDescent="0.25">
      <c r="G769" s="589">
        <f t="shared" si="40"/>
        <v>0.50600000000000123</v>
      </c>
      <c r="H769" s="407">
        <f t="shared" si="42"/>
        <v>0.50600000000000123</v>
      </c>
      <c r="I769" s="407">
        <f t="shared" si="42"/>
        <v>-0.25603600000000126</v>
      </c>
      <c r="J769" s="407">
        <f t="shared" si="42"/>
        <v>0.19433132400000142</v>
      </c>
      <c r="K769" s="589">
        <f t="shared" si="41"/>
        <v>0.44429532400000138</v>
      </c>
    </row>
    <row r="770" spans="7:11" customFormat="1" x14ac:dyDescent="0.25">
      <c r="G770" s="589">
        <f t="shared" si="40"/>
        <v>0.50800000000000123</v>
      </c>
      <c r="H770" s="407">
        <f t="shared" si="42"/>
        <v>0.50800000000000123</v>
      </c>
      <c r="I770" s="407">
        <f t="shared" si="42"/>
        <v>-0.25806400000000124</v>
      </c>
      <c r="J770" s="407">
        <f t="shared" si="42"/>
        <v>0.19664476800000141</v>
      </c>
      <c r="K770" s="589">
        <f t="shared" si="41"/>
        <v>0.4465807680000014</v>
      </c>
    </row>
    <row r="771" spans="7:11" customFormat="1" x14ac:dyDescent="0.25">
      <c r="G771" s="589">
        <f t="shared" si="40"/>
        <v>0.51000000000000123</v>
      </c>
      <c r="H771" s="407">
        <f t="shared" si="42"/>
        <v>0.51000000000000123</v>
      </c>
      <c r="I771" s="407">
        <f t="shared" si="42"/>
        <v>-0.26010000000000127</v>
      </c>
      <c r="J771" s="407">
        <f t="shared" si="42"/>
        <v>0.19897650000000144</v>
      </c>
      <c r="K771" s="589">
        <f t="shared" si="41"/>
        <v>0.4488765000000014</v>
      </c>
    </row>
    <row r="772" spans="7:11" customFormat="1" x14ac:dyDescent="0.25">
      <c r="G772" s="589">
        <f t="shared" si="40"/>
        <v>0.51200000000000123</v>
      </c>
      <c r="H772" s="407">
        <f t="shared" si="42"/>
        <v>0.51200000000000123</v>
      </c>
      <c r="I772" s="407">
        <f t="shared" si="42"/>
        <v>-0.26214400000000126</v>
      </c>
      <c r="J772" s="407">
        <f t="shared" si="42"/>
        <v>0.20132659200000147</v>
      </c>
      <c r="K772" s="589">
        <f t="shared" si="41"/>
        <v>0.45118259200000144</v>
      </c>
    </row>
    <row r="773" spans="7:11" customFormat="1" x14ac:dyDescent="0.25">
      <c r="G773" s="589">
        <f t="shared" si="40"/>
        <v>0.51400000000000123</v>
      </c>
      <c r="H773" s="407">
        <f t="shared" si="42"/>
        <v>0.51400000000000123</v>
      </c>
      <c r="I773" s="407">
        <f t="shared" si="42"/>
        <v>-0.26419600000000126</v>
      </c>
      <c r="J773" s="407">
        <f t="shared" si="42"/>
        <v>0.20369511600000145</v>
      </c>
      <c r="K773" s="589">
        <f t="shared" si="41"/>
        <v>0.45349911600000142</v>
      </c>
    </row>
    <row r="774" spans="7:11" customFormat="1" x14ac:dyDescent="0.25">
      <c r="G774" s="589">
        <f t="shared" si="40"/>
        <v>0.51600000000000124</v>
      </c>
      <c r="H774" s="407">
        <f t="shared" si="42"/>
        <v>0.51600000000000124</v>
      </c>
      <c r="I774" s="407">
        <f t="shared" si="42"/>
        <v>-0.26625600000000127</v>
      </c>
      <c r="J774" s="407">
        <f t="shared" si="42"/>
        <v>0.20608214400000147</v>
      </c>
      <c r="K774" s="589">
        <f t="shared" si="41"/>
        <v>0.45582614400000143</v>
      </c>
    </row>
    <row r="775" spans="7:11" customFormat="1" x14ac:dyDescent="0.25">
      <c r="G775" s="589">
        <f t="shared" si="40"/>
        <v>0.51800000000000124</v>
      </c>
      <c r="H775" s="407">
        <f t="shared" si="42"/>
        <v>0.51800000000000124</v>
      </c>
      <c r="I775" s="407">
        <f t="shared" si="42"/>
        <v>-0.26832400000000128</v>
      </c>
      <c r="J775" s="407">
        <f t="shared" si="42"/>
        <v>0.2084877480000015</v>
      </c>
      <c r="K775" s="589">
        <f t="shared" si="41"/>
        <v>0.45816374800000148</v>
      </c>
    </row>
    <row r="776" spans="7:11" customFormat="1" x14ac:dyDescent="0.25">
      <c r="G776" s="589">
        <f t="shared" si="40"/>
        <v>0.52000000000000124</v>
      </c>
      <c r="H776" s="407">
        <f t="shared" si="42"/>
        <v>0.52000000000000124</v>
      </c>
      <c r="I776" s="407">
        <f t="shared" si="42"/>
        <v>-0.27040000000000131</v>
      </c>
      <c r="J776" s="407">
        <f t="shared" si="42"/>
        <v>0.21091200000000151</v>
      </c>
      <c r="K776" s="589">
        <f t="shared" si="41"/>
        <v>0.46051200000000148</v>
      </c>
    </row>
    <row r="777" spans="7:11" customFormat="1" x14ac:dyDescent="0.25">
      <c r="G777" s="589">
        <f t="shared" si="40"/>
        <v>0.52200000000000124</v>
      </c>
      <c r="H777" s="407">
        <f t="shared" si="42"/>
        <v>0.52200000000000124</v>
      </c>
      <c r="I777" s="407">
        <f t="shared" si="42"/>
        <v>-0.27248400000000128</v>
      </c>
      <c r="J777" s="407">
        <f t="shared" si="42"/>
        <v>0.21335497200000153</v>
      </c>
      <c r="K777" s="589">
        <f t="shared" si="41"/>
        <v>0.46287097200000149</v>
      </c>
    </row>
    <row r="778" spans="7:11" customFormat="1" x14ac:dyDescent="0.25">
      <c r="G778" s="589">
        <f t="shared" si="40"/>
        <v>0.52400000000000124</v>
      </c>
      <c r="H778" s="407">
        <f t="shared" si="42"/>
        <v>0.52400000000000124</v>
      </c>
      <c r="I778" s="407">
        <f t="shared" si="42"/>
        <v>-0.27457600000000132</v>
      </c>
      <c r="J778" s="407">
        <f t="shared" si="42"/>
        <v>0.21581673600000154</v>
      </c>
      <c r="K778" s="589">
        <f t="shared" si="41"/>
        <v>0.46524073600000149</v>
      </c>
    </row>
    <row r="779" spans="7:11" customFormat="1" x14ac:dyDescent="0.25">
      <c r="G779" s="589">
        <f t="shared" si="40"/>
        <v>0.52600000000000124</v>
      </c>
      <c r="H779" s="407">
        <f t="shared" si="42"/>
        <v>0.52600000000000124</v>
      </c>
      <c r="I779" s="407">
        <f t="shared" si="42"/>
        <v>-0.27667600000000131</v>
      </c>
      <c r="J779" s="407">
        <f t="shared" si="42"/>
        <v>0.21829736400000155</v>
      </c>
      <c r="K779" s="589">
        <f t="shared" si="41"/>
        <v>0.46762136400000148</v>
      </c>
    </row>
    <row r="780" spans="7:11" customFormat="1" x14ac:dyDescent="0.25">
      <c r="G780" s="589">
        <f t="shared" si="40"/>
        <v>0.52800000000000125</v>
      </c>
      <c r="H780" s="407">
        <f t="shared" si="42"/>
        <v>0.52800000000000125</v>
      </c>
      <c r="I780" s="407">
        <f t="shared" si="42"/>
        <v>-0.27878400000000131</v>
      </c>
      <c r="J780" s="407">
        <f t="shared" si="42"/>
        <v>0.22079692800000159</v>
      </c>
      <c r="K780" s="589">
        <f t="shared" si="41"/>
        <v>0.4700129280000015</v>
      </c>
    </row>
    <row r="781" spans="7:11" customFormat="1" x14ac:dyDescent="0.25">
      <c r="G781" s="589">
        <f t="shared" si="40"/>
        <v>0.53000000000000125</v>
      </c>
      <c r="H781" s="407">
        <f t="shared" si="42"/>
        <v>0.53000000000000125</v>
      </c>
      <c r="I781" s="407">
        <f t="shared" si="42"/>
        <v>-0.28090000000000132</v>
      </c>
      <c r="J781" s="407">
        <f t="shared" si="42"/>
        <v>0.22331550000000155</v>
      </c>
      <c r="K781" s="589">
        <f t="shared" si="41"/>
        <v>0.47241550000000149</v>
      </c>
    </row>
    <row r="782" spans="7:11" customFormat="1" x14ac:dyDescent="0.25">
      <c r="G782" s="589">
        <f t="shared" si="40"/>
        <v>0.53200000000000125</v>
      </c>
      <c r="H782" s="407">
        <f t="shared" si="42"/>
        <v>0.53200000000000125</v>
      </c>
      <c r="I782" s="407">
        <f t="shared" si="42"/>
        <v>-0.28302400000000133</v>
      </c>
      <c r="J782" s="407">
        <f t="shared" si="42"/>
        <v>0.22585315200000164</v>
      </c>
      <c r="K782" s="589">
        <f t="shared" si="41"/>
        <v>0.47482915200000153</v>
      </c>
    </row>
    <row r="783" spans="7:11" customFormat="1" x14ac:dyDescent="0.25">
      <c r="G783" s="589">
        <f t="shared" si="40"/>
        <v>0.53400000000000125</v>
      </c>
      <c r="H783" s="407">
        <f t="shared" si="42"/>
        <v>0.53400000000000125</v>
      </c>
      <c r="I783" s="407">
        <f t="shared" si="42"/>
        <v>-0.28515600000000135</v>
      </c>
      <c r="J783" s="407">
        <f t="shared" si="42"/>
        <v>0.22840995600000161</v>
      </c>
      <c r="K783" s="589">
        <f t="shared" si="41"/>
        <v>0.47725395600000153</v>
      </c>
    </row>
    <row r="784" spans="7:11" customFormat="1" x14ac:dyDescent="0.25">
      <c r="G784" s="589">
        <f t="shared" si="40"/>
        <v>0.53600000000000125</v>
      </c>
      <c r="H784" s="407">
        <f t="shared" si="42"/>
        <v>0.53600000000000125</v>
      </c>
      <c r="I784" s="407">
        <f t="shared" si="42"/>
        <v>-0.28729600000000133</v>
      </c>
      <c r="J784" s="407">
        <f t="shared" si="42"/>
        <v>0.23098598400000159</v>
      </c>
      <c r="K784" s="589">
        <f t="shared" si="41"/>
        <v>0.47968998400000151</v>
      </c>
    </row>
    <row r="785" spans="7:11" customFormat="1" x14ac:dyDescent="0.25">
      <c r="G785" s="589">
        <f t="shared" ref="G785:G848" si="43">G784+$K$14</f>
        <v>0.53800000000000125</v>
      </c>
      <c r="H785" s="407">
        <f t="shared" si="42"/>
        <v>0.53800000000000125</v>
      </c>
      <c r="I785" s="407">
        <f t="shared" si="42"/>
        <v>-0.28944400000000137</v>
      </c>
      <c r="J785" s="407">
        <f t="shared" si="42"/>
        <v>0.23358130800000165</v>
      </c>
      <c r="K785" s="589">
        <f t="shared" si="41"/>
        <v>0.48213730800000154</v>
      </c>
    </row>
    <row r="786" spans="7:11" customFormat="1" x14ac:dyDescent="0.25">
      <c r="G786" s="589">
        <f t="shared" si="43"/>
        <v>0.54000000000000126</v>
      </c>
      <c r="H786" s="407">
        <f t="shared" si="42"/>
        <v>0.54000000000000126</v>
      </c>
      <c r="I786" s="407">
        <f t="shared" si="42"/>
        <v>-0.29160000000000136</v>
      </c>
      <c r="J786" s="407">
        <f t="shared" si="42"/>
        <v>0.23619600000000165</v>
      </c>
      <c r="K786" s="589">
        <f t="shared" si="41"/>
        <v>0.48459600000000158</v>
      </c>
    </row>
    <row r="787" spans="7:11" customFormat="1" x14ac:dyDescent="0.25">
      <c r="G787" s="589">
        <f t="shared" si="43"/>
        <v>0.54200000000000126</v>
      </c>
      <c r="H787" s="407">
        <f t="shared" si="42"/>
        <v>0.54200000000000126</v>
      </c>
      <c r="I787" s="407">
        <f t="shared" si="42"/>
        <v>-0.29376400000000136</v>
      </c>
      <c r="J787" s="407">
        <f t="shared" si="42"/>
        <v>0.23883013200000161</v>
      </c>
      <c r="K787" s="589">
        <f t="shared" si="41"/>
        <v>0.48706613200000148</v>
      </c>
    </row>
    <row r="788" spans="7:11" customFormat="1" x14ac:dyDescent="0.25">
      <c r="G788" s="589">
        <f t="shared" si="43"/>
        <v>0.54400000000000126</v>
      </c>
      <c r="H788" s="407">
        <f t="shared" si="42"/>
        <v>0.54400000000000126</v>
      </c>
      <c r="I788" s="407">
        <f t="shared" si="42"/>
        <v>-0.29593600000000136</v>
      </c>
      <c r="J788" s="407">
        <f t="shared" si="42"/>
        <v>0.24148377600000168</v>
      </c>
      <c r="K788" s="589">
        <f t="shared" si="41"/>
        <v>0.48954777600000154</v>
      </c>
    </row>
    <row r="789" spans="7:11" customFormat="1" x14ac:dyDescent="0.25">
      <c r="G789" s="589">
        <f t="shared" si="43"/>
        <v>0.54600000000000126</v>
      </c>
      <c r="H789" s="407">
        <f t="shared" si="42"/>
        <v>0.54600000000000126</v>
      </c>
      <c r="I789" s="407">
        <f t="shared" si="42"/>
        <v>-0.29811600000000138</v>
      </c>
      <c r="J789" s="407">
        <f t="shared" si="42"/>
        <v>0.2441570040000017</v>
      </c>
      <c r="K789" s="589">
        <f t="shared" si="41"/>
        <v>0.49204100400000161</v>
      </c>
    </row>
    <row r="790" spans="7:11" customFormat="1" x14ac:dyDescent="0.25">
      <c r="G790" s="589">
        <f t="shared" si="43"/>
        <v>0.54800000000000126</v>
      </c>
      <c r="H790" s="407">
        <f t="shared" si="42"/>
        <v>0.54800000000000126</v>
      </c>
      <c r="I790" s="407">
        <f t="shared" si="42"/>
        <v>-0.3003040000000014</v>
      </c>
      <c r="J790" s="407">
        <f t="shared" si="42"/>
        <v>0.24684988800000174</v>
      </c>
      <c r="K790" s="589">
        <f t="shared" si="41"/>
        <v>0.4945458880000016</v>
      </c>
    </row>
    <row r="791" spans="7:11" customFormat="1" x14ac:dyDescent="0.25">
      <c r="G791" s="589">
        <f t="shared" si="43"/>
        <v>0.55000000000000127</v>
      </c>
      <c r="H791" s="407">
        <f t="shared" si="42"/>
        <v>0.55000000000000127</v>
      </c>
      <c r="I791" s="407">
        <f t="shared" si="42"/>
        <v>-0.30250000000000138</v>
      </c>
      <c r="J791" s="407">
        <f t="shared" si="42"/>
        <v>0.24956250000000169</v>
      </c>
      <c r="K791" s="589">
        <f t="shared" si="41"/>
        <v>0.49706250000000157</v>
      </c>
    </row>
    <row r="792" spans="7:11" customFormat="1" x14ac:dyDescent="0.25">
      <c r="G792" s="589">
        <f t="shared" si="43"/>
        <v>0.55200000000000127</v>
      </c>
      <c r="H792" s="407">
        <f t="shared" si="42"/>
        <v>0.55200000000000127</v>
      </c>
      <c r="I792" s="407">
        <f t="shared" si="42"/>
        <v>-0.30470400000000142</v>
      </c>
      <c r="J792" s="407">
        <f t="shared" si="42"/>
        <v>0.25229491200000176</v>
      </c>
      <c r="K792" s="589">
        <f t="shared" si="41"/>
        <v>0.49959091200000161</v>
      </c>
    </row>
    <row r="793" spans="7:11" customFormat="1" x14ac:dyDescent="0.25">
      <c r="G793" s="589">
        <f t="shared" si="43"/>
        <v>0.55400000000000127</v>
      </c>
      <c r="H793" s="407">
        <f t="shared" si="42"/>
        <v>0.55400000000000127</v>
      </c>
      <c r="I793" s="407">
        <f t="shared" si="42"/>
        <v>-0.30691600000000141</v>
      </c>
      <c r="J793" s="407">
        <f t="shared" si="42"/>
        <v>0.25504719600000175</v>
      </c>
      <c r="K793" s="589">
        <f t="shared" si="41"/>
        <v>0.50213119600000167</v>
      </c>
    </row>
    <row r="794" spans="7:11" customFormat="1" x14ac:dyDescent="0.25">
      <c r="G794" s="589">
        <f t="shared" si="43"/>
        <v>0.55600000000000127</v>
      </c>
      <c r="H794" s="407">
        <f t="shared" si="42"/>
        <v>0.55600000000000127</v>
      </c>
      <c r="I794" s="407">
        <f t="shared" si="42"/>
        <v>-0.30913600000000141</v>
      </c>
      <c r="J794" s="407">
        <f t="shared" si="42"/>
        <v>0.25781942400000174</v>
      </c>
      <c r="K794" s="589">
        <f t="shared" si="41"/>
        <v>0.50468342400000155</v>
      </c>
    </row>
    <row r="795" spans="7:11" customFormat="1" x14ac:dyDescent="0.25">
      <c r="G795" s="589">
        <f t="shared" si="43"/>
        <v>0.55800000000000127</v>
      </c>
      <c r="H795" s="407">
        <f t="shared" si="42"/>
        <v>0.55800000000000127</v>
      </c>
      <c r="I795" s="407">
        <f t="shared" si="42"/>
        <v>-0.31136400000000142</v>
      </c>
      <c r="J795" s="407">
        <f t="shared" si="42"/>
        <v>0.26061166800000179</v>
      </c>
      <c r="K795" s="589">
        <f t="shared" si="41"/>
        <v>0.50724766800000165</v>
      </c>
    </row>
    <row r="796" spans="7:11" customFormat="1" x14ac:dyDescent="0.25">
      <c r="G796" s="589">
        <f t="shared" si="43"/>
        <v>0.56000000000000127</v>
      </c>
      <c r="H796" s="407">
        <f t="shared" si="42"/>
        <v>0.56000000000000127</v>
      </c>
      <c r="I796" s="407">
        <f t="shared" si="42"/>
        <v>-0.31360000000000143</v>
      </c>
      <c r="J796" s="407">
        <f t="shared" si="42"/>
        <v>0.26342400000000182</v>
      </c>
      <c r="K796" s="589">
        <f t="shared" si="41"/>
        <v>0.50982400000000161</v>
      </c>
    </row>
    <row r="797" spans="7:11" customFormat="1" x14ac:dyDescent="0.25">
      <c r="G797" s="589">
        <f t="shared" si="43"/>
        <v>0.56200000000000128</v>
      </c>
      <c r="H797" s="407">
        <f t="shared" si="42"/>
        <v>0.56200000000000128</v>
      </c>
      <c r="I797" s="407">
        <f t="shared" si="42"/>
        <v>-0.31584400000000146</v>
      </c>
      <c r="J797" s="407">
        <f t="shared" si="42"/>
        <v>0.26625649200000184</v>
      </c>
      <c r="K797" s="589">
        <f t="shared" si="41"/>
        <v>0.51241249200000172</v>
      </c>
    </row>
    <row r="798" spans="7:11" customFormat="1" x14ac:dyDescent="0.25">
      <c r="G798" s="589">
        <f t="shared" si="43"/>
        <v>0.56400000000000128</v>
      </c>
      <c r="H798" s="407">
        <f t="shared" si="42"/>
        <v>0.56400000000000128</v>
      </c>
      <c r="I798" s="407">
        <f t="shared" si="42"/>
        <v>-0.31809600000000143</v>
      </c>
      <c r="J798" s="407">
        <f t="shared" si="42"/>
        <v>0.26910921600000182</v>
      </c>
      <c r="K798" s="589">
        <f t="shared" si="41"/>
        <v>0.51501321600000161</v>
      </c>
    </row>
    <row r="799" spans="7:11" customFormat="1" x14ac:dyDescent="0.25">
      <c r="G799" s="589">
        <f t="shared" si="43"/>
        <v>0.56600000000000128</v>
      </c>
      <c r="H799" s="407">
        <f t="shared" si="42"/>
        <v>0.56600000000000128</v>
      </c>
      <c r="I799" s="407">
        <f t="shared" si="42"/>
        <v>-0.32035600000000147</v>
      </c>
      <c r="J799" s="407">
        <f t="shared" si="42"/>
        <v>0.27198224400000187</v>
      </c>
      <c r="K799" s="589">
        <f t="shared" si="41"/>
        <v>0.51762624400000168</v>
      </c>
    </row>
    <row r="800" spans="7:11" customFormat="1" x14ac:dyDescent="0.25">
      <c r="G800" s="589">
        <f t="shared" si="43"/>
        <v>0.56800000000000128</v>
      </c>
      <c r="H800" s="407">
        <f t="shared" si="42"/>
        <v>0.56800000000000128</v>
      </c>
      <c r="I800" s="407">
        <f t="shared" si="42"/>
        <v>-0.32262400000000147</v>
      </c>
      <c r="J800" s="407">
        <f t="shared" si="42"/>
        <v>0.27487564800000186</v>
      </c>
      <c r="K800" s="589">
        <f t="shared" si="41"/>
        <v>0.52025164800000168</v>
      </c>
    </row>
    <row r="801" spans="7:11" customFormat="1" x14ac:dyDescent="0.25">
      <c r="G801" s="589">
        <f t="shared" si="43"/>
        <v>0.57000000000000128</v>
      </c>
      <c r="H801" s="407">
        <f t="shared" si="42"/>
        <v>0.57000000000000128</v>
      </c>
      <c r="I801" s="407">
        <f t="shared" si="42"/>
        <v>-0.32490000000000147</v>
      </c>
      <c r="J801" s="407">
        <f t="shared" si="42"/>
        <v>0.27778950000000185</v>
      </c>
      <c r="K801" s="589">
        <f t="shared" si="41"/>
        <v>0.52288950000000167</v>
      </c>
    </row>
    <row r="802" spans="7:11" customFormat="1" x14ac:dyDescent="0.25">
      <c r="G802" s="589">
        <f t="shared" si="43"/>
        <v>0.57200000000000129</v>
      </c>
      <c r="H802" s="407">
        <f t="shared" si="42"/>
        <v>0.57200000000000129</v>
      </c>
      <c r="I802" s="407">
        <f t="shared" si="42"/>
        <v>-0.32718400000000147</v>
      </c>
      <c r="J802" s="407">
        <f t="shared" si="42"/>
        <v>0.28072387200000187</v>
      </c>
      <c r="K802" s="589">
        <f t="shared" si="41"/>
        <v>0.52553987200000174</v>
      </c>
    </row>
    <row r="803" spans="7:11" customFormat="1" x14ac:dyDescent="0.25">
      <c r="G803" s="589">
        <f t="shared" si="43"/>
        <v>0.57400000000000129</v>
      </c>
      <c r="H803" s="407">
        <f t="shared" si="42"/>
        <v>0.57400000000000129</v>
      </c>
      <c r="I803" s="407">
        <f t="shared" si="42"/>
        <v>-0.32947600000000149</v>
      </c>
      <c r="J803" s="407">
        <f t="shared" si="42"/>
        <v>0.28367883600000193</v>
      </c>
      <c r="K803" s="589">
        <f t="shared" si="41"/>
        <v>0.52820283600000173</v>
      </c>
    </row>
    <row r="804" spans="7:11" customFormat="1" x14ac:dyDescent="0.25">
      <c r="G804" s="589">
        <f t="shared" si="43"/>
        <v>0.57600000000000129</v>
      </c>
      <c r="H804" s="407">
        <f t="shared" si="42"/>
        <v>0.57600000000000129</v>
      </c>
      <c r="I804" s="407">
        <f t="shared" si="42"/>
        <v>-0.33177600000000146</v>
      </c>
      <c r="J804" s="407">
        <f t="shared" si="42"/>
        <v>0.28665446400000189</v>
      </c>
      <c r="K804" s="589">
        <f t="shared" si="41"/>
        <v>0.53087846400000172</v>
      </c>
    </row>
    <row r="805" spans="7:11" customFormat="1" x14ac:dyDescent="0.25">
      <c r="G805" s="589">
        <f t="shared" si="43"/>
        <v>0.57800000000000129</v>
      </c>
      <c r="H805" s="407">
        <f t="shared" si="42"/>
        <v>0.57800000000000129</v>
      </c>
      <c r="I805" s="407">
        <f t="shared" si="42"/>
        <v>-0.33408400000000149</v>
      </c>
      <c r="J805" s="407">
        <f t="shared" si="42"/>
        <v>0.28965082800000191</v>
      </c>
      <c r="K805" s="589">
        <f t="shared" si="41"/>
        <v>0.53356682800000166</v>
      </c>
    </row>
    <row r="806" spans="7:11" customFormat="1" x14ac:dyDescent="0.25">
      <c r="G806" s="589">
        <f t="shared" si="43"/>
        <v>0.58000000000000129</v>
      </c>
      <c r="H806" s="407">
        <f t="shared" si="42"/>
        <v>0.58000000000000129</v>
      </c>
      <c r="I806" s="407">
        <f t="shared" si="42"/>
        <v>-0.33640000000000148</v>
      </c>
      <c r="J806" s="407">
        <f t="shared" si="42"/>
        <v>0.29266800000000193</v>
      </c>
      <c r="K806" s="589">
        <f t="shared" si="41"/>
        <v>0.53626800000000174</v>
      </c>
    </row>
    <row r="807" spans="7:11" customFormat="1" x14ac:dyDescent="0.25">
      <c r="G807" s="589">
        <f t="shared" si="43"/>
        <v>0.58200000000000129</v>
      </c>
      <c r="H807" s="407">
        <f t="shared" si="42"/>
        <v>0.58200000000000129</v>
      </c>
      <c r="I807" s="407">
        <f t="shared" si="42"/>
        <v>-0.33872400000000152</v>
      </c>
      <c r="J807" s="407">
        <f t="shared" si="42"/>
        <v>0.29570605200000194</v>
      </c>
      <c r="K807" s="589">
        <f t="shared" si="41"/>
        <v>0.53898205200000171</v>
      </c>
    </row>
    <row r="808" spans="7:11" customFormat="1" x14ac:dyDescent="0.25">
      <c r="G808" s="589">
        <f t="shared" si="43"/>
        <v>0.5840000000000013</v>
      </c>
      <c r="H808" s="407">
        <f t="shared" si="42"/>
        <v>0.5840000000000013</v>
      </c>
      <c r="I808" s="407">
        <f t="shared" si="42"/>
        <v>-0.34105600000000152</v>
      </c>
      <c r="J808" s="407">
        <f t="shared" si="42"/>
        <v>0.29876505600000203</v>
      </c>
      <c r="K808" s="589">
        <f t="shared" si="41"/>
        <v>0.54170905600000174</v>
      </c>
    </row>
    <row r="809" spans="7:11" customFormat="1" x14ac:dyDescent="0.25">
      <c r="G809" s="589">
        <f t="shared" si="43"/>
        <v>0.5860000000000013</v>
      </c>
      <c r="H809" s="407">
        <f t="shared" si="42"/>
        <v>0.5860000000000013</v>
      </c>
      <c r="I809" s="407">
        <f t="shared" si="42"/>
        <v>-0.34339600000000153</v>
      </c>
      <c r="J809" s="407">
        <f t="shared" si="42"/>
        <v>0.30184508400000204</v>
      </c>
      <c r="K809" s="589">
        <f t="shared" si="41"/>
        <v>0.5444490840000018</v>
      </c>
    </row>
    <row r="810" spans="7:11" customFormat="1" x14ac:dyDescent="0.25">
      <c r="G810" s="589">
        <f t="shared" si="43"/>
        <v>0.5880000000000013</v>
      </c>
      <c r="H810" s="407">
        <f t="shared" si="42"/>
        <v>0.5880000000000013</v>
      </c>
      <c r="I810" s="407">
        <f t="shared" si="42"/>
        <v>-0.34574400000000155</v>
      </c>
      <c r="J810" s="407">
        <f t="shared" si="42"/>
        <v>0.30494620800000205</v>
      </c>
      <c r="K810" s="589">
        <f t="shared" si="41"/>
        <v>0.54720220800000186</v>
      </c>
    </row>
    <row r="811" spans="7:11" customFormat="1" x14ac:dyDescent="0.25">
      <c r="G811" s="589">
        <f t="shared" si="43"/>
        <v>0.5900000000000013</v>
      </c>
      <c r="H811" s="407">
        <f t="shared" si="42"/>
        <v>0.5900000000000013</v>
      </c>
      <c r="I811" s="407">
        <f t="shared" si="42"/>
        <v>-0.34810000000000152</v>
      </c>
      <c r="J811" s="407">
        <f t="shared" si="42"/>
        <v>0.30806850000000202</v>
      </c>
      <c r="K811" s="589">
        <f t="shared" si="41"/>
        <v>0.54996850000000186</v>
      </c>
    </row>
    <row r="812" spans="7:11" customFormat="1" x14ac:dyDescent="0.25">
      <c r="G812" s="589">
        <f t="shared" si="43"/>
        <v>0.5920000000000013</v>
      </c>
      <c r="H812" s="407">
        <f t="shared" si="42"/>
        <v>0.5920000000000013</v>
      </c>
      <c r="I812" s="407">
        <f t="shared" si="42"/>
        <v>-0.35046400000000155</v>
      </c>
      <c r="J812" s="407">
        <f t="shared" si="42"/>
        <v>0.31121203200000208</v>
      </c>
      <c r="K812" s="589">
        <f t="shared" si="41"/>
        <v>0.55274803200000178</v>
      </c>
    </row>
    <row r="813" spans="7:11" customFormat="1" x14ac:dyDescent="0.25">
      <c r="G813" s="589">
        <f t="shared" si="43"/>
        <v>0.5940000000000013</v>
      </c>
      <c r="H813" s="407">
        <f t="shared" si="42"/>
        <v>0.5940000000000013</v>
      </c>
      <c r="I813" s="407">
        <f t="shared" si="42"/>
        <v>-0.35283600000000154</v>
      </c>
      <c r="J813" s="407">
        <f t="shared" si="42"/>
        <v>0.31437687600000208</v>
      </c>
      <c r="K813" s="589">
        <f t="shared" si="41"/>
        <v>0.55554087600000179</v>
      </c>
    </row>
    <row r="814" spans="7:11" customFormat="1" x14ac:dyDescent="0.25">
      <c r="G814" s="589">
        <f t="shared" si="43"/>
        <v>0.59600000000000131</v>
      </c>
      <c r="H814" s="407">
        <f t="shared" si="42"/>
        <v>0.59600000000000131</v>
      </c>
      <c r="I814" s="407">
        <f t="shared" si="42"/>
        <v>-0.35521600000000153</v>
      </c>
      <c r="J814" s="407">
        <f t="shared" si="42"/>
        <v>0.31756310400000204</v>
      </c>
      <c r="K814" s="589">
        <f t="shared" si="41"/>
        <v>0.55834710400000187</v>
      </c>
    </row>
    <row r="815" spans="7:11" customFormat="1" x14ac:dyDescent="0.25">
      <c r="G815" s="589">
        <f t="shared" si="43"/>
        <v>0.59800000000000131</v>
      </c>
      <c r="H815" s="407">
        <f t="shared" si="42"/>
        <v>0.59800000000000131</v>
      </c>
      <c r="I815" s="407">
        <f t="shared" si="42"/>
        <v>-0.35760400000000159</v>
      </c>
      <c r="J815" s="407">
        <f t="shared" si="42"/>
        <v>0.32077078800000208</v>
      </c>
      <c r="K815" s="589">
        <f t="shared" si="41"/>
        <v>0.56116678800000175</v>
      </c>
    </row>
    <row r="816" spans="7:11" customFormat="1" x14ac:dyDescent="0.25">
      <c r="G816" s="589">
        <f t="shared" si="43"/>
        <v>0.60000000000000131</v>
      </c>
      <c r="H816" s="407">
        <f t="shared" si="42"/>
        <v>0.60000000000000131</v>
      </c>
      <c r="I816" s="407">
        <f t="shared" si="42"/>
        <v>-0.3600000000000016</v>
      </c>
      <c r="J816" s="407">
        <f t="shared" si="42"/>
        <v>0.32400000000000218</v>
      </c>
      <c r="K816" s="589">
        <f t="shared" si="41"/>
        <v>0.56400000000000183</v>
      </c>
    </row>
    <row r="817" spans="7:11" customFormat="1" x14ac:dyDescent="0.25">
      <c r="G817" s="589">
        <f t="shared" si="43"/>
        <v>0.60200000000000131</v>
      </c>
      <c r="H817" s="407">
        <f t="shared" si="42"/>
        <v>0.60200000000000131</v>
      </c>
      <c r="I817" s="407">
        <f t="shared" si="42"/>
        <v>-0.36240400000000156</v>
      </c>
      <c r="J817" s="407">
        <f t="shared" si="42"/>
        <v>0.32725081200000211</v>
      </c>
      <c r="K817" s="589">
        <f t="shared" si="41"/>
        <v>0.56684681200000187</v>
      </c>
    </row>
    <row r="818" spans="7:11" customFormat="1" x14ac:dyDescent="0.25">
      <c r="G818" s="589">
        <f t="shared" si="43"/>
        <v>0.60400000000000131</v>
      </c>
      <c r="H818" s="407">
        <f t="shared" si="42"/>
        <v>0.60400000000000131</v>
      </c>
      <c r="I818" s="407">
        <f t="shared" si="42"/>
        <v>-0.36481600000000158</v>
      </c>
      <c r="J818" s="407">
        <f t="shared" si="42"/>
        <v>0.33052329600000219</v>
      </c>
      <c r="K818" s="589">
        <f t="shared" si="41"/>
        <v>0.56970729600000192</v>
      </c>
    </row>
    <row r="819" spans="7:11" customFormat="1" x14ac:dyDescent="0.25">
      <c r="G819" s="589">
        <f t="shared" si="43"/>
        <v>0.60600000000000132</v>
      </c>
      <c r="H819" s="407">
        <f t="shared" si="42"/>
        <v>0.60600000000000132</v>
      </c>
      <c r="I819" s="407">
        <f t="shared" si="42"/>
        <v>-0.36723600000000162</v>
      </c>
      <c r="J819" s="407">
        <f t="shared" si="42"/>
        <v>0.33381752400000214</v>
      </c>
      <c r="K819" s="589">
        <f t="shared" si="41"/>
        <v>0.57258152400000184</v>
      </c>
    </row>
    <row r="820" spans="7:11" customFormat="1" x14ac:dyDescent="0.25">
      <c r="G820" s="589">
        <f t="shared" si="43"/>
        <v>0.60800000000000132</v>
      </c>
      <c r="H820" s="407">
        <f t="shared" si="42"/>
        <v>0.60800000000000132</v>
      </c>
      <c r="I820" s="407">
        <f t="shared" si="42"/>
        <v>-0.3696640000000016</v>
      </c>
      <c r="J820" s="407">
        <f t="shared" si="42"/>
        <v>0.33713356800000222</v>
      </c>
      <c r="K820" s="589">
        <f t="shared" si="41"/>
        <v>0.57546956800000193</v>
      </c>
    </row>
    <row r="821" spans="7:11" customFormat="1" x14ac:dyDescent="0.25">
      <c r="G821" s="589">
        <f t="shared" si="43"/>
        <v>0.61000000000000132</v>
      </c>
      <c r="H821" s="407">
        <f t="shared" si="42"/>
        <v>0.61000000000000132</v>
      </c>
      <c r="I821" s="407">
        <f t="shared" si="42"/>
        <v>-0.3721000000000016</v>
      </c>
      <c r="J821" s="407">
        <f t="shared" si="42"/>
        <v>0.3404715000000022</v>
      </c>
      <c r="K821" s="589">
        <f t="shared" ref="K821:K884" si="44">SUM(H821:J821)</f>
        <v>0.57837150000000193</v>
      </c>
    </row>
    <row r="822" spans="7:11" customFormat="1" x14ac:dyDescent="0.25">
      <c r="G822" s="589">
        <f t="shared" si="43"/>
        <v>0.61200000000000132</v>
      </c>
      <c r="H822" s="407">
        <f t="shared" si="42"/>
        <v>0.61200000000000132</v>
      </c>
      <c r="I822" s="407">
        <f t="shared" si="42"/>
        <v>-0.3745440000000016</v>
      </c>
      <c r="J822" s="407">
        <f t="shared" si="42"/>
        <v>0.34383139200000218</v>
      </c>
      <c r="K822" s="589">
        <f t="shared" si="44"/>
        <v>0.5812873920000019</v>
      </c>
    </row>
    <row r="823" spans="7:11" customFormat="1" x14ac:dyDescent="0.25">
      <c r="G823" s="589">
        <f t="shared" si="43"/>
        <v>0.61400000000000132</v>
      </c>
      <c r="H823" s="407">
        <f t="shared" si="42"/>
        <v>0.61400000000000132</v>
      </c>
      <c r="I823" s="407">
        <f t="shared" si="42"/>
        <v>-0.37699600000000161</v>
      </c>
      <c r="J823" s="407">
        <f t="shared" si="42"/>
        <v>0.34721331600000221</v>
      </c>
      <c r="K823" s="589">
        <f t="shared" si="44"/>
        <v>0.58421731600000193</v>
      </c>
    </row>
    <row r="824" spans="7:11" customFormat="1" x14ac:dyDescent="0.25">
      <c r="G824" s="589">
        <f t="shared" si="43"/>
        <v>0.61600000000000132</v>
      </c>
      <c r="H824" s="407">
        <f t="shared" si="42"/>
        <v>0.61600000000000132</v>
      </c>
      <c r="I824" s="407">
        <f t="shared" si="42"/>
        <v>-0.37945600000000163</v>
      </c>
      <c r="J824" s="407">
        <f t="shared" si="42"/>
        <v>0.35061734400000227</v>
      </c>
      <c r="K824" s="589">
        <f t="shared" si="44"/>
        <v>0.58716134400000197</v>
      </c>
    </row>
    <row r="825" spans="7:11" customFormat="1" x14ac:dyDescent="0.25">
      <c r="G825" s="589">
        <f t="shared" si="43"/>
        <v>0.61800000000000133</v>
      </c>
      <c r="H825" s="407">
        <f t="shared" si="42"/>
        <v>0.61800000000000133</v>
      </c>
      <c r="I825" s="407">
        <f t="shared" si="42"/>
        <v>-0.38192400000000165</v>
      </c>
      <c r="J825" s="407">
        <f t="shared" si="42"/>
        <v>0.35404354800000232</v>
      </c>
      <c r="K825" s="589">
        <f t="shared" si="44"/>
        <v>0.59011954800000199</v>
      </c>
    </row>
    <row r="826" spans="7:11" customFormat="1" x14ac:dyDescent="0.25">
      <c r="G826" s="589">
        <f t="shared" si="43"/>
        <v>0.62000000000000133</v>
      </c>
      <c r="H826" s="407">
        <f t="shared" ref="H826:J889" si="45">($G826^H$15*(-H$15)^(-1+H$15))/FACT(H$15)</f>
        <v>0.62000000000000133</v>
      </c>
      <c r="I826" s="407">
        <f t="shared" si="45"/>
        <v>-0.38440000000000163</v>
      </c>
      <c r="J826" s="407">
        <f t="shared" si="45"/>
        <v>0.35749200000000231</v>
      </c>
      <c r="K826" s="589">
        <f t="shared" si="44"/>
        <v>0.59309200000000195</v>
      </c>
    </row>
    <row r="827" spans="7:11" customFormat="1" x14ac:dyDescent="0.25">
      <c r="G827" s="589">
        <f t="shared" si="43"/>
        <v>0.62200000000000133</v>
      </c>
      <c r="H827" s="407">
        <f t="shared" si="45"/>
        <v>0.62200000000000133</v>
      </c>
      <c r="I827" s="407">
        <f t="shared" si="45"/>
        <v>-0.38688400000000167</v>
      </c>
      <c r="J827" s="407">
        <f t="shared" si="45"/>
        <v>0.36096277200000232</v>
      </c>
      <c r="K827" s="589">
        <f t="shared" si="44"/>
        <v>0.59607877200000203</v>
      </c>
    </row>
    <row r="828" spans="7:11" customFormat="1" x14ac:dyDescent="0.25">
      <c r="G828" s="589">
        <f t="shared" si="43"/>
        <v>0.62400000000000133</v>
      </c>
      <c r="H828" s="407">
        <f t="shared" si="45"/>
        <v>0.62400000000000133</v>
      </c>
      <c r="I828" s="407">
        <f t="shared" si="45"/>
        <v>-0.38937600000000167</v>
      </c>
      <c r="J828" s="407">
        <f t="shared" si="45"/>
        <v>0.36445593600000231</v>
      </c>
      <c r="K828" s="589">
        <f t="shared" si="44"/>
        <v>0.59907993600000198</v>
      </c>
    </row>
    <row r="829" spans="7:11" customFormat="1" x14ac:dyDescent="0.25">
      <c r="G829" s="589">
        <f t="shared" si="43"/>
        <v>0.62600000000000133</v>
      </c>
      <c r="H829" s="407">
        <f t="shared" si="45"/>
        <v>0.62600000000000133</v>
      </c>
      <c r="I829" s="407">
        <f t="shared" si="45"/>
        <v>-0.39187600000000167</v>
      </c>
      <c r="J829" s="407">
        <f t="shared" si="45"/>
        <v>0.3679715640000023</v>
      </c>
      <c r="K829" s="589">
        <f t="shared" si="44"/>
        <v>0.60209556400000197</v>
      </c>
    </row>
    <row r="830" spans="7:11" customFormat="1" x14ac:dyDescent="0.25">
      <c r="G830" s="589">
        <f t="shared" si="43"/>
        <v>0.62800000000000133</v>
      </c>
      <c r="H830" s="407">
        <f t="shared" si="45"/>
        <v>0.62800000000000133</v>
      </c>
      <c r="I830" s="407">
        <f t="shared" si="45"/>
        <v>-0.39438400000000168</v>
      </c>
      <c r="J830" s="407">
        <f t="shared" si="45"/>
        <v>0.37150972800000237</v>
      </c>
      <c r="K830" s="589">
        <f t="shared" si="44"/>
        <v>0.60512572800000197</v>
      </c>
    </row>
    <row r="831" spans="7:11" customFormat="1" x14ac:dyDescent="0.25">
      <c r="G831" s="589">
        <f t="shared" si="43"/>
        <v>0.63000000000000134</v>
      </c>
      <c r="H831" s="407">
        <f t="shared" si="45"/>
        <v>0.63000000000000134</v>
      </c>
      <c r="I831" s="407">
        <f t="shared" si="45"/>
        <v>-0.3969000000000017</v>
      </c>
      <c r="J831" s="407">
        <f t="shared" si="45"/>
        <v>0.37507050000000236</v>
      </c>
      <c r="K831" s="589">
        <f t="shared" si="44"/>
        <v>0.60817050000000195</v>
      </c>
    </row>
    <row r="832" spans="7:11" customFormat="1" x14ac:dyDescent="0.25">
      <c r="G832" s="589">
        <f t="shared" si="43"/>
        <v>0.63200000000000134</v>
      </c>
      <c r="H832" s="407">
        <f t="shared" si="45"/>
        <v>0.63200000000000134</v>
      </c>
      <c r="I832" s="407">
        <f t="shared" si="45"/>
        <v>-0.39942400000000167</v>
      </c>
      <c r="J832" s="407">
        <f t="shared" si="45"/>
        <v>0.37865395200000235</v>
      </c>
      <c r="K832" s="589">
        <f t="shared" si="44"/>
        <v>0.61122995200000196</v>
      </c>
    </row>
    <row r="833" spans="7:11" customFormat="1" x14ac:dyDescent="0.25">
      <c r="G833" s="589">
        <f t="shared" si="43"/>
        <v>0.63400000000000134</v>
      </c>
      <c r="H833" s="407">
        <f t="shared" si="45"/>
        <v>0.63400000000000134</v>
      </c>
      <c r="I833" s="407">
        <f t="shared" si="45"/>
        <v>-0.4019560000000017</v>
      </c>
      <c r="J833" s="407">
        <f t="shared" si="45"/>
        <v>0.38226015600000246</v>
      </c>
      <c r="K833" s="589">
        <f t="shared" si="44"/>
        <v>0.6143041560000021</v>
      </c>
    </row>
    <row r="834" spans="7:11" customFormat="1" x14ac:dyDescent="0.25">
      <c r="G834" s="589">
        <f t="shared" si="43"/>
        <v>0.63600000000000134</v>
      </c>
      <c r="H834" s="407">
        <f t="shared" si="45"/>
        <v>0.63600000000000134</v>
      </c>
      <c r="I834" s="407">
        <f t="shared" si="45"/>
        <v>-0.40449600000000169</v>
      </c>
      <c r="J834" s="407">
        <f t="shared" si="45"/>
        <v>0.38588918400000244</v>
      </c>
      <c r="K834" s="589">
        <f t="shared" si="44"/>
        <v>0.61739318400000209</v>
      </c>
    </row>
    <row r="835" spans="7:11" customFormat="1" x14ac:dyDescent="0.25">
      <c r="G835" s="589">
        <f t="shared" si="43"/>
        <v>0.63800000000000134</v>
      </c>
      <c r="H835" s="407">
        <f t="shared" si="45"/>
        <v>0.63800000000000134</v>
      </c>
      <c r="I835" s="407">
        <f t="shared" si="45"/>
        <v>-0.40704400000000174</v>
      </c>
      <c r="J835" s="407">
        <f t="shared" si="45"/>
        <v>0.38954110800000247</v>
      </c>
      <c r="K835" s="589">
        <f t="shared" si="44"/>
        <v>0.62049710800000213</v>
      </c>
    </row>
    <row r="836" spans="7:11" customFormat="1" x14ac:dyDescent="0.25">
      <c r="G836" s="589">
        <f t="shared" si="43"/>
        <v>0.64000000000000135</v>
      </c>
      <c r="H836" s="407">
        <f t="shared" si="45"/>
        <v>0.64000000000000135</v>
      </c>
      <c r="I836" s="407">
        <f t="shared" si="45"/>
        <v>-0.40960000000000174</v>
      </c>
      <c r="J836" s="407">
        <f t="shared" si="45"/>
        <v>0.39321600000000245</v>
      </c>
      <c r="K836" s="589">
        <f t="shared" si="44"/>
        <v>0.62361600000000206</v>
      </c>
    </row>
    <row r="837" spans="7:11" customFormat="1" x14ac:dyDescent="0.25">
      <c r="G837" s="589">
        <f t="shared" si="43"/>
        <v>0.64200000000000135</v>
      </c>
      <c r="H837" s="407">
        <f t="shared" si="45"/>
        <v>0.64200000000000135</v>
      </c>
      <c r="I837" s="407">
        <f t="shared" si="45"/>
        <v>-0.41216400000000175</v>
      </c>
      <c r="J837" s="407">
        <f t="shared" si="45"/>
        <v>0.39691393200000252</v>
      </c>
      <c r="K837" s="589">
        <f t="shared" si="44"/>
        <v>0.62674993200000206</v>
      </c>
    </row>
    <row r="838" spans="7:11" customFormat="1" x14ac:dyDescent="0.25">
      <c r="G838" s="589">
        <f t="shared" si="43"/>
        <v>0.64400000000000135</v>
      </c>
      <c r="H838" s="407">
        <f t="shared" si="45"/>
        <v>0.64400000000000135</v>
      </c>
      <c r="I838" s="407">
        <f t="shared" si="45"/>
        <v>-0.41473600000000171</v>
      </c>
      <c r="J838" s="407">
        <f t="shared" si="45"/>
        <v>0.40063497600000253</v>
      </c>
      <c r="K838" s="589">
        <f t="shared" si="44"/>
        <v>0.62989897600000222</v>
      </c>
    </row>
    <row r="839" spans="7:11" customFormat="1" x14ac:dyDescent="0.25">
      <c r="G839" s="589">
        <f t="shared" si="43"/>
        <v>0.64600000000000135</v>
      </c>
      <c r="H839" s="407">
        <f t="shared" si="45"/>
        <v>0.64600000000000135</v>
      </c>
      <c r="I839" s="407">
        <f t="shared" si="45"/>
        <v>-0.41731600000000174</v>
      </c>
      <c r="J839" s="407">
        <f t="shared" si="45"/>
        <v>0.40437920400000255</v>
      </c>
      <c r="K839" s="589">
        <f t="shared" si="44"/>
        <v>0.63306320400000216</v>
      </c>
    </row>
    <row r="840" spans="7:11" customFormat="1" x14ac:dyDescent="0.25">
      <c r="G840" s="589">
        <f t="shared" si="43"/>
        <v>0.64800000000000135</v>
      </c>
      <c r="H840" s="407">
        <f t="shared" si="45"/>
        <v>0.64800000000000135</v>
      </c>
      <c r="I840" s="407">
        <f t="shared" si="45"/>
        <v>-0.41990400000000178</v>
      </c>
      <c r="J840" s="407">
        <f t="shared" si="45"/>
        <v>0.40814668800000259</v>
      </c>
      <c r="K840" s="589">
        <f t="shared" si="44"/>
        <v>0.63624268800000217</v>
      </c>
    </row>
    <row r="841" spans="7:11" customFormat="1" x14ac:dyDescent="0.25">
      <c r="G841" s="589">
        <f t="shared" si="43"/>
        <v>0.65000000000000135</v>
      </c>
      <c r="H841" s="407">
        <f t="shared" si="45"/>
        <v>0.65000000000000135</v>
      </c>
      <c r="I841" s="407">
        <f t="shared" si="45"/>
        <v>-0.42250000000000176</v>
      </c>
      <c r="J841" s="407">
        <f t="shared" si="45"/>
        <v>0.41193750000000257</v>
      </c>
      <c r="K841" s="589">
        <f t="shared" si="44"/>
        <v>0.6394375000000021</v>
      </c>
    </row>
    <row r="842" spans="7:11" customFormat="1" x14ac:dyDescent="0.25">
      <c r="G842" s="589">
        <f t="shared" si="43"/>
        <v>0.65200000000000136</v>
      </c>
      <c r="H842" s="407">
        <f t="shared" si="45"/>
        <v>0.65200000000000136</v>
      </c>
      <c r="I842" s="407">
        <f t="shared" si="45"/>
        <v>-0.42510400000000176</v>
      </c>
      <c r="J842" s="407">
        <f t="shared" si="45"/>
        <v>0.41575171200000255</v>
      </c>
      <c r="K842" s="589">
        <f t="shared" si="44"/>
        <v>0.64264771200000215</v>
      </c>
    </row>
    <row r="843" spans="7:11" customFormat="1" x14ac:dyDescent="0.25">
      <c r="G843" s="589">
        <f t="shared" si="43"/>
        <v>0.65400000000000136</v>
      </c>
      <c r="H843" s="407">
        <f t="shared" si="45"/>
        <v>0.65400000000000136</v>
      </c>
      <c r="I843" s="407">
        <f t="shared" si="45"/>
        <v>-0.42771600000000176</v>
      </c>
      <c r="J843" s="407">
        <f t="shared" si="45"/>
        <v>0.41958939600000256</v>
      </c>
      <c r="K843" s="589">
        <f t="shared" si="44"/>
        <v>0.64587339600000215</v>
      </c>
    </row>
    <row r="844" spans="7:11" customFormat="1" x14ac:dyDescent="0.25">
      <c r="G844" s="589">
        <f t="shared" si="43"/>
        <v>0.65600000000000136</v>
      </c>
      <c r="H844" s="407">
        <f t="shared" si="45"/>
        <v>0.65600000000000136</v>
      </c>
      <c r="I844" s="407">
        <f t="shared" si="45"/>
        <v>-0.43033600000000177</v>
      </c>
      <c r="J844" s="407">
        <f t="shared" si="45"/>
        <v>0.42345062400000266</v>
      </c>
      <c r="K844" s="589">
        <f t="shared" si="44"/>
        <v>0.6491146240000023</v>
      </c>
    </row>
    <row r="845" spans="7:11" customFormat="1" x14ac:dyDescent="0.25">
      <c r="G845" s="589">
        <f t="shared" si="43"/>
        <v>0.65800000000000136</v>
      </c>
      <c r="H845" s="407">
        <f t="shared" si="45"/>
        <v>0.65800000000000136</v>
      </c>
      <c r="I845" s="407">
        <f t="shared" si="45"/>
        <v>-0.43296400000000179</v>
      </c>
      <c r="J845" s="407">
        <f t="shared" si="45"/>
        <v>0.42733546800000261</v>
      </c>
      <c r="K845" s="589">
        <f t="shared" si="44"/>
        <v>0.65237146800000212</v>
      </c>
    </row>
    <row r="846" spans="7:11" customFormat="1" x14ac:dyDescent="0.25">
      <c r="G846" s="589">
        <f t="shared" si="43"/>
        <v>0.66000000000000136</v>
      </c>
      <c r="H846" s="407">
        <f t="shared" si="45"/>
        <v>0.66000000000000136</v>
      </c>
      <c r="I846" s="407">
        <f t="shared" si="45"/>
        <v>-0.43560000000000182</v>
      </c>
      <c r="J846" s="407">
        <f t="shared" si="45"/>
        <v>0.43124400000000268</v>
      </c>
      <c r="K846" s="589">
        <f t="shared" si="44"/>
        <v>0.65564400000000223</v>
      </c>
    </row>
    <row r="847" spans="7:11" customFormat="1" x14ac:dyDescent="0.25">
      <c r="G847" s="589">
        <f t="shared" si="43"/>
        <v>0.66200000000000137</v>
      </c>
      <c r="H847" s="407">
        <f t="shared" si="45"/>
        <v>0.66200000000000137</v>
      </c>
      <c r="I847" s="407">
        <f t="shared" si="45"/>
        <v>-0.4382440000000018</v>
      </c>
      <c r="J847" s="407">
        <f t="shared" si="45"/>
        <v>0.43517629200000268</v>
      </c>
      <c r="K847" s="589">
        <f t="shared" si="44"/>
        <v>0.65893229200000225</v>
      </c>
    </row>
    <row r="848" spans="7:11" customFormat="1" x14ac:dyDescent="0.25">
      <c r="G848" s="589">
        <f t="shared" si="43"/>
        <v>0.66400000000000137</v>
      </c>
      <c r="H848" s="407">
        <f t="shared" si="45"/>
        <v>0.66400000000000137</v>
      </c>
      <c r="I848" s="407">
        <f t="shared" si="45"/>
        <v>-0.44089600000000184</v>
      </c>
      <c r="J848" s="407">
        <f t="shared" si="45"/>
        <v>0.43913241600000275</v>
      </c>
      <c r="K848" s="589">
        <f t="shared" si="44"/>
        <v>0.66223641600000227</v>
      </c>
    </row>
    <row r="849" spans="7:11" customFormat="1" x14ac:dyDescent="0.25">
      <c r="G849" s="589">
        <f t="shared" ref="G849:G912" si="46">G848+$K$14</f>
        <v>0.66600000000000137</v>
      </c>
      <c r="H849" s="407">
        <f t="shared" si="45"/>
        <v>0.66600000000000137</v>
      </c>
      <c r="I849" s="407">
        <f t="shared" si="45"/>
        <v>-0.44355600000000184</v>
      </c>
      <c r="J849" s="407">
        <f t="shared" si="45"/>
        <v>0.44311244400000277</v>
      </c>
      <c r="K849" s="589">
        <f t="shared" si="44"/>
        <v>0.66555644400000236</v>
      </c>
    </row>
    <row r="850" spans="7:11" customFormat="1" x14ac:dyDescent="0.25">
      <c r="G850" s="589">
        <f t="shared" si="46"/>
        <v>0.66800000000000137</v>
      </c>
      <c r="H850" s="407">
        <f t="shared" si="45"/>
        <v>0.66800000000000137</v>
      </c>
      <c r="I850" s="407">
        <f t="shared" si="45"/>
        <v>-0.44622400000000184</v>
      </c>
      <c r="J850" s="407">
        <f t="shared" si="45"/>
        <v>0.44711644800000278</v>
      </c>
      <c r="K850" s="589">
        <f t="shared" si="44"/>
        <v>0.66889244800000225</v>
      </c>
    </row>
    <row r="851" spans="7:11" customFormat="1" x14ac:dyDescent="0.25">
      <c r="G851" s="589">
        <f t="shared" si="46"/>
        <v>0.67000000000000137</v>
      </c>
      <c r="H851" s="407">
        <f t="shared" si="45"/>
        <v>0.67000000000000137</v>
      </c>
      <c r="I851" s="407">
        <f t="shared" si="45"/>
        <v>-0.44890000000000185</v>
      </c>
      <c r="J851" s="407">
        <f t="shared" si="45"/>
        <v>0.45114450000000272</v>
      </c>
      <c r="K851" s="589">
        <f t="shared" si="44"/>
        <v>0.67224450000000224</v>
      </c>
    </row>
    <row r="852" spans="7:11" customFormat="1" x14ac:dyDescent="0.25">
      <c r="G852" s="589">
        <f t="shared" si="46"/>
        <v>0.67200000000000137</v>
      </c>
      <c r="H852" s="407">
        <f t="shared" si="45"/>
        <v>0.67200000000000137</v>
      </c>
      <c r="I852" s="407">
        <f t="shared" si="45"/>
        <v>-0.45158400000000187</v>
      </c>
      <c r="J852" s="407">
        <f t="shared" si="45"/>
        <v>0.45519667200000286</v>
      </c>
      <c r="K852" s="589">
        <f t="shared" si="44"/>
        <v>0.67561267200000241</v>
      </c>
    </row>
    <row r="853" spans="7:11" customFormat="1" x14ac:dyDescent="0.25">
      <c r="G853" s="589">
        <f t="shared" si="46"/>
        <v>0.67400000000000138</v>
      </c>
      <c r="H853" s="407">
        <f t="shared" si="45"/>
        <v>0.67400000000000138</v>
      </c>
      <c r="I853" s="407">
        <f t="shared" si="45"/>
        <v>-0.45427600000000184</v>
      </c>
      <c r="J853" s="407">
        <f t="shared" si="45"/>
        <v>0.4592730360000028</v>
      </c>
      <c r="K853" s="589">
        <f t="shared" si="44"/>
        <v>0.67899703600000239</v>
      </c>
    </row>
    <row r="854" spans="7:11" customFormat="1" x14ac:dyDescent="0.25">
      <c r="G854" s="589">
        <f t="shared" si="46"/>
        <v>0.67600000000000138</v>
      </c>
      <c r="H854" s="407">
        <f t="shared" si="45"/>
        <v>0.67600000000000138</v>
      </c>
      <c r="I854" s="407">
        <f t="shared" si="45"/>
        <v>-0.45697600000000188</v>
      </c>
      <c r="J854" s="407">
        <f t="shared" si="45"/>
        <v>0.46337366400000285</v>
      </c>
      <c r="K854" s="589">
        <f t="shared" si="44"/>
        <v>0.68239766400000235</v>
      </c>
    </row>
    <row r="855" spans="7:11" customFormat="1" x14ac:dyDescent="0.25">
      <c r="G855" s="589">
        <f t="shared" si="46"/>
        <v>0.67800000000000138</v>
      </c>
      <c r="H855" s="407">
        <f t="shared" si="45"/>
        <v>0.67800000000000138</v>
      </c>
      <c r="I855" s="407">
        <f t="shared" si="45"/>
        <v>-0.45968400000000187</v>
      </c>
      <c r="J855" s="407">
        <f t="shared" si="45"/>
        <v>0.46749862800000286</v>
      </c>
      <c r="K855" s="589">
        <f t="shared" si="44"/>
        <v>0.68581462800000237</v>
      </c>
    </row>
    <row r="856" spans="7:11" customFormat="1" x14ac:dyDescent="0.25">
      <c r="G856" s="589">
        <f t="shared" si="46"/>
        <v>0.68000000000000138</v>
      </c>
      <c r="H856" s="407">
        <f t="shared" si="45"/>
        <v>0.68000000000000138</v>
      </c>
      <c r="I856" s="407">
        <f t="shared" si="45"/>
        <v>-0.46240000000000187</v>
      </c>
      <c r="J856" s="407">
        <f t="shared" si="45"/>
        <v>0.4716480000000029</v>
      </c>
      <c r="K856" s="589">
        <f t="shared" si="44"/>
        <v>0.68924800000000241</v>
      </c>
    </row>
    <row r="857" spans="7:11" customFormat="1" x14ac:dyDescent="0.25">
      <c r="G857" s="589">
        <f t="shared" si="46"/>
        <v>0.68200000000000138</v>
      </c>
      <c r="H857" s="407">
        <f t="shared" si="45"/>
        <v>0.68200000000000138</v>
      </c>
      <c r="I857" s="407">
        <f t="shared" si="45"/>
        <v>-0.46512400000000187</v>
      </c>
      <c r="J857" s="407">
        <f t="shared" si="45"/>
        <v>0.47582185200000288</v>
      </c>
      <c r="K857" s="589">
        <f t="shared" si="44"/>
        <v>0.69269785200000245</v>
      </c>
    </row>
    <row r="858" spans="7:11" customFormat="1" x14ac:dyDescent="0.25">
      <c r="G858" s="589">
        <f t="shared" si="46"/>
        <v>0.68400000000000138</v>
      </c>
      <c r="H858" s="407">
        <f t="shared" si="45"/>
        <v>0.68400000000000138</v>
      </c>
      <c r="I858" s="407">
        <f t="shared" si="45"/>
        <v>-0.46785600000000188</v>
      </c>
      <c r="J858" s="407">
        <f t="shared" si="45"/>
        <v>0.48002025600000292</v>
      </c>
      <c r="K858" s="589">
        <f t="shared" si="44"/>
        <v>0.69616425600000242</v>
      </c>
    </row>
    <row r="859" spans="7:11" customFormat="1" x14ac:dyDescent="0.25">
      <c r="G859" s="589">
        <f t="shared" si="46"/>
        <v>0.68600000000000139</v>
      </c>
      <c r="H859" s="407">
        <f t="shared" si="45"/>
        <v>0.68600000000000139</v>
      </c>
      <c r="I859" s="407">
        <f t="shared" si="45"/>
        <v>-0.4705960000000019</v>
      </c>
      <c r="J859" s="407">
        <f t="shared" si="45"/>
        <v>0.48424328400000288</v>
      </c>
      <c r="K859" s="589">
        <f t="shared" si="44"/>
        <v>0.69964728400000231</v>
      </c>
    </row>
    <row r="860" spans="7:11" customFormat="1" x14ac:dyDescent="0.25">
      <c r="G860" s="589">
        <f t="shared" si="46"/>
        <v>0.68800000000000139</v>
      </c>
      <c r="H860" s="407">
        <f t="shared" si="45"/>
        <v>0.68800000000000139</v>
      </c>
      <c r="I860" s="407">
        <f t="shared" si="45"/>
        <v>-0.47334400000000193</v>
      </c>
      <c r="J860" s="407">
        <f t="shared" si="45"/>
        <v>0.48849100800000295</v>
      </c>
      <c r="K860" s="589">
        <f t="shared" si="44"/>
        <v>0.7031470080000024</v>
      </c>
    </row>
    <row r="861" spans="7:11" customFormat="1" x14ac:dyDescent="0.25">
      <c r="G861" s="589">
        <f t="shared" si="46"/>
        <v>0.69000000000000139</v>
      </c>
      <c r="H861" s="407">
        <f t="shared" si="45"/>
        <v>0.69000000000000139</v>
      </c>
      <c r="I861" s="407">
        <f t="shared" si="45"/>
        <v>-0.47610000000000191</v>
      </c>
      <c r="J861" s="407">
        <f t="shared" si="45"/>
        <v>0.49276350000000302</v>
      </c>
      <c r="K861" s="589">
        <f t="shared" si="44"/>
        <v>0.70666350000000255</v>
      </c>
    </row>
    <row r="862" spans="7:11" customFormat="1" x14ac:dyDescent="0.25">
      <c r="G862" s="589">
        <f t="shared" si="46"/>
        <v>0.69200000000000139</v>
      </c>
      <c r="H862" s="407">
        <f t="shared" si="45"/>
        <v>0.69200000000000139</v>
      </c>
      <c r="I862" s="407">
        <f t="shared" si="45"/>
        <v>-0.4788640000000019</v>
      </c>
      <c r="J862" s="407">
        <f t="shared" si="45"/>
        <v>0.49706083200000301</v>
      </c>
      <c r="K862" s="589">
        <f t="shared" si="44"/>
        <v>0.7101968320000025</v>
      </c>
    </row>
    <row r="863" spans="7:11" customFormat="1" x14ac:dyDescent="0.25">
      <c r="G863" s="589">
        <f t="shared" si="46"/>
        <v>0.69400000000000139</v>
      </c>
      <c r="H863" s="407">
        <f t="shared" si="45"/>
        <v>0.69400000000000139</v>
      </c>
      <c r="I863" s="407">
        <f t="shared" si="45"/>
        <v>-0.48163600000000195</v>
      </c>
      <c r="J863" s="407">
        <f t="shared" si="45"/>
        <v>0.50138307600000309</v>
      </c>
      <c r="K863" s="589">
        <f t="shared" si="44"/>
        <v>0.71374707600000253</v>
      </c>
    </row>
    <row r="864" spans="7:11" customFormat="1" x14ac:dyDescent="0.25">
      <c r="G864" s="589">
        <f t="shared" si="46"/>
        <v>0.6960000000000014</v>
      </c>
      <c r="H864" s="407">
        <f t="shared" si="45"/>
        <v>0.6960000000000014</v>
      </c>
      <c r="I864" s="407">
        <f t="shared" si="45"/>
        <v>-0.48441600000000196</v>
      </c>
      <c r="J864" s="407">
        <f t="shared" si="45"/>
        <v>0.50573030400000307</v>
      </c>
      <c r="K864" s="589">
        <f t="shared" si="44"/>
        <v>0.71731430400000251</v>
      </c>
    </row>
    <row r="865" spans="7:11" customFormat="1" x14ac:dyDescent="0.25">
      <c r="G865" s="589">
        <f t="shared" si="46"/>
        <v>0.6980000000000014</v>
      </c>
      <c r="H865" s="407">
        <f t="shared" si="45"/>
        <v>0.6980000000000014</v>
      </c>
      <c r="I865" s="407">
        <f t="shared" si="45"/>
        <v>-0.48720400000000197</v>
      </c>
      <c r="J865" s="407">
        <f t="shared" si="45"/>
        <v>0.51010258800000308</v>
      </c>
      <c r="K865" s="589">
        <f t="shared" si="44"/>
        <v>0.7208985880000025</v>
      </c>
    </row>
    <row r="866" spans="7:11" customFormat="1" x14ac:dyDescent="0.25">
      <c r="G866" s="589">
        <f t="shared" si="46"/>
        <v>0.7000000000000014</v>
      </c>
      <c r="H866" s="407">
        <f t="shared" si="45"/>
        <v>0.7000000000000014</v>
      </c>
      <c r="I866" s="407">
        <f t="shared" si="45"/>
        <v>-0.49000000000000193</v>
      </c>
      <c r="J866" s="407">
        <f t="shared" si="45"/>
        <v>0.51450000000000307</v>
      </c>
      <c r="K866" s="589">
        <f t="shared" si="44"/>
        <v>0.72450000000000259</v>
      </c>
    </row>
    <row r="867" spans="7:11" customFormat="1" x14ac:dyDescent="0.25">
      <c r="G867" s="589">
        <f t="shared" si="46"/>
        <v>0.7020000000000014</v>
      </c>
      <c r="H867" s="407">
        <f t="shared" si="45"/>
        <v>0.7020000000000014</v>
      </c>
      <c r="I867" s="407">
        <f t="shared" si="45"/>
        <v>-0.49280400000000196</v>
      </c>
      <c r="J867" s="407">
        <f t="shared" si="45"/>
        <v>0.51892261200000311</v>
      </c>
      <c r="K867" s="589">
        <f t="shared" si="44"/>
        <v>0.7281186120000025</v>
      </c>
    </row>
    <row r="868" spans="7:11" customFormat="1" x14ac:dyDescent="0.25">
      <c r="G868" s="589">
        <f t="shared" si="46"/>
        <v>0.7040000000000014</v>
      </c>
      <c r="H868" s="407">
        <f t="shared" si="45"/>
        <v>0.7040000000000014</v>
      </c>
      <c r="I868" s="407">
        <f t="shared" si="45"/>
        <v>-0.495616000000002</v>
      </c>
      <c r="J868" s="407">
        <f t="shared" si="45"/>
        <v>0.52337049600000318</v>
      </c>
      <c r="K868" s="589">
        <f t="shared" si="44"/>
        <v>0.73175449600000264</v>
      </c>
    </row>
    <row r="869" spans="7:11" customFormat="1" x14ac:dyDescent="0.25">
      <c r="G869" s="589">
        <f t="shared" si="46"/>
        <v>0.7060000000000014</v>
      </c>
      <c r="H869" s="407">
        <f t="shared" si="45"/>
        <v>0.7060000000000014</v>
      </c>
      <c r="I869" s="407">
        <f t="shared" si="45"/>
        <v>-0.49843600000000199</v>
      </c>
      <c r="J869" s="407">
        <f t="shared" si="45"/>
        <v>0.52784372400000312</v>
      </c>
      <c r="K869" s="589">
        <f t="shared" si="44"/>
        <v>0.73540772400000254</v>
      </c>
    </row>
    <row r="870" spans="7:11" customFormat="1" x14ac:dyDescent="0.25">
      <c r="G870" s="589">
        <f t="shared" si="46"/>
        <v>0.70800000000000141</v>
      </c>
      <c r="H870" s="407">
        <f t="shared" si="45"/>
        <v>0.70800000000000141</v>
      </c>
      <c r="I870" s="407">
        <f t="shared" si="45"/>
        <v>-0.50126400000000204</v>
      </c>
      <c r="J870" s="407">
        <f t="shared" si="45"/>
        <v>0.53234236800000323</v>
      </c>
      <c r="K870" s="589">
        <f t="shared" si="44"/>
        <v>0.73907836800000259</v>
      </c>
    </row>
    <row r="871" spans="7:11" customFormat="1" x14ac:dyDescent="0.25">
      <c r="G871" s="589">
        <f t="shared" si="46"/>
        <v>0.71000000000000141</v>
      </c>
      <c r="H871" s="407">
        <f t="shared" si="45"/>
        <v>0.71000000000000141</v>
      </c>
      <c r="I871" s="407">
        <f t="shared" si="45"/>
        <v>-0.50410000000000199</v>
      </c>
      <c r="J871" s="407">
        <f t="shared" si="45"/>
        <v>0.53686650000000324</v>
      </c>
      <c r="K871" s="589">
        <f t="shared" si="44"/>
        <v>0.74276650000000266</v>
      </c>
    </row>
    <row r="872" spans="7:11" customFormat="1" x14ac:dyDescent="0.25">
      <c r="G872" s="589">
        <f t="shared" si="46"/>
        <v>0.71200000000000141</v>
      </c>
      <c r="H872" s="407">
        <f t="shared" si="45"/>
        <v>0.71200000000000141</v>
      </c>
      <c r="I872" s="407">
        <f t="shared" si="45"/>
        <v>-0.50694400000000206</v>
      </c>
      <c r="J872" s="407">
        <f t="shared" si="45"/>
        <v>0.54141619200000324</v>
      </c>
      <c r="K872" s="589">
        <f t="shared" si="44"/>
        <v>0.74647219200000259</v>
      </c>
    </row>
    <row r="873" spans="7:11" customFormat="1" x14ac:dyDescent="0.25">
      <c r="G873" s="589">
        <f t="shared" si="46"/>
        <v>0.71400000000000141</v>
      </c>
      <c r="H873" s="407">
        <f t="shared" si="45"/>
        <v>0.71400000000000141</v>
      </c>
      <c r="I873" s="407">
        <f t="shared" si="45"/>
        <v>-0.50979600000000203</v>
      </c>
      <c r="J873" s="407">
        <f t="shared" si="45"/>
        <v>0.54599151600000329</v>
      </c>
      <c r="K873" s="589">
        <f t="shared" si="44"/>
        <v>0.75019551600000267</v>
      </c>
    </row>
    <row r="874" spans="7:11" customFormat="1" x14ac:dyDescent="0.25">
      <c r="G874" s="589">
        <f t="shared" si="46"/>
        <v>0.71600000000000141</v>
      </c>
      <c r="H874" s="407">
        <f t="shared" si="45"/>
        <v>0.71600000000000141</v>
      </c>
      <c r="I874" s="407">
        <f t="shared" si="45"/>
        <v>-0.512656000000002</v>
      </c>
      <c r="J874" s="407">
        <f t="shared" si="45"/>
        <v>0.55059254400000324</v>
      </c>
      <c r="K874" s="589">
        <f t="shared" si="44"/>
        <v>0.75393654400000265</v>
      </c>
    </row>
    <row r="875" spans="7:11" customFormat="1" x14ac:dyDescent="0.25">
      <c r="G875" s="589">
        <f t="shared" si="46"/>
        <v>0.71800000000000141</v>
      </c>
      <c r="H875" s="407">
        <f t="shared" si="45"/>
        <v>0.71800000000000141</v>
      </c>
      <c r="I875" s="407">
        <f t="shared" si="45"/>
        <v>-0.51552400000000198</v>
      </c>
      <c r="J875" s="407">
        <f t="shared" si="45"/>
        <v>0.55521934800000317</v>
      </c>
      <c r="K875" s="589">
        <f t="shared" si="44"/>
        <v>0.7576953480000026</v>
      </c>
    </row>
    <row r="876" spans="7:11" customFormat="1" x14ac:dyDescent="0.25">
      <c r="G876" s="589">
        <f t="shared" si="46"/>
        <v>0.72000000000000142</v>
      </c>
      <c r="H876" s="407">
        <f t="shared" si="45"/>
        <v>0.72000000000000142</v>
      </c>
      <c r="I876" s="407">
        <f t="shared" si="45"/>
        <v>-0.51840000000000208</v>
      </c>
      <c r="J876" s="407">
        <f t="shared" si="45"/>
        <v>0.55987200000000337</v>
      </c>
      <c r="K876" s="589">
        <f t="shared" si="44"/>
        <v>0.7614720000000027</v>
      </c>
    </row>
    <row r="877" spans="7:11" customFormat="1" x14ac:dyDescent="0.25">
      <c r="G877" s="589">
        <f t="shared" si="46"/>
        <v>0.72200000000000142</v>
      </c>
      <c r="H877" s="407">
        <f t="shared" si="45"/>
        <v>0.72200000000000142</v>
      </c>
      <c r="I877" s="407">
        <f t="shared" si="45"/>
        <v>-0.52128400000000208</v>
      </c>
      <c r="J877" s="407">
        <f t="shared" si="45"/>
        <v>0.56455057200000336</v>
      </c>
      <c r="K877" s="589">
        <f t="shared" si="44"/>
        <v>0.7652665720000027</v>
      </c>
    </row>
    <row r="878" spans="7:11" customFormat="1" x14ac:dyDescent="0.25">
      <c r="G878" s="589">
        <f t="shared" si="46"/>
        <v>0.72400000000000142</v>
      </c>
      <c r="H878" s="407">
        <f t="shared" si="45"/>
        <v>0.72400000000000142</v>
      </c>
      <c r="I878" s="407">
        <f t="shared" si="45"/>
        <v>-0.52417600000000208</v>
      </c>
      <c r="J878" s="407">
        <f t="shared" si="45"/>
        <v>0.56925513600000344</v>
      </c>
      <c r="K878" s="589">
        <f t="shared" si="44"/>
        <v>0.76907913600000277</v>
      </c>
    </row>
    <row r="879" spans="7:11" customFormat="1" x14ac:dyDescent="0.25">
      <c r="G879" s="589">
        <f t="shared" si="46"/>
        <v>0.72600000000000142</v>
      </c>
      <c r="H879" s="407">
        <f t="shared" si="45"/>
        <v>0.72600000000000142</v>
      </c>
      <c r="I879" s="407">
        <f t="shared" si="45"/>
        <v>-0.5270760000000021</v>
      </c>
      <c r="J879" s="407">
        <f t="shared" si="45"/>
        <v>0.57398576400000334</v>
      </c>
      <c r="K879" s="589">
        <f t="shared" si="44"/>
        <v>0.77290976400000266</v>
      </c>
    </row>
    <row r="880" spans="7:11" customFormat="1" x14ac:dyDescent="0.25">
      <c r="G880" s="589">
        <f t="shared" si="46"/>
        <v>0.72800000000000142</v>
      </c>
      <c r="H880" s="407">
        <f t="shared" si="45"/>
        <v>0.72800000000000142</v>
      </c>
      <c r="I880" s="407">
        <f t="shared" si="45"/>
        <v>-0.52998400000000212</v>
      </c>
      <c r="J880" s="407">
        <f t="shared" si="45"/>
        <v>0.57874252800000348</v>
      </c>
      <c r="K880" s="589">
        <f t="shared" si="44"/>
        <v>0.77675852800000278</v>
      </c>
    </row>
    <row r="881" spans="7:11" customFormat="1" x14ac:dyDescent="0.25">
      <c r="G881" s="589">
        <f t="shared" si="46"/>
        <v>0.73000000000000143</v>
      </c>
      <c r="H881" s="407">
        <f t="shared" si="45"/>
        <v>0.73000000000000143</v>
      </c>
      <c r="I881" s="407">
        <f t="shared" si="45"/>
        <v>-0.53290000000000204</v>
      </c>
      <c r="J881" s="407">
        <f t="shared" si="45"/>
        <v>0.58352550000000336</v>
      </c>
      <c r="K881" s="589">
        <f t="shared" si="44"/>
        <v>0.78062550000000275</v>
      </c>
    </row>
    <row r="882" spans="7:11" customFormat="1" x14ac:dyDescent="0.25">
      <c r="G882" s="589">
        <f t="shared" si="46"/>
        <v>0.73200000000000143</v>
      </c>
      <c r="H882" s="407">
        <f t="shared" si="45"/>
        <v>0.73200000000000143</v>
      </c>
      <c r="I882" s="407">
        <f t="shared" si="45"/>
        <v>-0.53582400000000208</v>
      </c>
      <c r="J882" s="407">
        <f t="shared" si="45"/>
        <v>0.5883347520000034</v>
      </c>
      <c r="K882" s="589">
        <f t="shared" si="44"/>
        <v>0.78451075200000275</v>
      </c>
    </row>
    <row r="883" spans="7:11" customFormat="1" x14ac:dyDescent="0.25">
      <c r="G883" s="589">
        <f t="shared" si="46"/>
        <v>0.73400000000000143</v>
      </c>
      <c r="H883" s="407">
        <f t="shared" si="45"/>
        <v>0.73400000000000143</v>
      </c>
      <c r="I883" s="407">
        <f t="shared" si="45"/>
        <v>-0.53875600000000212</v>
      </c>
      <c r="J883" s="407">
        <f t="shared" si="45"/>
        <v>0.59317035600000345</v>
      </c>
      <c r="K883" s="589">
        <f t="shared" si="44"/>
        <v>0.78841435600000276</v>
      </c>
    </row>
    <row r="884" spans="7:11" customFormat="1" x14ac:dyDescent="0.25">
      <c r="G884" s="589">
        <f t="shared" si="46"/>
        <v>0.73600000000000143</v>
      </c>
      <c r="H884" s="407">
        <f t="shared" si="45"/>
        <v>0.73600000000000143</v>
      </c>
      <c r="I884" s="407">
        <f t="shared" si="45"/>
        <v>-0.54169600000000206</v>
      </c>
      <c r="J884" s="407">
        <f t="shared" si="45"/>
        <v>0.59803238400000347</v>
      </c>
      <c r="K884" s="589">
        <f t="shared" si="44"/>
        <v>0.79233638400000284</v>
      </c>
    </row>
    <row r="885" spans="7:11" customFormat="1" x14ac:dyDescent="0.25">
      <c r="G885" s="589">
        <f t="shared" si="46"/>
        <v>0.73800000000000143</v>
      </c>
      <c r="H885" s="407">
        <f t="shared" si="45"/>
        <v>0.73800000000000143</v>
      </c>
      <c r="I885" s="407">
        <f t="shared" si="45"/>
        <v>-0.54464400000000213</v>
      </c>
      <c r="J885" s="407">
        <f t="shared" si="45"/>
        <v>0.60292090800000353</v>
      </c>
      <c r="K885" s="589">
        <f t="shared" ref="K885:K948" si="47">SUM(H885:J885)</f>
        <v>0.79627690800000284</v>
      </c>
    </row>
    <row r="886" spans="7:11" customFormat="1" x14ac:dyDescent="0.25">
      <c r="G886" s="589">
        <f t="shared" si="46"/>
        <v>0.74000000000000143</v>
      </c>
      <c r="H886" s="407">
        <f t="shared" si="45"/>
        <v>0.74000000000000143</v>
      </c>
      <c r="I886" s="407">
        <f t="shared" si="45"/>
        <v>-0.54760000000000209</v>
      </c>
      <c r="J886" s="407">
        <f t="shared" si="45"/>
        <v>0.60783600000000348</v>
      </c>
      <c r="K886" s="589">
        <f t="shared" si="47"/>
        <v>0.80023600000000283</v>
      </c>
    </row>
    <row r="887" spans="7:11" customFormat="1" x14ac:dyDescent="0.25">
      <c r="G887" s="589">
        <f t="shared" si="46"/>
        <v>0.74200000000000144</v>
      </c>
      <c r="H887" s="407">
        <f t="shared" si="45"/>
        <v>0.74200000000000144</v>
      </c>
      <c r="I887" s="407">
        <f t="shared" si="45"/>
        <v>-0.55056400000000216</v>
      </c>
      <c r="J887" s="407">
        <f t="shared" si="45"/>
        <v>0.61277773200000363</v>
      </c>
      <c r="K887" s="589">
        <f t="shared" si="47"/>
        <v>0.8042137320000029</v>
      </c>
    </row>
    <row r="888" spans="7:11" customFormat="1" x14ac:dyDescent="0.25">
      <c r="G888" s="589">
        <f t="shared" si="46"/>
        <v>0.74400000000000144</v>
      </c>
      <c r="H888" s="407">
        <f t="shared" si="45"/>
        <v>0.74400000000000144</v>
      </c>
      <c r="I888" s="407">
        <f t="shared" si="45"/>
        <v>-0.55353600000000214</v>
      </c>
      <c r="J888" s="407">
        <f t="shared" si="45"/>
        <v>0.61774617600000359</v>
      </c>
      <c r="K888" s="589">
        <f t="shared" si="47"/>
        <v>0.80821017600000289</v>
      </c>
    </row>
    <row r="889" spans="7:11" customFormat="1" x14ac:dyDescent="0.25">
      <c r="G889" s="589">
        <f t="shared" si="46"/>
        <v>0.74600000000000144</v>
      </c>
      <c r="H889" s="407">
        <f t="shared" si="45"/>
        <v>0.74600000000000144</v>
      </c>
      <c r="I889" s="407">
        <f t="shared" si="45"/>
        <v>-0.55651600000000212</v>
      </c>
      <c r="J889" s="407">
        <f t="shared" si="45"/>
        <v>0.62274140400000355</v>
      </c>
      <c r="K889" s="589">
        <f t="shared" si="47"/>
        <v>0.81222540400000287</v>
      </c>
    </row>
    <row r="890" spans="7:11" customFormat="1" x14ac:dyDescent="0.25">
      <c r="G890" s="589">
        <f t="shared" si="46"/>
        <v>0.74800000000000144</v>
      </c>
      <c r="H890" s="407">
        <f t="shared" ref="H890:J953" si="48">($G890^H$15*(-H$15)^(-1+H$15))/FACT(H$15)</f>
        <v>0.74800000000000144</v>
      </c>
      <c r="I890" s="407">
        <f t="shared" si="48"/>
        <v>-0.55950400000000211</v>
      </c>
      <c r="J890" s="407">
        <f t="shared" si="48"/>
        <v>0.62776348800000359</v>
      </c>
      <c r="K890" s="589">
        <f t="shared" si="47"/>
        <v>0.81625948800000292</v>
      </c>
    </row>
    <row r="891" spans="7:11" customFormat="1" x14ac:dyDescent="0.25">
      <c r="G891" s="589">
        <f t="shared" si="46"/>
        <v>0.75000000000000144</v>
      </c>
      <c r="H891" s="407">
        <f t="shared" si="48"/>
        <v>0.75000000000000144</v>
      </c>
      <c r="I891" s="407">
        <f t="shared" si="48"/>
        <v>-0.56250000000000222</v>
      </c>
      <c r="J891" s="407">
        <f t="shared" si="48"/>
        <v>0.63281250000000377</v>
      </c>
      <c r="K891" s="589">
        <f t="shared" si="47"/>
        <v>0.820312500000003</v>
      </c>
    </row>
    <row r="892" spans="7:11" customFormat="1" x14ac:dyDescent="0.25">
      <c r="G892" s="589">
        <f t="shared" si="46"/>
        <v>0.75200000000000145</v>
      </c>
      <c r="H892" s="407">
        <f t="shared" si="48"/>
        <v>0.75200000000000145</v>
      </c>
      <c r="I892" s="407">
        <f t="shared" si="48"/>
        <v>-0.56550400000000223</v>
      </c>
      <c r="J892" s="407">
        <f t="shared" si="48"/>
        <v>0.63788851200000374</v>
      </c>
      <c r="K892" s="589">
        <f t="shared" si="47"/>
        <v>0.82438451200000296</v>
      </c>
    </row>
    <row r="893" spans="7:11" customFormat="1" x14ac:dyDescent="0.25">
      <c r="G893" s="589">
        <f t="shared" si="46"/>
        <v>0.75400000000000145</v>
      </c>
      <c r="H893" s="407">
        <f t="shared" si="48"/>
        <v>0.75400000000000145</v>
      </c>
      <c r="I893" s="407">
        <f t="shared" si="48"/>
        <v>-0.56851600000000213</v>
      </c>
      <c r="J893" s="407">
        <f t="shared" si="48"/>
        <v>0.64299159600000366</v>
      </c>
      <c r="K893" s="589">
        <f t="shared" si="47"/>
        <v>0.82847559600000298</v>
      </c>
    </row>
    <row r="894" spans="7:11" customFormat="1" x14ac:dyDescent="0.25">
      <c r="G894" s="589">
        <f t="shared" si="46"/>
        <v>0.75600000000000145</v>
      </c>
      <c r="H894" s="407">
        <f t="shared" si="48"/>
        <v>0.75600000000000145</v>
      </c>
      <c r="I894" s="407">
        <f t="shared" si="48"/>
        <v>-0.57153600000000215</v>
      </c>
      <c r="J894" s="407">
        <f t="shared" si="48"/>
        <v>0.64812182400000362</v>
      </c>
      <c r="K894" s="589">
        <f t="shared" si="47"/>
        <v>0.83258582400000292</v>
      </c>
    </row>
    <row r="895" spans="7:11" customFormat="1" x14ac:dyDescent="0.25">
      <c r="G895" s="589">
        <f t="shared" si="46"/>
        <v>0.75800000000000145</v>
      </c>
      <c r="H895" s="407">
        <f t="shared" si="48"/>
        <v>0.75800000000000145</v>
      </c>
      <c r="I895" s="407">
        <f t="shared" si="48"/>
        <v>-0.57456400000000218</v>
      </c>
      <c r="J895" s="407">
        <f t="shared" si="48"/>
        <v>0.6532792680000038</v>
      </c>
      <c r="K895" s="589">
        <f t="shared" si="47"/>
        <v>0.83671526800000307</v>
      </c>
    </row>
    <row r="896" spans="7:11" customFormat="1" x14ac:dyDescent="0.25">
      <c r="G896" s="589">
        <f t="shared" si="46"/>
        <v>0.76000000000000145</v>
      </c>
      <c r="H896" s="407">
        <f t="shared" si="48"/>
        <v>0.76000000000000145</v>
      </c>
      <c r="I896" s="407">
        <f t="shared" si="48"/>
        <v>-0.57760000000000222</v>
      </c>
      <c r="J896" s="407">
        <f t="shared" si="48"/>
        <v>0.65846400000000382</v>
      </c>
      <c r="K896" s="589">
        <f t="shared" si="47"/>
        <v>0.84086400000000305</v>
      </c>
    </row>
    <row r="897" spans="7:11" customFormat="1" x14ac:dyDescent="0.25">
      <c r="G897" s="589">
        <f t="shared" si="46"/>
        <v>0.76200000000000145</v>
      </c>
      <c r="H897" s="407">
        <f t="shared" si="48"/>
        <v>0.76200000000000145</v>
      </c>
      <c r="I897" s="407">
        <f t="shared" si="48"/>
        <v>-0.58064400000000227</v>
      </c>
      <c r="J897" s="407">
        <f t="shared" si="48"/>
        <v>0.66367609200000388</v>
      </c>
      <c r="K897" s="589">
        <f t="shared" si="47"/>
        <v>0.84503209200000307</v>
      </c>
    </row>
    <row r="898" spans="7:11" customFormat="1" x14ac:dyDescent="0.25">
      <c r="G898" s="589">
        <f t="shared" si="46"/>
        <v>0.76400000000000146</v>
      </c>
      <c r="H898" s="407">
        <f t="shared" si="48"/>
        <v>0.76400000000000146</v>
      </c>
      <c r="I898" s="407">
        <f t="shared" si="48"/>
        <v>-0.58369600000000221</v>
      </c>
      <c r="J898" s="407">
        <f t="shared" si="48"/>
        <v>0.66891561600000371</v>
      </c>
      <c r="K898" s="589">
        <f t="shared" si="47"/>
        <v>0.84921961600000295</v>
      </c>
    </row>
    <row r="899" spans="7:11" customFormat="1" x14ac:dyDescent="0.25">
      <c r="G899" s="589">
        <f t="shared" si="46"/>
        <v>0.76600000000000146</v>
      </c>
      <c r="H899" s="407">
        <f t="shared" si="48"/>
        <v>0.76600000000000146</v>
      </c>
      <c r="I899" s="407">
        <f t="shared" si="48"/>
        <v>-0.58675600000000228</v>
      </c>
      <c r="J899" s="407">
        <f t="shared" si="48"/>
        <v>0.67418264400000394</v>
      </c>
      <c r="K899" s="589">
        <f t="shared" si="47"/>
        <v>0.85342664400000312</v>
      </c>
    </row>
    <row r="900" spans="7:11" customFormat="1" x14ac:dyDescent="0.25">
      <c r="G900" s="589">
        <f t="shared" si="46"/>
        <v>0.76800000000000146</v>
      </c>
      <c r="H900" s="407">
        <f t="shared" si="48"/>
        <v>0.76800000000000146</v>
      </c>
      <c r="I900" s="407">
        <f t="shared" si="48"/>
        <v>-0.58982400000000224</v>
      </c>
      <c r="J900" s="407">
        <f t="shared" si="48"/>
        <v>0.67947724800000386</v>
      </c>
      <c r="K900" s="589">
        <f t="shared" si="47"/>
        <v>0.85765324800000309</v>
      </c>
    </row>
    <row r="901" spans="7:11" customFormat="1" x14ac:dyDescent="0.25">
      <c r="G901" s="589">
        <f t="shared" si="46"/>
        <v>0.77000000000000146</v>
      </c>
      <c r="H901" s="407">
        <f t="shared" si="48"/>
        <v>0.77000000000000146</v>
      </c>
      <c r="I901" s="407">
        <f t="shared" si="48"/>
        <v>-0.5929000000000022</v>
      </c>
      <c r="J901" s="407">
        <f t="shared" si="48"/>
        <v>0.68479950000000389</v>
      </c>
      <c r="K901" s="589">
        <f t="shared" si="47"/>
        <v>0.86189950000000315</v>
      </c>
    </row>
    <row r="902" spans="7:11" customFormat="1" x14ac:dyDescent="0.25">
      <c r="G902" s="589">
        <f t="shared" si="46"/>
        <v>0.77200000000000146</v>
      </c>
      <c r="H902" s="407">
        <f t="shared" si="48"/>
        <v>0.77200000000000146</v>
      </c>
      <c r="I902" s="407">
        <f t="shared" si="48"/>
        <v>-0.59598400000000229</v>
      </c>
      <c r="J902" s="407">
        <f t="shared" si="48"/>
        <v>0.69014947200000398</v>
      </c>
      <c r="K902" s="589">
        <f t="shared" si="47"/>
        <v>0.86616547200000316</v>
      </c>
    </row>
    <row r="903" spans="7:11" customFormat="1" x14ac:dyDescent="0.25">
      <c r="G903" s="589">
        <f t="shared" si="46"/>
        <v>0.77400000000000146</v>
      </c>
      <c r="H903" s="407">
        <f t="shared" si="48"/>
        <v>0.77400000000000146</v>
      </c>
      <c r="I903" s="407">
        <f t="shared" si="48"/>
        <v>-0.59907600000000227</v>
      </c>
      <c r="J903" s="407">
        <f t="shared" si="48"/>
        <v>0.6955272360000041</v>
      </c>
      <c r="K903" s="589">
        <f t="shared" si="47"/>
        <v>0.87045123600000329</v>
      </c>
    </row>
    <row r="904" spans="7:11" customFormat="1" x14ac:dyDescent="0.25">
      <c r="G904" s="589">
        <f t="shared" si="46"/>
        <v>0.77600000000000147</v>
      </c>
      <c r="H904" s="407">
        <f t="shared" si="48"/>
        <v>0.77600000000000147</v>
      </c>
      <c r="I904" s="407">
        <f t="shared" si="48"/>
        <v>-0.60217600000000227</v>
      </c>
      <c r="J904" s="407">
        <f t="shared" si="48"/>
        <v>0.70093286400000387</v>
      </c>
      <c r="K904" s="589">
        <f t="shared" si="47"/>
        <v>0.87475686400000308</v>
      </c>
    </row>
    <row r="905" spans="7:11" customFormat="1" x14ac:dyDescent="0.25">
      <c r="G905" s="589">
        <f t="shared" si="46"/>
        <v>0.77800000000000147</v>
      </c>
      <c r="H905" s="407">
        <f t="shared" si="48"/>
        <v>0.77800000000000147</v>
      </c>
      <c r="I905" s="407">
        <f t="shared" si="48"/>
        <v>-0.60528400000000226</v>
      </c>
      <c r="J905" s="407">
        <f t="shared" si="48"/>
        <v>0.70636642800000393</v>
      </c>
      <c r="K905" s="589">
        <f t="shared" si="47"/>
        <v>0.87908242800000314</v>
      </c>
    </row>
    <row r="906" spans="7:11" customFormat="1" x14ac:dyDescent="0.25">
      <c r="G906" s="589">
        <f t="shared" si="46"/>
        <v>0.78000000000000147</v>
      </c>
      <c r="H906" s="407">
        <f t="shared" si="48"/>
        <v>0.78000000000000147</v>
      </c>
      <c r="I906" s="407">
        <f t="shared" si="48"/>
        <v>-0.60840000000000227</v>
      </c>
      <c r="J906" s="407">
        <f t="shared" si="48"/>
        <v>0.71182800000000401</v>
      </c>
      <c r="K906" s="589">
        <f t="shared" si="47"/>
        <v>0.88342800000000321</v>
      </c>
    </row>
    <row r="907" spans="7:11" customFormat="1" x14ac:dyDescent="0.25">
      <c r="G907" s="589">
        <f t="shared" si="46"/>
        <v>0.78200000000000147</v>
      </c>
      <c r="H907" s="407">
        <f t="shared" si="48"/>
        <v>0.78200000000000147</v>
      </c>
      <c r="I907" s="407">
        <f t="shared" si="48"/>
        <v>-0.61152400000000229</v>
      </c>
      <c r="J907" s="407">
        <f t="shared" si="48"/>
        <v>0.71731765200000408</v>
      </c>
      <c r="K907" s="589">
        <f t="shared" si="47"/>
        <v>0.88779365200000326</v>
      </c>
    </row>
    <row r="908" spans="7:11" customFormat="1" x14ac:dyDescent="0.25">
      <c r="G908" s="589">
        <f t="shared" si="46"/>
        <v>0.78400000000000147</v>
      </c>
      <c r="H908" s="407">
        <f t="shared" si="48"/>
        <v>0.78400000000000147</v>
      </c>
      <c r="I908" s="407">
        <f t="shared" si="48"/>
        <v>-0.61465600000000231</v>
      </c>
      <c r="J908" s="407">
        <f t="shared" si="48"/>
        <v>0.72283545600000398</v>
      </c>
      <c r="K908" s="589">
        <f t="shared" si="47"/>
        <v>0.89217945600000315</v>
      </c>
    </row>
    <row r="909" spans="7:11" customFormat="1" x14ac:dyDescent="0.25">
      <c r="G909" s="589">
        <f t="shared" si="46"/>
        <v>0.78600000000000148</v>
      </c>
      <c r="H909" s="407">
        <f t="shared" si="48"/>
        <v>0.78600000000000148</v>
      </c>
      <c r="I909" s="407">
        <f t="shared" si="48"/>
        <v>-0.61779600000000234</v>
      </c>
      <c r="J909" s="407">
        <f t="shared" si="48"/>
        <v>0.72838148400000413</v>
      </c>
      <c r="K909" s="589">
        <f t="shared" si="47"/>
        <v>0.89658548400000326</v>
      </c>
    </row>
    <row r="910" spans="7:11" customFormat="1" x14ac:dyDescent="0.25">
      <c r="G910" s="589">
        <f t="shared" si="46"/>
        <v>0.78800000000000148</v>
      </c>
      <c r="H910" s="407">
        <f t="shared" si="48"/>
        <v>0.78800000000000148</v>
      </c>
      <c r="I910" s="407">
        <f t="shared" si="48"/>
        <v>-0.62094400000000238</v>
      </c>
      <c r="J910" s="407">
        <f t="shared" si="48"/>
        <v>0.73395580800000415</v>
      </c>
      <c r="K910" s="589">
        <f t="shared" si="47"/>
        <v>0.90101180800000324</v>
      </c>
    </row>
    <row r="911" spans="7:11" customFormat="1" x14ac:dyDescent="0.25">
      <c r="G911" s="589">
        <f t="shared" si="46"/>
        <v>0.79000000000000148</v>
      </c>
      <c r="H911" s="407">
        <f t="shared" si="48"/>
        <v>0.79000000000000148</v>
      </c>
      <c r="I911" s="407">
        <f t="shared" si="48"/>
        <v>-0.62410000000000232</v>
      </c>
      <c r="J911" s="407">
        <f t="shared" si="48"/>
        <v>0.73955850000000423</v>
      </c>
      <c r="K911" s="589">
        <f t="shared" si="47"/>
        <v>0.90545850000000339</v>
      </c>
    </row>
    <row r="912" spans="7:11" customFormat="1" x14ac:dyDescent="0.25">
      <c r="G912" s="589">
        <f t="shared" si="46"/>
        <v>0.79200000000000148</v>
      </c>
      <c r="H912" s="407">
        <f t="shared" si="48"/>
        <v>0.79200000000000148</v>
      </c>
      <c r="I912" s="407">
        <f t="shared" si="48"/>
        <v>-0.62726400000000238</v>
      </c>
      <c r="J912" s="407">
        <f t="shared" si="48"/>
        <v>0.74518963200000421</v>
      </c>
      <c r="K912" s="589">
        <f t="shared" si="47"/>
        <v>0.90992563200000331</v>
      </c>
    </row>
    <row r="913" spans="7:11" customFormat="1" x14ac:dyDescent="0.25">
      <c r="G913" s="589">
        <f t="shared" ref="G913:G976" si="49">G912+$K$14</f>
        <v>0.79400000000000148</v>
      </c>
      <c r="H913" s="407">
        <f t="shared" si="48"/>
        <v>0.79400000000000148</v>
      </c>
      <c r="I913" s="407">
        <f t="shared" si="48"/>
        <v>-0.63043600000000233</v>
      </c>
      <c r="J913" s="407">
        <f t="shared" si="48"/>
        <v>0.75084927600000417</v>
      </c>
      <c r="K913" s="589">
        <f t="shared" si="47"/>
        <v>0.91441327600000333</v>
      </c>
    </row>
    <row r="914" spans="7:11" customFormat="1" x14ac:dyDescent="0.25">
      <c r="G914" s="589">
        <f t="shared" si="49"/>
        <v>0.79600000000000148</v>
      </c>
      <c r="H914" s="407">
        <f t="shared" si="48"/>
        <v>0.79600000000000148</v>
      </c>
      <c r="I914" s="407">
        <f t="shared" si="48"/>
        <v>-0.6336160000000024</v>
      </c>
      <c r="J914" s="407">
        <f t="shared" si="48"/>
        <v>0.7565375040000043</v>
      </c>
      <c r="K914" s="589">
        <f t="shared" si="47"/>
        <v>0.91892150400000339</v>
      </c>
    </row>
    <row r="915" spans="7:11" customFormat="1" x14ac:dyDescent="0.25">
      <c r="G915" s="589">
        <f t="shared" si="49"/>
        <v>0.79800000000000149</v>
      </c>
      <c r="H915" s="407">
        <f t="shared" si="48"/>
        <v>0.79800000000000149</v>
      </c>
      <c r="I915" s="407">
        <f t="shared" si="48"/>
        <v>-0.63680400000000237</v>
      </c>
      <c r="J915" s="407">
        <f t="shared" si="48"/>
        <v>0.76225438800000445</v>
      </c>
      <c r="K915" s="589">
        <f t="shared" si="47"/>
        <v>0.92345038800000356</v>
      </c>
    </row>
    <row r="916" spans="7:11" customFormat="1" x14ac:dyDescent="0.25">
      <c r="G916" s="589">
        <f t="shared" si="49"/>
        <v>0.80000000000000149</v>
      </c>
      <c r="H916" s="407">
        <f t="shared" si="48"/>
        <v>0.80000000000000149</v>
      </c>
      <c r="I916" s="407">
        <f t="shared" si="48"/>
        <v>-0.64000000000000234</v>
      </c>
      <c r="J916" s="407">
        <f t="shared" si="48"/>
        <v>0.76800000000000423</v>
      </c>
      <c r="K916" s="589">
        <f t="shared" si="47"/>
        <v>0.92800000000000338</v>
      </c>
    </row>
    <row r="917" spans="7:11" customFormat="1" x14ac:dyDescent="0.25">
      <c r="G917" s="589">
        <f t="shared" si="49"/>
        <v>0.80200000000000149</v>
      </c>
      <c r="H917" s="407">
        <f t="shared" si="48"/>
        <v>0.80200000000000149</v>
      </c>
      <c r="I917" s="407">
        <f t="shared" si="48"/>
        <v>-0.64320400000000244</v>
      </c>
      <c r="J917" s="407">
        <f t="shared" si="48"/>
        <v>0.7737744120000043</v>
      </c>
      <c r="K917" s="589">
        <f t="shared" si="47"/>
        <v>0.93257041200000335</v>
      </c>
    </row>
    <row r="918" spans="7:11" customFormat="1" x14ac:dyDescent="0.25">
      <c r="G918" s="589">
        <f t="shared" si="49"/>
        <v>0.80400000000000149</v>
      </c>
      <c r="H918" s="407">
        <f t="shared" si="48"/>
        <v>0.80400000000000149</v>
      </c>
      <c r="I918" s="407">
        <f t="shared" si="48"/>
        <v>-0.64641600000000243</v>
      </c>
      <c r="J918" s="407">
        <f t="shared" si="48"/>
        <v>0.77957769600000437</v>
      </c>
      <c r="K918" s="589">
        <f t="shared" si="47"/>
        <v>0.93716169600000343</v>
      </c>
    </row>
    <row r="919" spans="7:11" customFormat="1" x14ac:dyDescent="0.25">
      <c r="G919" s="589">
        <f t="shared" si="49"/>
        <v>0.80600000000000149</v>
      </c>
      <c r="H919" s="407">
        <f t="shared" si="48"/>
        <v>0.80600000000000149</v>
      </c>
      <c r="I919" s="407">
        <f t="shared" si="48"/>
        <v>-0.64963600000000243</v>
      </c>
      <c r="J919" s="407">
        <f t="shared" si="48"/>
        <v>0.78540992400000442</v>
      </c>
      <c r="K919" s="589">
        <f t="shared" si="47"/>
        <v>0.94177392400000348</v>
      </c>
    </row>
    <row r="920" spans="7:11" customFormat="1" x14ac:dyDescent="0.25">
      <c r="G920" s="589">
        <f t="shared" si="49"/>
        <v>0.80800000000000149</v>
      </c>
      <c r="H920" s="407">
        <f t="shared" si="48"/>
        <v>0.80800000000000149</v>
      </c>
      <c r="I920" s="407">
        <f t="shared" si="48"/>
        <v>-0.65286400000000244</v>
      </c>
      <c r="J920" s="407">
        <f t="shared" si="48"/>
        <v>0.79127116800000452</v>
      </c>
      <c r="K920" s="589">
        <f t="shared" si="47"/>
        <v>0.94640716800000357</v>
      </c>
    </row>
    <row r="921" spans="7:11" customFormat="1" x14ac:dyDescent="0.25">
      <c r="G921" s="589">
        <f t="shared" si="49"/>
        <v>0.8100000000000015</v>
      </c>
      <c r="H921" s="407">
        <f t="shared" si="48"/>
        <v>0.8100000000000015</v>
      </c>
      <c r="I921" s="407">
        <f t="shared" si="48"/>
        <v>-0.65610000000000246</v>
      </c>
      <c r="J921" s="407">
        <f t="shared" si="48"/>
        <v>0.79716150000000441</v>
      </c>
      <c r="K921" s="589">
        <f t="shared" si="47"/>
        <v>0.95106150000000345</v>
      </c>
    </row>
    <row r="922" spans="7:11" customFormat="1" x14ac:dyDescent="0.25">
      <c r="G922" s="589">
        <f t="shared" si="49"/>
        <v>0.8120000000000015</v>
      </c>
      <c r="H922" s="407">
        <f t="shared" si="48"/>
        <v>0.8120000000000015</v>
      </c>
      <c r="I922" s="407">
        <f t="shared" si="48"/>
        <v>-0.65934400000000248</v>
      </c>
      <c r="J922" s="407">
        <f t="shared" si="48"/>
        <v>0.80308099200000449</v>
      </c>
      <c r="K922" s="589">
        <f t="shared" si="47"/>
        <v>0.9557369920000035</v>
      </c>
    </row>
    <row r="923" spans="7:11" customFormat="1" x14ac:dyDescent="0.25">
      <c r="G923" s="589">
        <f t="shared" si="49"/>
        <v>0.8140000000000015</v>
      </c>
      <c r="H923" s="407">
        <f t="shared" si="48"/>
        <v>0.8140000000000015</v>
      </c>
      <c r="I923" s="407">
        <f t="shared" si="48"/>
        <v>-0.66259600000000241</v>
      </c>
      <c r="J923" s="407">
        <f t="shared" si="48"/>
        <v>0.80902971600000451</v>
      </c>
      <c r="K923" s="589">
        <f t="shared" si="47"/>
        <v>0.9604337160000036</v>
      </c>
    </row>
    <row r="924" spans="7:11" customFormat="1" x14ac:dyDescent="0.25">
      <c r="G924" s="589">
        <f t="shared" si="49"/>
        <v>0.8160000000000015</v>
      </c>
      <c r="H924" s="407">
        <f t="shared" si="48"/>
        <v>0.8160000000000015</v>
      </c>
      <c r="I924" s="407">
        <f t="shared" si="48"/>
        <v>-0.66585600000000245</v>
      </c>
      <c r="J924" s="407">
        <f t="shared" si="48"/>
        <v>0.81500774400000442</v>
      </c>
      <c r="K924" s="589">
        <f t="shared" si="47"/>
        <v>0.96515174400000348</v>
      </c>
    </row>
    <row r="925" spans="7:11" customFormat="1" x14ac:dyDescent="0.25">
      <c r="G925" s="589">
        <f t="shared" si="49"/>
        <v>0.8180000000000015</v>
      </c>
      <c r="H925" s="407">
        <f t="shared" si="48"/>
        <v>0.8180000000000015</v>
      </c>
      <c r="I925" s="407">
        <f t="shared" si="48"/>
        <v>-0.66912400000000249</v>
      </c>
      <c r="J925" s="407">
        <f t="shared" si="48"/>
        <v>0.82101514800000464</v>
      </c>
      <c r="K925" s="589">
        <f t="shared" si="47"/>
        <v>0.96989114800000364</v>
      </c>
    </row>
    <row r="926" spans="7:11" customFormat="1" x14ac:dyDescent="0.25">
      <c r="G926" s="589">
        <f t="shared" si="49"/>
        <v>0.82000000000000151</v>
      </c>
      <c r="H926" s="407">
        <f t="shared" si="48"/>
        <v>0.82000000000000151</v>
      </c>
      <c r="I926" s="407">
        <f t="shared" si="48"/>
        <v>-0.67240000000000244</v>
      </c>
      <c r="J926" s="407">
        <f t="shared" si="48"/>
        <v>0.82705200000000445</v>
      </c>
      <c r="K926" s="589">
        <f t="shared" si="47"/>
        <v>0.97465200000000352</v>
      </c>
    </row>
    <row r="927" spans="7:11" customFormat="1" x14ac:dyDescent="0.25">
      <c r="G927" s="589">
        <f t="shared" si="49"/>
        <v>0.82200000000000151</v>
      </c>
      <c r="H927" s="407">
        <f t="shared" si="48"/>
        <v>0.82200000000000151</v>
      </c>
      <c r="I927" s="407">
        <f t="shared" si="48"/>
        <v>-0.6756840000000025</v>
      </c>
      <c r="J927" s="407">
        <f t="shared" si="48"/>
        <v>0.83311837200000471</v>
      </c>
      <c r="K927" s="589">
        <f t="shared" si="47"/>
        <v>0.97943437200000372</v>
      </c>
    </row>
    <row r="928" spans="7:11" customFormat="1" x14ac:dyDescent="0.25">
      <c r="G928" s="589">
        <f t="shared" si="49"/>
        <v>0.82400000000000151</v>
      </c>
      <c r="H928" s="407">
        <f t="shared" si="48"/>
        <v>0.82400000000000151</v>
      </c>
      <c r="I928" s="407">
        <f t="shared" si="48"/>
        <v>-0.67897600000000247</v>
      </c>
      <c r="J928" s="407">
        <f t="shared" si="48"/>
        <v>0.8392143360000045</v>
      </c>
      <c r="K928" s="589">
        <f t="shared" si="47"/>
        <v>0.98423833600000354</v>
      </c>
    </row>
    <row r="929" spans="7:11" customFormat="1" x14ac:dyDescent="0.25">
      <c r="G929" s="589">
        <f t="shared" si="49"/>
        <v>0.82600000000000151</v>
      </c>
      <c r="H929" s="407">
        <f t="shared" si="48"/>
        <v>0.82600000000000151</v>
      </c>
      <c r="I929" s="407">
        <f t="shared" si="48"/>
        <v>-0.68227600000000255</v>
      </c>
      <c r="J929" s="407">
        <f t="shared" si="48"/>
        <v>0.84533996400000477</v>
      </c>
      <c r="K929" s="589">
        <f t="shared" si="47"/>
        <v>0.98906396400000374</v>
      </c>
    </row>
    <row r="930" spans="7:11" customFormat="1" x14ac:dyDescent="0.25">
      <c r="G930" s="589">
        <f t="shared" si="49"/>
        <v>0.82800000000000151</v>
      </c>
      <c r="H930" s="407">
        <f t="shared" si="48"/>
        <v>0.82800000000000151</v>
      </c>
      <c r="I930" s="407">
        <f t="shared" si="48"/>
        <v>-0.68558400000000252</v>
      </c>
      <c r="J930" s="407">
        <f t="shared" si="48"/>
        <v>0.85149532800000483</v>
      </c>
      <c r="K930" s="589">
        <f t="shared" si="47"/>
        <v>0.99391132800000381</v>
      </c>
    </row>
    <row r="931" spans="7:11" customFormat="1" x14ac:dyDescent="0.25">
      <c r="G931" s="589">
        <f t="shared" si="49"/>
        <v>0.83000000000000151</v>
      </c>
      <c r="H931" s="407">
        <f t="shared" si="48"/>
        <v>0.83000000000000151</v>
      </c>
      <c r="I931" s="407">
        <f t="shared" si="48"/>
        <v>-0.68890000000000251</v>
      </c>
      <c r="J931" s="407">
        <f t="shared" si="48"/>
        <v>0.85768050000000473</v>
      </c>
      <c r="K931" s="589">
        <f t="shared" si="47"/>
        <v>0.99878050000000373</v>
      </c>
    </row>
    <row r="932" spans="7:11" customFormat="1" x14ac:dyDescent="0.25">
      <c r="G932" s="589">
        <f t="shared" si="49"/>
        <v>0.83200000000000152</v>
      </c>
      <c r="H932" s="407">
        <f t="shared" si="48"/>
        <v>0.83200000000000152</v>
      </c>
      <c r="I932" s="407">
        <f t="shared" si="48"/>
        <v>-0.6922240000000025</v>
      </c>
      <c r="J932" s="407">
        <f t="shared" si="48"/>
        <v>0.86389555200000467</v>
      </c>
      <c r="K932" s="589">
        <f t="shared" si="47"/>
        <v>1.0036715520000037</v>
      </c>
    </row>
    <row r="933" spans="7:11" customFormat="1" x14ac:dyDescent="0.25">
      <c r="G933" s="589">
        <f t="shared" si="49"/>
        <v>0.83400000000000152</v>
      </c>
      <c r="H933" s="407">
        <f t="shared" si="48"/>
        <v>0.83400000000000152</v>
      </c>
      <c r="I933" s="407">
        <f t="shared" si="48"/>
        <v>-0.69555600000000251</v>
      </c>
      <c r="J933" s="407">
        <f t="shared" si="48"/>
        <v>0.87014055600000473</v>
      </c>
      <c r="K933" s="589">
        <f t="shared" si="47"/>
        <v>1.0085845560000037</v>
      </c>
    </row>
    <row r="934" spans="7:11" customFormat="1" x14ac:dyDescent="0.25">
      <c r="G934" s="589">
        <f t="shared" si="49"/>
        <v>0.83600000000000152</v>
      </c>
      <c r="H934" s="407">
        <f t="shared" si="48"/>
        <v>0.83600000000000152</v>
      </c>
      <c r="I934" s="407">
        <f t="shared" si="48"/>
        <v>-0.69889600000000252</v>
      </c>
      <c r="J934" s="407">
        <f t="shared" si="48"/>
        <v>0.87641558400000463</v>
      </c>
      <c r="K934" s="589">
        <f t="shared" si="47"/>
        <v>1.0135195840000035</v>
      </c>
    </row>
    <row r="935" spans="7:11" customFormat="1" x14ac:dyDescent="0.25">
      <c r="G935" s="589">
        <f t="shared" si="49"/>
        <v>0.83800000000000152</v>
      </c>
      <c r="H935" s="407">
        <f t="shared" si="48"/>
        <v>0.83800000000000152</v>
      </c>
      <c r="I935" s="407">
        <f t="shared" si="48"/>
        <v>-0.70224400000000253</v>
      </c>
      <c r="J935" s="407">
        <f t="shared" si="48"/>
        <v>0.88272070800000479</v>
      </c>
      <c r="K935" s="589">
        <f t="shared" si="47"/>
        <v>1.0184767080000037</v>
      </c>
    </row>
    <row r="936" spans="7:11" customFormat="1" x14ac:dyDescent="0.25">
      <c r="G936" s="589">
        <f t="shared" si="49"/>
        <v>0.84000000000000152</v>
      </c>
      <c r="H936" s="407">
        <f t="shared" si="48"/>
        <v>0.84000000000000152</v>
      </c>
      <c r="I936" s="407">
        <f t="shared" si="48"/>
        <v>-0.70560000000000256</v>
      </c>
      <c r="J936" s="407">
        <f t="shared" si="48"/>
        <v>0.88905600000000484</v>
      </c>
      <c r="K936" s="589">
        <f t="shared" si="47"/>
        <v>1.0234560000000039</v>
      </c>
    </row>
    <row r="937" spans="7:11" customFormat="1" x14ac:dyDescent="0.25">
      <c r="G937" s="589">
        <f t="shared" si="49"/>
        <v>0.84200000000000153</v>
      </c>
      <c r="H937" s="407">
        <f t="shared" si="48"/>
        <v>0.84200000000000153</v>
      </c>
      <c r="I937" s="407">
        <f t="shared" si="48"/>
        <v>-0.70896400000000259</v>
      </c>
      <c r="J937" s="407">
        <f t="shared" si="48"/>
        <v>0.89542153200000507</v>
      </c>
      <c r="K937" s="589">
        <f t="shared" si="47"/>
        <v>1.028457532000004</v>
      </c>
    </row>
    <row r="938" spans="7:11" customFormat="1" x14ac:dyDescent="0.25">
      <c r="G938" s="589">
        <f t="shared" si="49"/>
        <v>0.84400000000000153</v>
      </c>
      <c r="H938" s="407">
        <f t="shared" si="48"/>
        <v>0.84400000000000153</v>
      </c>
      <c r="I938" s="407">
        <f t="shared" si="48"/>
        <v>-0.71233600000000252</v>
      </c>
      <c r="J938" s="407">
        <f t="shared" si="48"/>
        <v>0.90181737600000478</v>
      </c>
      <c r="K938" s="589">
        <f t="shared" si="47"/>
        <v>1.0334813760000037</v>
      </c>
    </row>
    <row r="939" spans="7:11" customFormat="1" x14ac:dyDescent="0.25">
      <c r="G939" s="589">
        <f t="shared" si="49"/>
        <v>0.84600000000000153</v>
      </c>
      <c r="H939" s="407">
        <f t="shared" si="48"/>
        <v>0.84600000000000153</v>
      </c>
      <c r="I939" s="407">
        <f t="shared" si="48"/>
        <v>-0.71571600000000257</v>
      </c>
      <c r="J939" s="407">
        <f t="shared" si="48"/>
        <v>0.90824360400000492</v>
      </c>
      <c r="K939" s="589">
        <f t="shared" si="47"/>
        <v>1.038527604000004</v>
      </c>
    </row>
    <row r="940" spans="7:11" customFormat="1" x14ac:dyDescent="0.25">
      <c r="G940" s="589">
        <f t="shared" si="49"/>
        <v>0.84800000000000153</v>
      </c>
      <c r="H940" s="407">
        <f t="shared" si="48"/>
        <v>0.84800000000000153</v>
      </c>
      <c r="I940" s="407">
        <f t="shared" si="48"/>
        <v>-0.71910400000000263</v>
      </c>
      <c r="J940" s="407">
        <f t="shared" si="48"/>
        <v>0.91470028800000502</v>
      </c>
      <c r="K940" s="589">
        <f t="shared" si="47"/>
        <v>1.0435962880000038</v>
      </c>
    </row>
    <row r="941" spans="7:11" customFormat="1" x14ac:dyDescent="0.25">
      <c r="G941" s="589">
        <f t="shared" si="49"/>
        <v>0.85000000000000153</v>
      </c>
      <c r="H941" s="407">
        <f t="shared" si="48"/>
        <v>0.85000000000000153</v>
      </c>
      <c r="I941" s="407">
        <f t="shared" si="48"/>
        <v>-0.72250000000000258</v>
      </c>
      <c r="J941" s="407">
        <f t="shared" si="48"/>
        <v>0.92118750000000482</v>
      </c>
      <c r="K941" s="589">
        <f t="shared" si="47"/>
        <v>1.0486875000000038</v>
      </c>
    </row>
    <row r="942" spans="7:11" customFormat="1" x14ac:dyDescent="0.25">
      <c r="G942" s="589">
        <f t="shared" si="49"/>
        <v>0.85200000000000153</v>
      </c>
      <c r="H942" s="407">
        <f t="shared" si="48"/>
        <v>0.85200000000000153</v>
      </c>
      <c r="I942" s="407">
        <f t="shared" si="48"/>
        <v>-0.72590400000000266</v>
      </c>
      <c r="J942" s="407">
        <f t="shared" si="48"/>
        <v>0.92770531200000506</v>
      </c>
      <c r="K942" s="589">
        <f t="shared" si="47"/>
        <v>1.053801312000004</v>
      </c>
    </row>
    <row r="943" spans="7:11" customFormat="1" x14ac:dyDescent="0.25">
      <c r="G943" s="589">
        <f t="shared" si="49"/>
        <v>0.85400000000000154</v>
      </c>
      <c r="H943" s="407">
        <f t="shared" si="48"/>
        <v>0.85400000000000154</v>
      </c>
      <c r="I943" s="407">
        <f t="shared" si="48"/>
        <v>-0.72931600000000263</v>
      </c>
      <c r="J943" s="407">
        <f t="shared" si="48"/>
        <v>0.93425379600000502</v>
      </c>
      <c r="K943" s="589">
        <f t="shared" si="47"/>
        <v>1.0589377960000039</v>
      </c>
    </row>
    <row r="944" spans="7:11" customFormat="1" x14ac:dyDescent="0.25">
      <c r="G944" s="589">
        <f t="shared" si="49"/>
        <v>0.85600000000000154</v>
      </c>
      <c r="H944" s="407">
        <f t="shared" si="48"/>
        <v>0.85600000000000154</v>
      </c>
      <c r="I944" s="407">
        <f t="shared" si="48"/>
        <v>-0.73273600000000261</v>
      </c>
      <c r="J944" s="407">
        <f t="shared" si="48"/>
        <v>0.94083302400000512</v>
      </c>
      <c r="K944" s="589">
        <f t="shared" si="47"/>
        <v>1.0640970240000041</v>
      </c>
    </row>
    <row r="945" spans="7:11" customFormat="1" x14ac:dyDescent="0.25">
      <c r="G945" s="589">
        <f t="shared" si="49"/>
        <v>0.85800000000000154</v>
      </c>
      <c r="H945" s="407">
        <f t="shared" si="48"/>
        <v>0.85800000000000154</v>
      </c>
      <c r="I945" s="407">
        <f t="shared" si="48"/>
        <v>-0.73616400000000259</v>
      </c>
      <c r="J945" s="407">
        <f t="shared" si="48"/>
        <v>0.947443068000005</v>
      </c>
      <c r="K945" s="589">
        <f t="shared" si="47"/>
        <v>1.0692790680000039</v>
      </c>
    </row>
    <row r="946" spans="7:11" customFormat="1" x14ac:dyDescent="0.25">
      <c r="G946" s="589">
        <f t="shared" si="49"/>
        <v>0.86000000000000154</v>
      </c>
      <c r="H946" s="407">
        <f t="shared" si="48"/>
        <v>0.86000000000000154</v>
      </c>
      <c r="I946" s="407">
        <f t="shared" si="48"/>
        <v>-0.7396000000000027</v>
      </c>
      <c r="J946" s="407">
        <f t="shared" si="48"/>
        <v>0.95408400000000526</v>
      </c>
      <c r="K946" s="589">
        <f t="shared" si="47"/>
        <v>1.074484000000004</v>
      </c>
    </row>
    <row r="947" spans="7:11" customFormat="1" x14ac:dyDescent="0.25">
      <c r="G947" s="589">
        <f t="shared" si="49"/>
        <v>0.86200000000000154</v>
      </c>
      <c r="H947" s="407">
        <f t="shared" si="48"/>
        <v>0.86200000000000154</v>
      </c>
      <c r="I947" s="407">
        <f t="shared" si="48"/>
        <v>-0.7430440000000027</v>
      </c>
      <c r="J947" s="407">
        <f t="shared" si="48"/>
        <v>0.96075589200000522</v>
      </c>
      <c r="K947" s="589">
        <f t="shared" si="47"/>
        <v>1.0797118920000042</v>
      </c>
    </row>
    <row r="948" spans="7:11" customFormat="1" x14ac:dyDescent="0.25">
      <c r="G948" s="589">
        <f t="shared" si="49"/>
        <v>0.86400000000000154</v>
      </c>
      <c r="H948" s="407">
        <f t="shared" si="48"/>
        <v>0.86400000000000154</v>
      </c>
      <c r="I948" s="407">
        <f t="shared" si="48"/>
        <v>-0.74649600000000271</v>
      </c>
      <c r="J948" s="407">
        <f t="shared" si="48"/>
        <v>0.96745881600000516</v>
      </c>
      <c r="K948" s="589">
        <f t="shared" si="47"/>
        <v>1.084962816000004</v>
      </c>
    </row>
    <row r="949" spans="7:11" customFormat="1" x14ac:dyDescent="0.25">
      <c r="G949" s="589">
        <f t="shared" si="49"/>
        <v>0.86600000000000155</v>
      </c>
      <c r="H949" s="407">
        <f t="shared" si="48"/>
        <v>0.86600000000000155</v>
      </c>
      <c r="I949" s="407">
        <f t="shared" si="48"/>
        <v>-0.74995600000000273</v>
      </c>
      <c r="J949" s="407">
        <f t="shared" si="48"/>
        <v>0.97419284400000528</v>
      </c>
      <c r="K949" s="589">
        <f t="shared" ref="K949:K1012" si="50">SUM(H949:J949)</f>
        <v>1.0902368440000041</v>
      </c>
    </row>
    <row r="950" spans="7:11" customFormat="1" x14ac:dyDescent="0.25">
      <c r="G950" s="589">
        <f t="shared" si="49"/>
        <v>0.86800000000000155</v>
      </c>
      <c r="H950" s="407">
        <f t="shared" si="48"/>
        <v>0.86800000000000155</v>
      </c>
      <c r="I950" s="407">
        <f t="shared" si="48"/>
        <v>-0.75342400000000265</v>
      </c>
      <c r="J950" s="407">
        <f t="shared" si="48"/>
        <v>0.98095804800000508</v>
      </c>
      <c r="K950" s="589">
        <f t="shared" si="50"/>
        <v>1.095534048000004</v>
      </c>
    </row>
    <row r="951" spans="7:11" customFormat="1" x14ac:dyDescent="0.25">
      <c r="G951" s="589">
        <f t="shared" si="49"/>
        <v>0.87000000000000155</v>
      </c>
      <c r="H951" s="407">
        <f t="shared" si="48"/>
        <v>0.87000000000000155</v>
      </c>
      <c r="I951" s="407">
        <f t="shared" si="48"/>
        <v>-0.75690000000000268</v>
      </c>
      <c r="J951" s="407">
        <f t="shared" si="48"/>
        <v>0.9877545000000052</v>
      </c>
      <c r="K951" s="589">
        <f t="shared" si="50"/>
        <v>1.1008545000000041</v>
      </c>
    </row>
    <row r="952" spans="7:11" customFormat="1" x14ac:dyDescent="0.25">
      <c r="G952" s="589">
        <f t="shared" si="49"/>
        <v>0.87200000000000155</v>
      </c>
      <c r="H952" s="407">
        <f t="shared" si="48"/>
        <v>0.87200000000000155</v>
      </c>
      <c r="I952" s="407">
        <f t="shared" si="48"/>
        <v>-0.76038400000000272</v>
      </c>
      <c r="J952" s="407">
        <f t="shared" si="48"/>
        <v>0.99458227200000537</v>
      </c>
      <c r="K952" s="589">
        <f t="shared" si="50"/>
        <v>1.1061982720000043</v>
      </c>
    </row>
    <row r="953" spans="7:11" customFormat="1" x14ac:dyDescent="0.25">
      <c r="G953" s="589">
        <f t="shared" si="49"/>
        <v>0.87400000000000155</v>
      </c>
      <c r="H953" s="407">
        <f t="shared" si="48"/>
        <v>0.87400000000000155</v>
      </c>
      <c r="I953" s="407">
        <f t="shared" si="48"/>
        <v>-0.76387600000000266</v>
      </c>
      <c r="J953" s="407">
        <f t="shared" si="48"/>
        <v>1.0014414360000052</v>
      </c>
      <c r="K953" s="589">
        <f t="shared" si="50"/>
        <v>1.1115654360000042</v>
      </c>
    </row>
    <row r="954" spans="7:11" customFormat="1" x14ac:dyDescent="0.25">
      <c r="G954" s="589">
        <f t="shared" si="49"/>
        <v>0.87600000000000156</v>
      </c>
      <c r="H954" s="407">
        <f t="shared" ref="H954:J1016" si="51">($G954^H$15*(-H$15)^(-1+H$15))/FACT(H$15)</f>
        <v>0.87600000000000156</v>
      </c>
      <c r="I954" s="407">
        <f t="shared" si="51"/>
        <v>-0.76737600000000272</v>
      </c>
      <c r="J954" s="407">
        <f t="shared" si="51"/>
        <v>1.0083320640000053</v>
      </c>
      <c r="K954" s="589">
        <f t="shared" si="50"/>
        <v>1.116956064000004</v>
      </c>
    </row>
    <row r="955" spans="7:11" customFormat="1" x14ac:dyDescent="0.25">
      <c r="G955" s="589">
        <f t="shared" si="49"/>
        <v>0.87800000000000156</v>
      </c>
      <c r="H955" s="407">
        <f t="shared" si="51"/>
        <v>0.87800000000000156</v>
      </c>
      <c r="I955" s="407">
        <f t="shared" si="51"/>
        <v>-0.77088400000000279</v>
      </c>
      <c r="J955" s="407">
        <f t="shared" si="51"/>
        <v>1.0152542280000054</v>
      </c>
      <c r="K955" s="589">
        <f t="shared" si="50"/>
        <v>1.1223702280000043</v>
      </c>
    </row>
    <row r="956" spans="7:11" customFormat="1" x14ac:dyDescent="0.25">
      <c r="G956" s="589">
        <f t="shared" si="49"/>
        <v>0.88000000000000156</v>
      </c>
      <c r="H956" s="407">
        <f t="shared" si="51"/>
        <v>0.88000000000000156</v>
      </c>
      <c r="I956" s="407">
        <f t="shared" si="51"/>
        <v>-0.77440000000000275</v>
      </c>
      <c r="J956" s="407">
        <f t="shared" si="51"/>
        <v>1.0222080000000056</v>
      </c>
      <c r="K956" s="589">
        <f t="shared" si="50"/>
        <v>1.1278080000000044</v>
      </c>
    </row>
    <row r="957" spans="7:11" customFormat="1" x14ac:dyDescent="0.25">
      <c r="G957" s="589">
        <f t="shared" si="49"/>
        <v>0.88200000000000156</v>
      </c>
      <c r="H957" s="407">
        <f t="shared" si="51"/>
        <v>0.88200000000000156</v>
      </c>
      <c r="I957" s="407">
        <f t="shared" si="51"/>
        <v>-0.77792400000000272</v>
      </c>
      <c r="J957" s="407">
        <f t="shared" si="51"/>
        <v>1.0291934520000054</v>
      </c>
      <c r="K957" s="589">
        <f t="shared" si="50"/>
        <v>1.1332694520000044</v>
      </c>
    </row>
    <row r="958" spans="7:11" customFormat="1" x14ac:dyDescent="0.25">
      <c r="G958" s="589">
        <f t="shared" si="49"/>
        <v>0.88400000000000156</v>
      </c>
      <c r="H958" s="407">
        <f t="shared" si="51"/>
        <v>0.88400000000000156</v>
      </c>
      <c r="I958" s="407">
        <f t="shared" si="51"/>
        <v>-0.78145600000000282</v>
      </c>
      <c r="J958" s="407">
        <f t="shared" si="51"/>
        <v>1.0362106560000055</v>
      </c>
      <c r="K958" s="589">
        <f t="shared" si="50"/>
        <v>1.1387546560000041</v>
      </c>
    </row>
    <row r="959" spans="7:11" customFormat="1" x14ac:dyDescent="0.25">
      <c r="G959" s="589">
        <f t="shared" si="49"/>
        <v>0.88600000000000156</v>
      </c>
      <c r="H959" s="407">
        <f t="shared" si="51"/>
        <v>0.88600000000000156</v>
      </c>
      <c r="I959" s="407">
        <f t="shared" si="51"/>
        <v>-0.7849960000000028</v>
      </c>
      <c r="J959" s="407">
        <f t="shared" si="51"/>
        <v>1.0432596840000057</v>
      </c>
      <c r="K959" s="589">
        <f t="shared" si="50"/>
        <v>1.1442636840000044</v>
      </c>
    </row>
    <row r="960" spans="7:11" customFormat="1" x14ac:dyDescent="0.25">
      <c r="G960" s="589">
        <f t="shared" si="49"/>
        <v>0.88800000000000157</v>
      </c>
      <c r="H960" s="407">
        <f t="shared" si="51"/>
        <v>0.88800000000000157</v>
      </c>
      <c r="I960" s="407">
        <f t="shared" si="51"/>
        <v>-0.7885440000000028</v>
      </c>
      <c r="J960" s="407">
        <f t="shared" si="51"/>
        <v>1.0503406080000055</v>
      </c>
      <c r="K960" s="589">
        <f t="shared" si="50"/>
        <v>1.1497966080000044</v>
      </c>
    </row>
    <row r="961" spans="7:11" customFormat="1" x14ac:dyDescent="0.25">
      <c r="G961" s="589">
        <f t="shared" si="49"/>
        <v>0.89000000000000157</v>
      </c>
      <c r="H961" s="407">
        <f t="shared" si="51"/>
        <v>0.89000000000000157</v>
      </c>
      <c r="I961" s="407">
        <f t="shared" si="51"/>
        <v>-0.7921000000000028</v>
      </c>
      <c r="J961" s="407">
        <f t="shared" si="51"/>
        <v>1.0574535000000056</v>
      </c>
      <c r="K961" s="589">
        <f t="shared" si="50"/>
        <v>1.1553535000000044</v>
      </c>
    </row>
    <row r="962" spans="7:11" customFormat="1" x14ac:dyDescent="0.25">
      <c r="G962" s="589">
        <f t="shared" si="49"/>
        <v>0.89200000000000157</v>
      </c>
      <c r="H962" s="407">
        <f t="shared" si="51"/>
        <v>0.89200000000000157</v>
      </c>
      <c r="I962" s="407">
        <f t="shared" si="51"/>
        <v>-0.79566400000000281</v>
      </c>
      <c r="J962" s="407">
        <f t="shared" si="51"/>
        <v>1.0645984320000057</v>
      </c>
      <c r="K962" s="589">
        <f t="shared" si="50"/>
        <v>1.1609344320000043</v>
      </c>
    </row>
    <row r="963" spans="7:11" customFormat="1" x14ac:dyDescent="0.25">
      <c r="G963" s="589">
        <f t="shared" si="49"/>
        <v>0.89400000000000157</v>
      </c>
      <c r="H963" s="407">
        <f t="shared" si="51"/>
        <v>0.89400000000000157</v>
      </c>
      <c r="I963" s="407">
        <f t="shared" si="51"/>
        <v>-0.79923600000000283</v>
      </c>
      <c r="J963" s="407">
        <f t="shared" si="51"/>
        <v>1.0717754760000056</v>
      </c>
      <c r="K963" s="589">
        <f t="shared" si="50"/>
        <v>1.1665394760000043</v>
      </c>
    </row>
    <row r="964" spans="7:11" customFormat="1" x14ac:dyDescent="0.25">
      <c r="G964" s="589">
        <f t="shared" si="49"/>
        <v>0.89600000000000157</v>
      </c>
      <c r="H964" s="407">
        <f t="shared" si="51"/>
        <v>0.89600000000000157</v>
      </c>
      <c r="I964" s="407">
        <f t="shared" si="51"/>
        <v>-0.80281600000000286</v>
      </c>
      <c r="J964" s="407">
        <f t="shared" si="51"/>
        <v>1.0789847040000058</v>
      </c>
      <c r="K964" s="589">
        <f t="shared" si="50"/>
        <v>1.1721687040000046</v>
      </c>
    </row>
    <row r="965" spans="7:11" customFormat="1" x14ac:dyDescent="0.25">
      <c r="G965" s="589">
        <f t="shared" si="49"/>
        <v>0.89800000000000157</v>
      </c>
      <c r="H965" s="407">
        <f t="shared" si="51"/>
        <v>0.89800000000000157</v>
      </c>
      <c r="I965" s="407">
        <f t="shared" si="51"/>
        <v>-0.80640400000000279</v>
      </c>
      <c r="J965" s="407">
        <f t="shared" si="51"/>
        <v>1.0862261880000057</v>
      </c>
      <c r="K965" s="589">
        <f t="shared" si="50"/>
        <v>1.1778221880000044</v>
      </c>
    </row>
    <row r="966" spans="7:11" customFormat="1" x14ac:dyDescent="0.25">
      <c r="G966" s="589">
        <f t="shared" si="49"/>
        <v>0.90000000000000158</v>
      </c>
      <c r="H966" s="407">
        <f t="shared" si="51"/>
        <v>0.90000000000000158</v>
      </c>
      <c r="I966" s="407">
        <f t="shared" si="51"/>
        <v>-0.81000000000000283</v>
      </c>
      <c r="J966" s="407">
        <f t="shared" si="51"/>
        <v>1.0935000000000057</v>
      </c>
      <c r="K966" s="589">
        <f t="shared" si="50"/>
        <v>1.1835000000000044</v>
      </c>
    </row>
    <row r="967" spans="7:11" customFormat="1" x14ac:dyDescent="0.25">
      <c r="G967" s="589">
        <f t="shared" si="49"/>
        <v>0.90200000000000158</v>
      </c>
      <c r="H967" s="407">
        <f t="shared" si="51"/>
        <v>0.90200000000000158</v>
      </c>
      <c r="I967" s="407">
        <f t="shared" si="51"/>
        <v>-0.81360400000000288</v>
      </c>
      <c r="J967" s="407">
        <f t="shared" si="51"/>
        <v>1.1008062120000059</v>
      </c>
      <c r="K967" s="589">
        <f t="shared" si="50"/>
        <v>1.1892022120000045</v>
      </c>
    </row>
    <row r="968" spans="7:11" customFormat="1" x14ac:dyDescent="0.25">
      <c r="G968" s="589">
        <f t="shared" si="49"/>
        <v>0.90400000000000158</v>
      </c>
      <c r="H968" s="407">
        <f t="shared" si="51"/>
        <v>0.90400000000000158</v>
      </c>
      <c r="I968" s="407">
        <f t="shared" si="51"/>
        <v>-0.81721600000000283</v>
      </c>
      <c r="J968" s="407">
        <f t="shared" si="51"/>
        <v>1.1081448960000058</v>
      </c>
      <c r="K968" s="589">
        <f t="shared" si="50"/>
        <v>1.1949288960000044</v>
      </c>
    </row>
    <row r="969" spans="7:11" customFormat="1" x14ac:dyDescent="0.25">
      <c r="G969" s="589">
        <f t="shared" si="49"/>
        <v>0.90600000000000158</v>
      </c>
      <c r="H969" s="407">
        <f t="shared" si="51"/>
        <v>0.90600000000000158</v>
      </c>
      <c r="I969" s="407">
        <f t="shared" si="51"/>
        <v>-0.8208360000000029</v>
      </c>
      <c r="J969" s="407">
        <f t="shared" si="51"/>
        <v>1.115516124000006</v>
      </c>
      <c r="K969" s="589">
        <f t="shared" si="50"/>
        <v>1.2006801240000047</v>
      </c>
    </row>
    <row r="970" spans="7:11" customFormat="1" x14ac:dyDescent="0.25">
      <c r="G970" s="589">
        <f t="shared" si="49"/>
        <v>0.90800000000000158</v>
      </c>
      <c r="H970" s="407">
        <f t="shared" si="51"/>
        <v>0.90800000000000158</v>
      </c>
      <c r="I970" s="407">
        <f t="shared" si="51"/>
        <v>-0.82446400000000286</v>
      </c>
      <c r="J970" s="407">
        <f t="shared" si="51"/>
        <v>1.1229199680000059</v>
      </c>
      <c r="K970" s="589">
        <f t="shared" si="50"/>
        <v>1.2064559680000047</v>
      </c>
    </row>
    <row r="971" spans="7:11" customFormat="1" x14ac:dyDescent="0.25">
      <c r="G971" s="589">
        <f t="shared" si="49"/>
        <v>0.91000000000000159</v>
      </c>
      <c r="H971" s="407">
        <f t="shared" si="51"/>
        <v>0.91000000000000159</v>
      </c>
      <c r="I971" s="407">
        <f t="shared" si="51"/>
        <v>-0.82810000000000283</v>
      </c>
      <c r="J971" s="407">
        <f t="shared" si="51"/>
        <v>1.1303565000000058</v>
      </c>
      <c r="K971" s="589">
        <f t="shared" si="50"/>
        <v>1.2122565000000045</v>
      </c>
    </row>
    <row r="972" spans="7:11" customFormat="1" x14ac:dyDescent="0.25">
      <c r="G972" s="589">
        <f t="shared" si="49"/>
        <v>0.91200000000000159</v>
      </c>
      <c r="H972" s="407">
        <f t="shared" si="51"/>
        <v>0.91200000000000159</v>
      </c>
      <c r="I972" s="407">
        <f t="shared" si="51"/>
        <v>-0.83174400000000293</v>
      </c>
      <c r="J972" s="407">
        <f t="shared" si="51"/>
        <v>1.1378257920000061</v>
      </c>
      <c r="K972" s="589">
        <f t="shared" si="50"/>
        <v>1.2180817920000049</v>
      </c>
    </row>
    <row r="973" spans="7:11" customFormat="1" x14ac:dyDescent="0.25">
      <c r="G973" s="589">
        <f t="shared" si="49"/>
        <v>0.91400000000000159</v>
      </c>
      <c r="H973" s="407">
        <f t="shared" si="51"/>
        <v>0.91400000000000159</v>
      </c>
      <c r="I973" s="407">
        <f t="shared" si="51"/>
        <v>-0.83539600000000291</v>
      </c>
      <c r="J973" s="407">
        <f t="shared" si="51"/>
        <v>1.1453279160000061</v>
      </c>
      <c r="K973" s="589">
        <f t="shared" si="50"/>
        <v>1.2239319160000046</v>
      </c>
    </row>
    <row r="974" spans="7:11" customFormat="1" x14ac:dyDescent="0.25">
      <c r="G974" s="589">
        <f t="shared" si="49"/>
        <v>0.91600000000000159</v>
      </c>
      <c r="H974" s="407">
        <f t="shared" si="51"/>
        <v>0.91600000000000159</v>
      </c>
      <c r="I974" s="407">
        <f t="shared" si="51"/>
        <v>-0.83905600000000291</v>
      </c>
      <c r="J974" s="407">
        <f t="shared" si="51"/>
        <v>1.152862944000006</v>
      </c>
      <c r="K974" s="589">
        <f t="shared" si="50"/>
        <v>1.2298069440000048</v>
      </c>
    </row>
    <row r="975" spans="7:11" customFormat="1" x14ac:dyDescent="0.25">
      <c r="G975" s="589">
        <f t="shared" si="49"/>
        <v>0.91800000000000159</v>
      </c>
      <c r="H975" s="407">
        <f t="shared" si="51"/>
        <v>0.91800000000000159</v>
      </c>
      <c r="I975" s="407">
        <f t="shared" si="51"/>
        <v>-0.84272400000000292</v>
      </c>
      <c r="J975" s="407">
        <f t="shared" si="51"/>
        <v>1.1604309480000059</v>
      </c>
      <c r="K975" s="589">
        <f t="shared" si="50"/>
        <v>1.2357069480000047</v>
      </c>
    </row>
    <row r="976" spans="7:11" customFormat="1" x14ac:dyDescent="0.25">
      <c r="G976" s="589">
        <f t="shared" si="49"/>
        <v>0.92000000000000159</v>
      </c>
      <c r="H976" s="407">
        <f t="shared" si="51"/>
        <v>0.92000000000000159</v>
      </c>
      <c r="I976" s="407">
        <f t="shared" si="51"/>
        <v>-0.84640000000000293</v>
      </c>
      <c r="J976" s="407">
        <f t="shared" si="51"/>
        <v>1.1680320000000062</v>
      </c>
      <c r="K976" s="589">
        <f t="shared" si="50"/>
        <v>1.241632000000005</v>
      </c>
    </row>
    <row r="977" spans="7:11" customFormat="1" x14ac:dyDescent="0.25">
      <c r="G977" s="589">
        <f t="shared" ref="G977:G1016" si="52">G976+$K$14</f>
        <v>0.9220000000000016</v>
      </c>
      <c r="H977" s="407">
        <f t="shared" si="51"/>
        <v>0.9220000000000016</v>
      </c>
      <c r="I977" s="407">
        <f t="shared" si="51"/>
        <v>-0.85008400000000295</v>
      </c>
      <c r="J977" s="407">
        <f t="shared" si="51"/>
        <v>1.1756661720000061</v>
      </c>
      <c r="K977" s="589">
        <f t="shared" si="50"/>
        <v>1.2475821720000049</v>
      </c>
    </row>
    <row r="978" spans="7:11" customFormat="1" x14ac:dyDescent="0.25">
      <c r="G978" s="589">
        <f t="shared" si="52"/>
        <v>0.9240000000000016</v>
      </c>
      <c r="H978" s="407">
        <f t="shared" si="51"/>
        <v>0.9240000000000016</v>
      </c>
      <c r="I978" s="407">
        <f t="shared" si="51"/>
        <v>-0.85377600000000298</v>
      </c>
      <c r="J978" s="407">
        <f t="shared" si="51"/>
        <v>1.1833335360000061</v>
      </c>
      <c r="K978" s="589">
        <f t="shared" si="50"/>
        <v>1.2535575360000046</v>
      </c>
    </row>
    <row r="979" spans="7:11" customFormat="1" x14ac:dyDescent="0.25">
      <c r="G979" s="589">
        <f t="shared" si="52"/>
        <v>0.9260000000000016</v>
      </c>
      <c r="H979" s="407">
        <f t="shared" si="51"/>
        <v>0.9260000000000016</v>
      </c>
      <c r="I979" s="407">
        <f t="shared" si="51"/>
        <v>-0.85747600000000301</v>
      </c>
      <c r="J979" s="407">
        <f t="shared" si="51"/>
        <v>1.1910341640000062</v>
      </c>
      <c r="K979" s="589">
        <f t="shared" si="50"/>
        <v>1.2595581640000049</v>
      </c>
    </row>
    <row r="980" spans="7:11" customFormat="1" x14ac:dyDescent="0.25">
      <c r="G980" s="589">
        <f t="shared" si="52"/>
        <v>0.9280000000000016</v>
      </c>
      <c r="H980" s="407">
        <f t="shared" si="51"/>
        <v>0.9280000000000016</v>
      </c>
      <c r="I980" s="407">
        <f t="shared" si="51"/>
        <v>-0.86118400000000295</v>
      </c>
      <c r="J980" s="407">
        <f t="shared" si="51"/>
        <v>1.1987681280000062</v>
      </c>
      <c r="K980" s="589">
        <f t="shared" si="50"/>
        <v>1.2655841280000049</v>
      </c>
    </row>
    <row r="981" spans="7:11" customFormat="1" x14ac:dyDescent="0.25">
      <c r="G981" s="589">
        <f t="shared" si="52"/>
        <v>0.9300000000000016</v>
      </c>
      <c r="H981" s="407">
        <f t="shared" si="51"/>
        <v>0.9300000000000016</v>
      </c>
      <c r="I981" s="407">
        <f t="shared" si="51"/>
        <v>-0.864900000000003</v>
      </c>
      <c r="J981" s="407">
        <f t="shared" si="51"/>
        <v>1.2065355000000062</v>
      </c>
      <c r="K981" s="589">
        <f t="shared" si="50"/>
        <v>1.2716355000000048</v>
      </c>
    </row>
    <row r="982" spans="7:11" customFormat="1" x14ac:dyDescent="0.25">
      <c r="G982" s="589">
        <f t="shared" si="52"/>
        <v>0.9320000000000016</v>
      </c>
      <c r="H982" s="407">
        <f t="shared" si="51"/>
        <v>0.9320000000000016</v>
      </c>
      <c r="I982" s="407">
        <f t="shared" si="51"/>
        <v>-0.86862400000000295</v>
      </c>
      <c r="J982" s="407">
        <f t="shared" si="51"/>
        <v>1.2143363520000061</v>
      </c>
      <c r="K982" s="589">
        <f t="shared" si="50"/>
        <v>1.2777123520000049</v>
      </c>
    </row>
    <row r="983" spans="7:11" customFormat="1" x14ac:dyDescent="0.25">
      <c r="G983" s="589">
        <f t="shared" si="52"/>
        <v>0.93400000000000161</v>
      </c>
      <c r="H983" s="407">
        <f t="shared" si="51"/>
        <v>0.93400000000000161</v>
      </c>
      <c r="I983" s="407">
        <f t="shared" si="51"/>
        <v>-0.87235600000000302</v>
      </c>
      <c r="J983" s="407">
        <f t="shared" si="51"/>
        <v>1.2221707560000064</v>
      </c>
      <c r="K983" s="589">
        <f t="shared" si="50"/>
        <v>1.2838147560000048</v>
      </c>
    </row>
    <row r="984" spans="7:11" customFormat="1" x14ac:dyDescent="0.25">
      <c r="G984" s="589">
        <f t="shared" si="52"/>
        <v>0.93600000000000161</v>
      </c>
      <c r="H984" s="407">
        <f t="shared" si="51"/>
        <v>0.93600000000000161</v>
      </c>
      <c r="I984" s="407">
        <f t="shared" si="51"/>
        <v>-0.87609600000000298</v>
      </c>
      <c r="J984" s="407">
        <f t="shared" si="51"/>
        <v>1.2300387840000064</v>
      </c>
      <c r="K984" s="589">
        <f t="shared" si="50"/>
        <v>1.2899427840000051</v>
      </c>
    </row>
    <row r="985" spans="7:11" customFormat="1" x14ac:dyDescent="0.25">
      <c r="G985" s="589">
        <f t="shared" si="52"/>
        <v>0.93800000000000161</v>
      </c>
      <c r="H985" s="407">
        <f t="shared" si="51"/>
        <v>0.93800000000000161</v>
      </c>
      <c r="I985" s="407">
        <f t="shared" si="51"/>
        <v>-0.87984400000000307</v>
      </c>
      <c r="J985" s="407">
        <f t="shared" si="51"/>
        <v>1.2379405080000063</v>
      </c>
      <c r="K985" s="589">
        <f t="shared" si="50"/>
        <v>1.2960965080000049</v>
      </c>
    </row>
    <row r="986" spans="7:11" customFormat="1" x14ac:dyDescent="0.25">
      <c r="G986" s="589">
        <f t="shared" si="52"/>
        <v>0.94000000000000161</v>
      </c>
      <c r="H986" s="407">
        <f t="shared" si="51"/>
        <v>0.94000000000000161</v>
      </c>
      <c r="I986" s="407">
        <f t="shared" si="51"/>
        <v>-0.88360000000000305</v>
      </c>
      <c r="J986" s="407">
        <f t="shared" si="51"/>
        <v>1.2458760000000064</v>
      </c>
      <c r="K986" s="589">
        <f t="shared" si="50"/>
        <v>1.3022760000000049</v>
      </c>
    </row>
    <row r="987" spans="7:11" customFormat="1" x14ac:dyDescent="0.25">
      <c r="G987" s="589">
        <f t="shared" si="52"/>
        <v>0.94200000000000161</v>
      </c>
      <c r="H987" s="407">
        <f t="shared" si="51"/>
        <v>0.94200000000000161</v>
      </c>
      <c r="I987" s="407">
        <f t="shared" si="51"/>
        <v>-0.88736400000000304</v>
      </c>
      <c r="J987" s="407">
        <f t="shared" si="51"/>
        <v>1.2538453320000065</v>
      </c>
      <c r="K987" s="589">
        <f t="shared" si="50"/>
        <v>1.308481332000005</v>
      </c>
    </row>
    <row r="988" spans="7:11" customFormat="1" x14ac:dyDescent="0.25">
      <c r="G988" s="589">
        <f t="shared" si="52"/>
        <v>0.94400000000000162</v>
      </c>
      <c r="H988" s="407">
        <f t="shared" si="51"/>
        <v>0.94400000000000162</v>
      </c>
      <c r="I988" s="407">
        <f t="shared" si="51"/>
        <v>-0.89113600000000304</v>
      </c>
      <c r="J988" s="407">
        <f t="shared" si="51"/>
        <v>1.2618485760000064</v>
      </c>
      <c r="K988" s="589">
        <f t="shared" si="50"/>
        <v>1.3147125760000051</v>
      </c>
    </row>
    <row r="989" spans="7:11" customFormat="1" x14ac:dyDescent="0.25">
      <c r="G989" s="589">
        <f t="shared" si="52"/>
        <v>0.94600000000000162</v>
      </c>
      <c r="H989" s="407">
        <f t="shared" si="51"/>
        <v>0.94600000000000162</v>
      </c>
      <c r="I989" s="407">
        <f t="shared" si="51"/>
        <v>-0.89491600000000304</v>
      </c>
      <c r="J989" s="407">
        <f t="shared" si="51"/>
        <v>1.2698858040000065</v>
      </c>
      <c r="K989" s="589">
        <f t="shared" si="50"/>
        <v>1.3209698040000051</v>
      </c>
    </row>
    <row r="990" spans="7:11" customFormat="1" x14ac:dyDescent="0.25">
      <c r="G990" s="589">
        <f t="shared" si="52"/>
        <v>0.94800000000000162</v>
      </c>
      <c r="H990" s="407">
        <f t="shared" si="51"/>
        <v>0.94800000000000162</v>
      </c>
      <c r="I990" s="407">
        <f t="shared" si="51"/>
        <v>-0.89870400000000306</v>
      </c>
      <c r="J990" s="407">
        <f t="shared" si="51"/>
        <v>1.2779570880000066</v>
      </c>
      <c r="K990" s="589">
        <f t="shared" si="50"/>
        <v>1.3272530880000053</v>
      </c>
    </row>
    <row r="991" spans="7:11" customFormat="1" x14ac:dyDescent="0.25">
      <c r="G991" s="589">
        <f t="shared" si="52"/>
        <v>0.95000000000000162</v>
      </c>
      <c r="H991" s="407">
        <f t="shared" si="51"/>
        <v>0.95000000000000162</v>
      </c>
      <c r="I991" s="407">
        <f t="shared" si="51"/>
        <v>-0.90250000000000308</v>
      </c>
      <c r="J991" s="407">
        <f t="shared" si="51"/>
        <v>1.2860625000000068</v>
      </c>
      <c r="K991" s="589">
        <f t="shared" si="50"/>
        <v>1.3335625000000053</v>
      </c>
    </row>
    <row r="992" spans="7:11" customFormat="1" x14ac:dyDescent="0.25">
      <c r="G992" s="589">
        <f t="shared" si="52"/>
        <v>0.95200000000000162</v>
      </c>
      <c r="H992" s="407">
        <f t="shared" si="51"/>
        <v>0.95200000000000162</v>
      </c>
      <c r="I992" s="407">
        <f t="shared" si="51"/>
        <v>-0.90630400000000311</v>
      </c>
      <c r="J992" s="407">
        <f t="shared" si="51"/>
        <v>1.2942021120000067</v>
      </c>
      <c r="K992" s="589">
        <f t="shared" si="50"/>
        <v>1.3398981120000051</v>
      </c>
    </row>
    <row r="993" spans="7:11" customFormat="1" x14ac:dyDescent="0.25">
      <c r="G993" s="589">
        <f t="shared" si="52"/>
        <v>0.95400000000000162</v>
      </c>
      <c r="H993" s="407">
        <f t="shared" si="51"/>
        <v>0.95400000000000162</v>
      </c>
      <c r="I993" s="407">
        <f t="shared" si="51"/>
        <v>-0.91011600000000314</v>
      </c>
      <c r="J993" s="407">
        <f t="shared" si="51"/>
        <v>1.3023759960000068</v>
      </c>
      <c r="K993" s="589">
        <f t="shared" si="50"/>
        <v>1.3462599960000052</v>
      </c>
    </row>
    <row r="994" spans="7:11" customFormat="1" x14ac:dyDescent="0.25">
      <c r="G994" s="589">
        <f t="shared" si="52"/>
        <v>0.95600000000000163</v>
      </c>
      <c r="H994" s="407">
        <f t="shared" si="51"/>
        <v>0.95600000000000163</v>
      </c>
      <c r="I994" s="407">
        <f t="shared" si="51"/>
        <v>-0.91393600000000308</v>
      </c>
      <c r="J994" s="407">
        <f t="shared" si="51"/>
        <v>1.3105842240000067</v>
      </c>
      <c r="K994" s="589">
        <f t="shared" si="50"/>
        <v>1.3526482240000053</v>
      </c>
    </row>
    <row r="995" spans="7:11" customFormat="1" x14ac:dyDescent="0.25">
      <c r="G995" s="589">
        <f t="shared" si="52"/>
        <v>0.95800000000000163</v>
      </c>
      <c r="H995" s="407">
        <f t="shared" si="51"/>
        <v>0.95800000000000163</v>
      </c>
      <c r="I995" s="407">
        <f t="shared" si="51"/>
        <v>-0.91776400000000313</v>
      </c>
      <c r="J995" s="407">
        <f t="shared" si="51"/>
        <v>1.3188268680000068</v>
      </c>
      <c r="K995" s="589">
        <f t="shared" si="50"/>
        <v>1.3590628680000054</v>
      </c>
    </row>
    <row r="996" spans="7:11" customFormat="1" x14ac:dyDescent="0.25">
      <c r="G996" s="589">
        <f t="shared" si="52"/>
        <v>0.96000000000000163</v>
      </c>
      <c r="H996" s="407">
        <f t="shared" si="51"/>
        <v>0.96000000000000163</v>
      </c>
      <c r="I996" s="407">
        <f t="shared" si="51"/>
        <v>-0.92160000000000308</v>
      </c>
      <c r="J996" s="407">
        <f t="shared" si="51"/>
        <v>1.3271040000000067</v>
      </c>
      <c r="K996" s="589">
        <f t="shared" si="50"/>
        <v>1.3655040000000054</v>
      </c>
    </row>
    <row r="997" spans="7:11" customFormat="1" x14ac:dyDescent="0.25">
      <c r="G997" s="589">
        <f t="shared" si="52"/>
        <v>0.96200000000000163</v>
      </c>
      <c r="H997" s="407">
        <f t="shared" si="51"/>
        <v>0.96200000000000163</v>
      </c>
      <c r="I997" s="407">
        <f t="shared" si="51"/>
        <v>-0.92544400000000315</v>
      </c>
      <c r="J997" s="407">
        <f t="shared" si="51"/>
        <v>1.3354156920000069</v>
      </c>
      <c r="K997" s="589">
        <f t="shared" si="50"/>
        <v>1.3719716920000053</v>
      </c>
    </row>
    <row r="998" spans="7:11" customFormat="1" x14ac:dyDescent="0.25">
      <c r="G998" s="589">
        <f t="shared" si="52"/>
        <v>0.96400000000000163</v>
      </c>
      <c r="H998" s="407">
        <f t="shared" si="51"/>
        <v>0.96400000000000163</v>
      </c>
      <c r="I998" s="407">
        <f t="shared" si="51"/>
        <v>-0.92929600000000312</v>
      </c>
      <c r="J998" s="407">
        <f t="shared" si="51"/>
        <v>1.3437620160000068</v>
      </c>
      <c r="K998" s="589">
        <f t="shared" si="50"/>
        <v>1.3784660160000053</v>
      </c>
    </row>
    <row r="999" spans="7:11" customFormat="1" x14ac:dyDescent="0.25">
      <c r="G999" s="589">
        <f t="shared" si="52"/>
        <v>0.96600000000000164</v>
      </c>
      <c r="H999" s="407">
        <f t="shared" si="51"/>
        <v>0.96600000000000164</v>
      </c>
      <c r="I999" s="407">
        <f t="shared" si="51"/>
        <v>-0.93315600000000321</v>
      </c>
      <c r="J999" s="407">
        <f t="shared" si="51"/>
        <v>1.3521430440000071</v>
      </c>
      <c r="K999" s="589">
        <f t="shared" si="50"/>
        <v>1.3849870440000056</v>
      </c>
    </row>
    <row r="1000" spans="7:11" customFormat="1" x14ac:dyDescent="0.25">
      <c r="G1000" s="589">
        <f t="shared" si="52"/>
        <v>0.96800000000000164</v>
      </c>
      <c r="H1000" s="407">
        <f t="shared" si="51"/>
        <v>0.96800000000000164</v>
      </c>
      <c r="I1000" s="407">
        <f t="shared" si="51"/>
        <v>-0.93702400000000319</v>
      </c>
      <c r="J1000" s="407">
        <f t="shared" si="51"/>
        <v>1.360558848000007</v>
      </c>
      <c r="K1000" s="589">
        <f t="shared" si="50"/>
        <v>1.3915348480000054</v>
      </c>
    </row>
    <row r="1001" spans="7:11" customFormat="1" x14ac:dyDescent="0.25">
      <c r="G1001" s="589">
        <f t="shared" si="52"/>
        <v>0.97000000000000164</v>
      </c>
      <c r="H1001" s="407">
        <f t="shared" si="51"/>
        <v>0.97000000000000164</v>
      </c>
      <c r="I1001" s="407">
        <f t="shared" si="51"/>
        <v>-0.94090000000000318</v>
      </c>
      <c r="J1001" s="407">
        <f t="shared" si="51"/>
        <v>1.3690095000000069</v>
      </c>
      <c r="K1001" s="589">
        <f t="shared" si="50"/>
        <v>1.3981095000000052</v>
      </c>
    </row>
    <row r="1002" spans="7:11" customFormat="1" x14ac:dyDescent="0.25">
      <c r="G1002" s="589">
        <f t="shared" si="52"/>
        <v>0.97200000000000164</v>
      </c>
      <c r="H1002" s="407">
        <f t="shared" si="51"/>
        <v>0.97200000000000164</v>
      </c>
      <c r="I1002" s="407">
        <f t="shared" si="51"/>
        <v>-0.94478400000000318</v>
      </c>
      <c r="J1002" s="407">
        <f t="shared" si="51"/>
        <v>1.3774950720000068</v>
      </c>
      <c r="K1002" s="589">
        <f t="shared" si="50"/>
        <v>1.4047110720000053</v>
      </c>
    </row>
    <row r="1003" spans="7:11" customFormat="1" x14ac:dyDescent="0.25">
      <c r="G1003" s="589">
        <f t="shared" si="52"/>
        <v>0.97400000000000164</v>
      </c>
      <c r="H1003" s="407">
        <f t="shared" si="51"/>
        <v>0.97400000000000164</v>
      </c>
      <c r="I1003" s="407">
        <f t="shared" si="51"/>
        <v>-0.94867600000000318</v>
      </c>
      <c r="J1003" s="407">
        <f t="shared" si="51"/>
        <v>1.3860156360000069</v>
      </c>
      <c r="K1003" s="589">
        <f t="shared" si="50"/>
        <v>1.4113396360000054</v>
      </c>
    </row>
    <row r="1004" spans="7:11" customFormat="1" x14ac:dyDescent="0.25">
      <c r="G1004" s="589">
        <f t="shared" si="52"/>
        <v>0.97600000000000164</v>
      </c>
      <c r="H1004" s="407">
        <f t="shared" si="51"/>
        <v>0.97600000000000164</v>
      </c>
      <c r="I1004" s="407">
        <f t="shared" si="51"/>
        <v>-0.9525760000000032</v>
      </c>
      <c r="J1004" s="407">
        <f t="shared" si="51"/>
        <v>1.394571264000007</v>
      </c>
      <c r="K1004" s="589">
        <f t="shared" si="50"/>
        <v>1.4179952640000053</v>
      </c>
    </row>
    <row r="1005" spans="7:11" customFormat="1" x14ac:dyDescent="0.25">
      <c r="G1005" s="589">
        <f t="shared" si="52"/>
        <v>0.97800000000000165</v>
      </c>
      <c r="H1005" s="407">
        <f t="shared" si="51"/>
        <v>0.97800000000000165</v>
      </c>
      <c r="I1005" s="407">
        <f t="shared" si="51"/>
        <v>-0.95648400000000322</v>
      </c>
      <c r="J1005" s="407">
        <f t="shared" si="51"/>
        <v>1.403162028000007</v>
      </c>
      <c r="K1005" s="589">
        <f t="shared" si="50"/>
        <v>1.4246780280000055</v>
      </c>
    </row>
    <row r="1006" spans="7:11" customFormat="1" x14ac:dyDescent="0.25">
      <c r="G1006" s="589">
        <f t="shared" si="52"/>
        <v>0.98000000000000165</v>
      </c>
      <c r="H1006" s="407">
        <f t="shared" si="51"/>
        <v>0.98000000000000165</v>
      </c>
      <c r="I1006" s="407">
        <f t="shared" si="51"/>
        <v>-0.96040000000000325</v>
      </c>
      <c r="J1006" s="407">
        <f t="shared" si="51"/>
        <v>1.4117880000000074</v>
      </c>
      <c r="K1006" s="589">
        <f t="shared" si="50"/>
        <v>1.4313880000000059</v>
      </c>
    </row>
    <row r="1007" spans="7:11" customFormat="1" x14ac:dyDescent="0.25">
      <c r="G1007" s="589">
        <f t="shared" si="52"/>
        <v>0.98200000000000165</v>
      </c>
      <c r="H1007" s="407">
        <f t="shared" si="51"/>
        <v>0.98200000000000165</v>
      </c>
      <c r="I1007" s="407">
        <f t="shared" si="51"/>
        <v>-0.96432400000000329</v>
      </c>
      <c r="J1007" s="407">
        <f t="shared" si="51"/>
        <v>1.4204492520000072</v>
      </c>
      <c r="K1007" s="589">
        <f t="shared" si="50"/>
        <v>1.4381252520000056</v>
      </c>
    </row>
    <row r="1008" spans="7:11" customFormat="1" x14ac:dyDescent="0.25">
      <c r="G1008" s="589">
        <f t="shared" si="52"/>
        <v>0.98400000000000165</v>
      </c>
      <c r="H1008" s="407">
        <f t="shared" si="51"/>
        <v>0.98400000000000165</v>
      </c>
      <c r="I1008" s="407">
        <f t="shared" si="51"/>
        <v>-0.96825600000000323</v>
      </c>
      <c r="J1008" s="407">
        <f t="shared" si="51"/>
        <v>1.4291458560000072</v>
      </c>
      <c r="K1008" s="589">
        <f t="shared" si="50"/>
        <v>1.4448898560000056</v>
      </c>
    </row>
    <row r="1009" spans="7:11" customFormat="1" x14ac:dyDescent="0.25">
      <c r="G1009" s="589">
        <f t="shared" si="52"/>
        <v>0.98600000000000165</v>
      </c>
      <c r="H1009" s="407">
        <f t="shared" si="51"/>
        <v>0.98600000000000165</v>
      </c>
      <c r="I1009" s="407">
        <f t="shared" si="51"/>
        <v>-0.97219600000000328</v>
      </c>
      <c r="J1009" s="407">
        <f t="shared" si="51"/>
        <v>1.4378778840000075</v>
      </c>
      <c r="K1009" s="589">
        <f t="shared" si="50"/>
        <v>1.4516818840000059</v>
      </c>
    </row>
    <row r="1010" spans="7:11" customFormat="1" x14ac:dyDescent="0.25">
      <c r="G1010" s="589">
        <f t="shared" si="52"/>
        <v>0.98800000000000165</v>
      </c>
      <c r="H1010" s="407">
        <f t="shared" si="51"/>
        <v>0.98800000000000165</v>
      </c>
      <c r="I1010" s="407">
        <f t="shared" si="51"/>
        <v>-0.97614400000000323</v>
      </c>
      <c r="J1010" s="407">
        <f t="shared" si="51"/>
        <v>1.4466454080000073</v>
      </c>
      <c r="K1010" s="589">
        <f t="shared" si="50"/>
        <v>1.4585014080000058</v>
      </c>
    </row>
    <row r="1011" spans="7:11" customFormat="1" x14ac:dyDescent="0.25">
      <c r="G1011" s="589">
        <f t="shared" si="52"/>
        <v>0.99000000000000166</v>
      </c>
      <c r="H1011" s="407">
        <f t="shared" si="51"/>
        <v>0.99000000000000166</v>
      </c>
      <c r="I1011" s="407">
        <f t="shared" si="51"/>
        <v>-0.9801000000000033</v>
      </c>
      <c r="J1011" s="407">
        <f t="shared" si="51"/>
        <v>1.4554485000000073</v>
      </c>
      <c r="K1011" s="589">
        <f t="shared" si="50"/>
        <v>1.4653485000000055</v>
      </c>
    </row>
    <row r="1012" spans="7:11" customFormat="1" x14ac:dyDescent="0.25">
      <c r="G1012" s="589">
        <f t="shared" si="52"/>
        <v>0.99200000000000166</v>
      </c>
      <c r="H1012" s="407">
        <f t="shared" si="51"/>
        <v>0.99200000000000166</v>
      </c>
      <c r="I1012" s="407">
        <f t="shared" si="51"/>
        <v>-0.98406400000000327</v>
      </c>
      <c r="J1012" s="407">
        <f t="shared" si="51"/>
        <v>1.4642872320000073</v>
      </c>
      <c r="K1012" s="589">
        <f t="shared" si="50"/>
        <v>1.4722232320000057</v>
      </c>
    </row>
    <row r="1013" spans="7:11" customFormat="1" x14ac:dyDescent="0.25">
      <c r="G1013" s="589">
        <f t="shared" si="52"/>
        <v>0.99400000000000166</v>
      </c>
      <c r="H1013" s="407">
        <f t="shared" si="51"/>
        <v>0.99400000000000166</v>
      </c>
      <c r="I1013" s="407">
        <f t="shared" si="51"/>
        <v>-0.98803600000000324</v>
      </c>
      <c r="J1013" s="407">
        <f t="shared" si="51"/>
        <v>1.4731616760000072</v>
      </c>
      <c r="K1013" s="589">
        <f t="shared" ref="K1013:K1016" si="53">SUM(H1013:J1013)</f>
        <v>1.4791256760000056</v>
      </c>
    </row>
    <row r="1014" spans="7:11" customFormat="1" x14ac:dyDescent="0.25">
      <c r="G1014" s="589">
        <f t="shared" si="52"/>
        <v>0.99600000000000166</v>
      </c>
      <c r="H1014" s="407">
        <f t="shared" si="51"/>
        <v>0.99600000000000166</v>
      </c>
      <c r="I1014" s="407">
        <f t="shared" si="51"/>
        <v>-0.99201600000000334</v>
      </c>
      <c r="J1014" s="407">
        <f t="shared" si="51"/>
        <v>1.4820719040000074</v>
      </c>
      <c r="K1014" s="589">
        <f t="shared" si="53"/>
        <v>1.4860559040000059</v>
      </c>
    </row>
    <row r="1015" spans="7:11" customFormat="1" x14ac:dyDescent="0.25">
      <c r="G1015" s="589">
        <f t="shared" si="52"/>
        <v>0.99800000000000166</v>
      </c>
      <c r="H1015" s="407">
        <f t="shared" si="51"/>
        <v>0.99800000000000166</v>
      </c>
      <c r="I1015" s="407">
        <f t="shared" si="51"/>
        <v>-0.99600400000000333</v>
      </c>
      <c r="J1015" s="407">
        <f t="shared" si="51"/>
        <v>1.4910179880000074</v>
      </c>
      <c r="K1015" s="589">
        <f t="shared" si="53"/>
        <v>1.4930139880000057</v>
      </c>
    </row>
    <row r="1016" spans="7:11" customFormat="1" x14ac:dyDescent="0.25">
      <c r="G1016" s="589">
        <f t="shared" si="52"/>
        <v>1.0000000000000016</v>
      </c>
      <c r="H1016" s="407">
        <f t="shared" si="51"/>
        <v>1.0000000000000016</v>
      </c>
      <c r="I1016" s="407">
        <f t="shared" si="51"/>
        <v>-1.0000000000000031</v>
      </c>
      <c r="J1016" s="407">
        <f t="shared" si="51"/>
        <v>1.5000000000000071</v>
      </c>
      <c r="K1016" s="589">
        <f t="shared" si="53"/>
        <v>1.5000000000000056</v>
      </c>
    </row>
    <row r="1017" spans="7:11" customFormat="1" x14ac:dyDescent="0.25">
      <c r="G1017" s="589"/>
      <c r="H1017" s="407"/>
      <c r="I1017" s="407"/>
      <c r="J1017" s="407"/>
      <c r="K1017" s="589">
        <v>0</v>
      </c>
    </row>
    <row r="1018" spans="7:11" customFormat="1" x14ac:dyDescent="0.25">
      <c r="G1018" s="589"/>
      <c r="H1018" s="407"/>
      <c r="I1018" s="407"/>
      <c r="J1018" s="407"/>
      <c r="K1018" s="589"/>
    </row>
    <row r="1019" spans="7:11" customFormat="1" x14ac:dyDescent="0.25">
      <c r="G1019" s="589"/>
      <c r="H1019" s="407"/>
      <c r="I1019" s="407"/>
      <c r="J1019" s="407"/>
      <c r="K1019" s="589"/>
    </row>
    <row r="1020" spans="7:11" customFormat="1" x14ac:dyDescent="0.25">
      <c r="G1020" s="589"/>
      <c r="H1020" s="407"/>
      <c r="I1020" s="407"/>
      <c r="J1020" s="407"/>
      <c r="K1020" s="589"/>
    </row>
    <row r="1021" spans="7:11" customFormat="1" x14ac:dyDescent="0.25">
      <c r="G1021" s="589"/>
      <c r="H1021" s="407"/>
      <c r="I1021" s="407"/>
      <c r="J1021" s="407"/>
      <c r="K1021" s="589"/>
    </row>
    <row r="1022" spans="7:11" customFormat="1" x14ac:dyDescent="0.25">
      <c r="G1022" s="589"/>
      <c r="H1022" s="407"/>
      <c r="I1022" s="407"/>
      <c r="J1022" s="407"/>
      <c r="K1022" s="589"/>
    </row>
    <row r="1023" spans="7:11" customFormat="1" x14ac:dyDescent="0.25">
      <c r="G1023" s="589"/>
      <c r="H1023" s="407"/>
      <c r="I1023" s="407"/>
      <c r="J1023" s="407"/>
      <c r="K1023" s="589"/>
    </row>
    <row r="1024" spans="7:11" customFormat="1" x14ac:dyDescent="0.25">
      <c r="G1024" s="589"/>
      <c r="H1024" s="407"/>
      <c r="I1024" s="407"/>
      <c r="J1024" s="407"/>
      <c r="K1024" s="589"/>
    </row>
    <row r="1025" spans="7:11" customFormat="1" x14ac:dyDescent="0.25">
      <c r="G1025" s="589"/>
      <c r="H1025" s="407"/>
      <c r="I1025" s="407"/>
      <c r="J1025" s="407"/>
      <c r="K1025" s="589"/>
    </row>
    <row r="1026" spans="7:11" customFormat="1" x14ac:dyDescent="0.25">
      <c r="G1026" s="589"/>
      <c r="H1026" s="407"/>
      <c r="I1026" s="407"/>
      <c r="J1026" s="407"/>
      <c r="K1026" s="589"/>
    </row>
    <row r="1027" spans="7:11" customFormat="1" x14ac:dyDescent="0.25">
      <c r="G1027" s="589"/>
      <c r="H1027" s="407"/>
      <c r="I1027" s="407"/>
      <c r="J1027" s="407"/>
      <c r="K1027" s="589"/>
    </row>
    <row r="1028" spans="7:11" customFormat="1" x14ac:dyDescent="0.25">
      <c r="G1028" s="589"/>
      <c r="H1028" s="407"/>
      <c r="I1028" s="407"/>
      <c r="J1028" s="407"/>
      <c r="K1028" s="589"/>
    </row>
    <row r="1029" spans="7:11" customFormat="1" x14ac:dyDescent="0.25">
      <c r="G1029" s="589"/>
      <c r="H1029" s="407"/>
      <c r="I1029" s="407"/>
      <c r="J1029" s="407"/>
      <c r="K1029" s="589"/>
    </row>
    <row r="1030" spans="7:11" customFormat="1" x14ac:dyDescent="0.25">
      <c r="G1030" s="589"/>
      <c r="H1030" s="407"/>
      <c r="I1030" s="407"/>
      <c r="J1030" s="407"/>
      <c r="K1030" s="589"/>
    </row>
    <row r="1031" spans="7:11" customFormat="1" x14ac:dyDescent="0.25">
      <c r="G1031" s="589"/>
      <c r="H1031" s="407"/>
      <c r="I1031" s="407"/>
      <c r="J1031" s="407"/>
      <c r="K1031" s="589"/>
    </row>
    <row r="1032" spans="7:11" customFormat="1" x14ac:dyDescent="0.25">
      <c r="G1032" s="589"/>
      <c r="H1032" s="407"/>
      <c r="I1032" s="407"/>
      <c r="J1032" s="407"/>
      <c r="K1032" s="589"/>
    </row>
    <row r="1033" spans="7:11" customFormat="1" x14ac:dyDescent="0.25">
      <c r="G1033" s="589"/>
      <c r="H1033" s="407"/>
      <c r="I1033" s="407"/>
      <c r="J1033" s="407"/>
      <c r="K1033" s="589"/>
    </row>
    <row r="1034" spans="7:11" customFormat="1" x14ac:dyDescent="0.25">
      <c r="G1034" s="589"/>
      <c r="H1034" s="407"/>
      <c r="I1034" s="407"/>
      <c r="J1034" s="407"/>
      <c r="K1034" s="589"/>
    </row>
    <row r="1035" spans="7:11" customFormat="1" x14ac:dyDescent="0.25">
      <c r="G1035" s="589"/>
      <c r="H1035" s="407"/>
      <c r="I1035" s="407"/>
      <c r="J1035" s="407"/>
      <c r="K1035" s="589"/>
    </row>
    <row r="1036" spans="7:11" customFormat="1" x14ac:dyDescent="0.25">
      <c r="G1036" s="589"/>
      <c r="H1036" s="407"/>
      <c r="I1036" s="407"/>
      <c r="J1036" s="407"/>
      <c r="K1036" s="589"/>
    </row>
    <row r="1037" spans="7:11" customFormat="1" x14ac:dyDescent="0.25">
      <c r="G1037" s="589"/>
      <c r="H1037" s="407"/>
      <c r="I1037" s="407"/>
      <c r="J1037" s="407"/>
      <c r="K1037" s="589"/>
    </row>
    <row r="1038" spans="7:11" customFormat="1" x14ac:dyDescent="0.25">
      <c r="G1038" s="589"/>
      <c r="H1038" s="407"/>
      <c r="I1038" s="407"/>
      <c r="J1038" s="407"/>
      <c r="K1038" s="589"/>
    </row>
    <row r="1039" spans="7:11" customFormat="1" x14ac:dyDescent="0.25">
      <c r="G1039" s="589"/>
      <c r="H1039" s="407"/>
      <c r="I1039" s="407"/>
      <c r="J1039" s="407"/>
      <c r="K1039" s="589"/>
    </row>
    <row r="1040" spans="7:11" customFormat="1" x14ac:dyDescent="0.25">
      <c r="G1040" s="589"/>
      <c r="H1040" s="407"/>
      <c r="I1040" s="407"/>
      <c r="J1040" s="407"/>
      <c r="K1040" s="589"/>
    </row>
    <row r="1041" spans="7:11" customFormat="1" x14ac:dyDescent="0.25">
      <c r="G1041" s="589"/>
      <c r="H1041" s="407"/>
      <c r="I1041" s="407"/>
      <c r="J1041" s="407"/>
      <c r="K1041" s="589"/>
    </row>
    <row r="1042" spans="7:11" customFormat="1" x14ac:dyDescent="0.25">
      <c r="G1042" s="589"/>
      <c r="H1042" s="407"/>
      <c r="I1042" s="407"/>
      <c r="J1042" s="407"/>
      <c r="K1042" s="589"/>
    </row>
    <row r="1043" spans="7:11" customFormat="1" x14ac:dyDescent="0.25">
      <c r="G1043" s="589"/>
      <c r="H1043" s="407"/>
      <c r="I1043" s="407"/>
      <c r="J1043" s="407"/>
      <c r="K1043" s="589"/>
    </row>
    <row r="1044" spans="7:11" customFormat="1" x14ac:dyDescent="0.25">
      <c r="G1044" s="589"/>
      <c r="H1044" s="407"/>
      <c r="I1044" s="407"/>
      <c r="J1044" s="407"/>
      <c r="K1044" s="589"/>
    </row>
    <row r="1045" spans="7:11" customFormat="1" x14ac:dyDescent="0.25">
      <c r="G1045" s="589"/>
      <c r="H1045" s="407"/>
      <c r="I1045" s="407"/>
      <c r="J1045" s="407"/>
      <c r="K1045" s="589"/>
    </row>
    <row r="1046" spans="7:11" customFormat="1" x14ac:dyDescent="0.25">
      <c r="G1046" s="589"/>
      <c r="H1046" s="407"/>
      <c r="I1046" s="407"/>
      <c r="J1046" s="407"/>
      <c r="K1046" s="589"/>
    </row>
    <row r="1047" spans="7:11" customFormat="1" x14ac:dyDescent="0.25">
      <c r="G1047" s="589"/>
      <c r="H1047" s="407"/>
      <c r="I1047" s="407"/>
      <c r="J1047" s="407"/>
      <c r="K1047" s="589"/>
    </row>
    <row r="1048" spans="7:11" customFormat="1" x14ac:dyDescent="0.25">
      <c r="G1048" s="589"/>
      <c r="H1048" s="407"/>
      <c r="I1048" s="407"/>
      <c r="J1048" s="407"/>
      <c r="K1048" s="589"/>
    </row>
    <row r="1049" spans="7:11" customFormat="1" x14ac:dyDescent="0.25">
      <c r="G1049" s="589"/>
      <c r="H1049" s="407"/>
      <c r="I1049" s="407"/>
      <c r="J1049" s="407"/>
      <c r="K1049" s="589"/>
    </row>
    <row r="1050" spans="7:11" customFormat="1" x14ac:dyDescent="0.25">
      <c r="G1050" s="589"/>
      <c r="H1050" s="407"/>
      <c r="I1050" s="407"/>
      <c r="J1050" s="407"/>
      <c r="K1050" s="589"/>
    </row>
    <row r="1051" spans="7:11" customFormat="1" x14ac:dyDescent="0.25">
      <c r="G1051" s="589"/>
      <c r="H1051" s="407"/>
      <c r="I1051" s="407"/>
      <c r="J1051" s="407"/>
      <c r="K1051" s="589"/>
    </row>
    <row r="1052" spans="7:11" customFormat="1" x14ac:dyDescent="0.25">
      <c r="G1052" s="589"/>
      <c r="H1052" s="407"/>
      <c r="I1052" s="407"/>
      <c r="J1052" s="407"/>
      <c r="K1052" s="589"/>
    </row>
    <row r="1053" spans="7:11" customFormat="1" x14ac:dyDescent="0.25">
      <c r="G1053" s="589"/>
      <c r="H1053" s="407"/>
      <c r="I1053" s="407"/>
      <c r="J1053" s="407"/>
      <c r="K1053" s="589"/>
    </row>
    <row r="1054" spans="7:11" customFormat="1" x14ac:dyDescent="0.25">
      <c r="G1054" s="589"/>
      <c r="H1054" s="407"/>
      <c r="I1054" s="407"/>
      <c r="J1054" s="407"/>
      <c r="K1054" s="589"/>
    </row>
    <row r="1055" spans="7:11" customFormat="1" x14ac:dyDescent="0.25">
      <c r="G1055" s="589"/>
      <c r="H1055" s="407"/>
      <c r="I1055" s="407"/>
      <c r="J1055" s="407"/>
      <c r="K1055" s="589"/>
    </row>
    <row r="1056" spans="7:11" customFormat="1" x14ac:dyDescent="0.25">
      <c r="G1056" s="589"/>
      <c r="H1056" s="407"/>
      <c r="I1056" s="407"/>
      <c r="J1056" s="407"/>
      <c r="K1056" s="589"/>
    </row>
    <row r="1057" spans="7:11" customFormat="1" x14ac:dyDescent="0.25">
      <c r="G1057" s="589"/>
      <c r="H1057" s="407"/>
      <c r="I1057" s="407"/>
      <c r="J1057" s="407"/>
      <c r="K1057" s="589"/>
    </row>
    <row r="1058" spans="7:11" customFormat="1" x14ac:dyDescent="0.25">
      <c r="G1058" s="589"/>
      <c r="H1058" s="407"/>
      <c r="I1058" s="407"/>
      <c r="J1058" s="407"/>
      <c r="K1058" s="589"/>
    </row>
    <row r="1059" spans="7:11" customFormat="1" x14ac:dyDescent="0.25">
      <c r="G1059" s="589"/>
      <c r="H1059" s="407"/>
      <c r="I1059" s="407"/>
      <c r="J1059" s="407"/>
      <c r="K1059" s="589"/>
    </row>
    <row r="1060" spans="7:11" customFormat="1" x14ac:dyDescent="0.25">
      <c r="G1060" s="589"/>
      <c r="H1060" s="407"/>
      <c r="I1060" s="407"/>
      <c r="J1060" s="407"/>
      <c r="K1060" s="589"/>
    </row>
    <row r="1061" spans="7:11" customFormat="1" x14ac:dyDescent="0.25">
      <c r="G1061" s="589"/>
      <c r="H1061" s="407"/>
      <c r="I1061" s="407"/>
      <c r="J1061" s="407"/>
      <c r="K1061" s="589"/>
    </row>
    <row r="1062" spans="7:11" customFormat="1" x14ac:dyDescent="0.25">
      <c r="G1062" s="589"/>
      <c r="H1062" s="407"/>
      <c r="I1062" s="407"/>
      <c r="J1062" s="407"/>
      <c r="K1062" s="589"/>
    </row>
    <row r="1063" spans="7:11" customFormat="1" x14ac:dyDescent="0.25">
      <c r="G1063" s="589"/>
      <c r="H1063" s="407"/>
      <c r="I1063" s="407"/>
      <c r="J1063" s="407"/>
      <c r="K1063" s="589"/>
    </row>
    <row r="1064" spans="7:11" customFormat="1" x14ac:dyDescent="0.25">
      <c r="G1064" s="589"/>
      <c r="H1064" s="407"/>
      <c r="I1064" s="407"/>
      <c r="J1064" s="407"/>
      <c r="K1064" s="589"/>
    </row>
    <row r="1065" spans="7:11" customFormat="1" x14ac:dyDescent="0.25">
      <c r="G1065" s="589"/>
      <c r="H1065" s="407"/>
      <c r="I1065" s="407"/>
      <c r="J1065" s="407"/>
      <c r="K1065" s="589"/>
    </row>
    <row r="1066" spans="7:11" customFormat="1" x14ac:dyDescent="0.25">
      <c r="G1066" s="589"/>
      <c r="H1066" s="407"/>
      <c r="I1066" s="407"/>
      <c r="J1066" s="407"/>
      <c r="K1066" s="589"/>
    </row>
    <row r="1067" spans="7:11" customFormat="1" x14ac:dyDescent="0.25">
      <c r="G1067" s="589"/>
      <c r="H1067" s="407"/>
      <c r="I1067" s="407"/>
      <c r="J1067" s="407"/>
      <c r="K1067" s="589"/>
    </row>
    <row r="1068" spans="7:11" customFormat="1" x14ac:dyDescent="0.25">
      <c r="G1068" s="589"/>
      <c r="H1068" s="407"/>
      <c r="I1068" s="407"/>
      <c r="J1068" s="407"/>
      <c r="K1068" s="589"/>
    </row>
    <row r="1069" spans="7:11" customFormat="1" x14ac:dyDescent="0.25">
      <c r="G1069" s="589"/>
      <c r="H1069" s="407"/>
      <c r="I1069" s="407"/>
      <c r="J1069" s="407"/>
      <c r="K1069" s="589"/>
    </row>
    <row r="1070" spans="7:11" customFormat="1" x14ac:dyDescent="0.25">
      <c r="G1070" s="589"/>
      <c r="H1070" s="407"/>
      <c r="I1070" s="407"/>
      <c r="J1070" s="407"/>
      <c r="K1070" s="589"/>
    </row>
    <row r="1071" spans="7:11" customFormat="1" x14ac:dyDescent="0.25">
      <c r="G1071" s="589"/>
      <c r="H1071" s="407"/>
      <c r="I1071" s="407"/>
      <c r="J1071" s="407"/>
      <c r="K1071" s="589"/>
    </row>
    <row r="1072" spans="7:11" customFormat="1" x14ac:dyDescent="0.25">
      <c r="G1072" s="589"/>
      <c r="H1072" s="407"/>
      <c r="I1072" s="407"/>
      <c r="J1072" s="407"/>
      <c r="K1072" s="589"/>
    </row>
    <row r="1073" spans="7:11" customFormat="1" x14ac:dyDescent="0.25">
      <c r="G1073" s="589"/>
      <c r="H1073" s="407"/>
      <c r="I1073" s="407"/>
      <c r="J1073" s="407"/>
      <c r="K1073" s="589"/>
    </row>
    <row r="1074" spans="7:11" customFormat="1" x14ac:dyDescent="0.25">
      <c r="G1074" s="589"/>
      <c r="H1074" s="407"/>
      <c r="I1074" s="407"/>
      <c r="J1074" s="407"/>
      <c r="K1074" s="589"/>
    </row>
    <row r="1075" spans="7:11" customFormat="1" x14ac:dyDescent="0.25">
      <c r="G1075" s="589"/>
      <c r="H1075" s="407"/>
      <c r="I1075" s="407"/>
      <c r="J1075" s="407"/>
      <c r="K1075" s="589"/>
    </row>
    <row r="1076" spans="7:11" customFormat="1" x14ac:dyDescent="0.25">
      <c r="G1076" s="589"/>
      <c r="H1076" s="407"/>
      <c r="I1076" s="407"/>
      <c r="J1076" s="407"/>
      <c r="K1076" s="589"/>
    </row>
    <row r="1077" spans="7:11" customFormat="1" x14ac:dyDescent="0.25">
      <c r="G1077" s="589"/>
      <c r="H1077" s="407"/>
      <c r="I1077" s="407"/>
      <c r="J1077" s="407"/>
      <c r="K1077" s="589"/>
    </row>
    <row r="1078" spans="7:11" customFormat="1" x14ac:dyDescent="0.25">
      <c r="G1078" s="589"/>
      <c r="H1078" s="407"/>
      <c r="I1078" s="407"/>
      <c r="J1078" s="407"/>
      <c r="K1078" s="589"/>
    </row>
    <row r="1079" spans="7:11" customFormat="1" x14ac:dyDescent="0.25">
      <c r="G1079" s="589"/>
      <c r="H1079" s="407"/>
      <c r="I1079" s="407"/>
      <c r="J1079" s="407"/>
      <c r="K1079" s="589"/>
    </row>
    <row r="1080" spans="7:11" customFormat="1" x14ac:dyDescent="0.25">
      <c r="G1080" s="589"/>
      <c r="H1080" s="407"/>
      <c r="I1080" s="407"/>
      <c r="J1080" s="407"/>
      <c r="K1080" s="589"/>
    </row>
    <row r="1081" spans="7:11" customFormat="1" x14ac:dyDescent="0.25">
      <c r="G1081" s="589"/>
      <c r="H1081" s="407"/>
      <c r="I1081" s="407"/>
      <c r="J1081" s="407"/>
      <c r="K1081" s="589"/>
    </row>
    <row r="1082" spans="7:11" customFormat="1" x14ac:dyDescent="0.25">
      <c r="G1082" s="589"/>
      <c r="H1082" s="407"/>
      <c r="I1082" s="407"/>
      <c r="J1082" s="407"/>
      <c r="K1082" s="589"/>
    </row>
    <row r="1083" spans="7:11" customFormat="1" x14ac:dyDescent="0.25">
      <c r="G1083" s="589"/>
      <c r="H1083" s="407"/>
      <c r="I1083" s="407"/>
      <c r="J1083" s="407"/>
      <c r="K1083" s="589"/>
    </row>
    <row r="1084" spans="7:11" customFormat="1" x14ac:dyDescent="0.25">
      <c r="G1084" s="589"/>
      <c r="H1084" s="407"/>
      <c r="I1084" s="407"/>
      <c r="J1084" s="407"/>
      <c r="K1084" s="589"/>
    </row>
    <row r="1085" spans="7:11" customFormat="1" x14ac:dyDescent="0.25">
      <c r="G1085" s="589"/>
      <c r="H1085" s="407"/>
      <c r="I1085" s="407"/>
      <c r="J1085" s="407"/>
      <c r="K1085" s="589"/>
    </row>
    <row r="1086" spans="7:11" customFormat="1" x14ac:dyDescent="0.25">
      <c r="G1086" s="589"/>
      <c r="H1086" s="407"/>
      <c r="I1086" s="407"/>
      <c r="J1086" s="407"/>
      <c r="K1086" s="589"/>
    </row>
    <row r="1087" spans="7:11" customFormat="1" x14ac:dyDescent="0.25">
      <c r="G1087" s="589"/>
      <c r="H1087" s="407"/>
      <c r="I1087" s="407"/>
      <c r="J1087" s="407"/>
      <c r="K1087" s="589"/>
    </row>
    <row r="1088" spans="7:11" customFormat="1" x14ac:dyDescent="0.25">
      <c r="G1088" s="589"/>
      <c r="H1088" s="407"/>
      <c r="I1088" s="407"/>
      <c r="J1088" s="407"/>
      <c r="K1088" s="589"/>
    </row>
    <row r="1089" spans="7:11" customFormat="1" x14ac:dyDescent="0.25">
      <c r="G1089" s="589"/>
      <c r="H1089" s="407"/>
      <c r="I1089" s="407"/>
      <c r="J1089" s="407"/>
      <c r="K1089" s="589"/>
    </row>
    <row r="1090" spans="7:11" customFormat="1" x14ac:dyDescent="0.25">
      <c r="G1090" s="589"/>
      <c r="H1090" s="407"/>
      <c r="I1090" s="407"/>
      <c r="J1090" s="407"/>
      <c r="K1090" s="589"/>
    </row>
    <row r="1091" spans="7:11" customFormat="1" x14ac:dyDescent="0.25">
      <c r="G1091" s="589"/>
      <c r="H1091" s="407"/>
      <c r="I1091" s="407"/>
      <c r="J1091" s="407"/>
      <c r="K1091" s="589"/>
    </row>
    <row r="1092" spans="7:11" customFormat="1" x14ac:dyDescent="0.25">
      <c r="G1092" s="589"/>
      <c r="H1092" s="407"/>
      <c r="I1092" s="407"/>
      <c r="J1092" s="407"/>
      <c r="K1092" s="589"/>
    </row>
    <row r="1093" spans="7:11" customFormat="1" x14ac:dyDescent="0.25">
      <c r="G1093" s="589"/>
      <c r="H1093" s="407"/>
      <c r="I1093" s="407"/>
      <c r="J1093" s="407"/>
      <c r="K1093" s="589"/>
    </row>
    <row r="1094" spans="7:11" customFormat="1" x14ac:dyDescent="0.25">
      <c r="G1094" s="589"/>
      <c r="H1094" s="407"/>
      <c r="I1094" s="407"/>
      <c r="J1094" s="407"/>
      <c r="K1094" s="589"/>
    </row>
    <row r="1095" spans="7:11" customFormat="1" x14ac:dyDescent="0.25">
      <c r="G1095" s="589"/>
      <c r="H1095" s="407"/>
      <c r="I1095" s="407"/>
      <c r="J1095" s="407"/>
      <c r="K1095" s="589"/>
    </row>
    <row r="1096" spans="7:11" customFormat="1" x14ac:dyDescent="0.25">
      <c r="G1096" s="589"/>
      <c r="H1096" s="407"/>
      <c r="I1096" s="407"/>
      <c r="J1096" s="407"/>
      <c r="K1096" s="589"/>
    </row>
    <row r="1097" spans="7:11" customFormat="1" x14ac:dyDescent="0.25">
      <c r="G1097" s="589"/>
      <c r="H1097" s="407"/>
      <c r="I1097" s="407"/>
      <c r="J1097" s="407"/>
      <c r="K1097" s="589"/>
    </row>
    <row r="1098" spans="7:11" customFormat="1" x14ac:dyDescent="0.25">
      <c r="G1098" s="589"/>
      <c r="H1098" s="407"/>
      <c r="I1098" s="407"/>
      <c r="J1098" s="407"/>
      <c r="K1098" s="589"/>
    </row>
    <row r="1099" spans="7:11" customFormat="1" x14ac:dyDescent="0.25">
      <c r="G1099" s="589"/>
      <c r="H1099" s="407"/>
      <c r="I1099" s="407"/>
      <c r="J1099" s="407"/>
      <c r="K1099" s="589"/>
    </row>
    <row r="1100" spans="7:11" customFormat="1" x14ac:dyDescent="0.25">
      <c r="G1100" s="589"/>
      <c r="H1100" s="407"/>
      <c r="I1100" s="407"/>
      <c r="J1100" s="407"/>
      <c r="K1100" s="589"/>
    </row>
    <row r="1101" spans="7:11" customFormat="1" x14ac:dyDescent="0.25">
      <c r="G1101" s="589"/>
      <c r="H1101" s="407"/>
      <c r="I1101" s="407"/>
      <c r="J1101" s="407"/>
      <c r="K1101" s="589"/>
    </row>
    <row r="1102" spans="7:11" customFormat="1" x14ac:dyDescent="0.25">
      <c r="G1102" s="589"/>
      <c r="H1102" s="407"/>
      <c r="I1102" s="407"/>
      <c r="J1102" s="407"/>
      <c r="K1102" s="589"/>
    </row>
    <row r="1103" spans="7:11" customFormat="1" x14ac:dyDescent="0.25">
      <c r="G1103" s="589"/>
      <c r="H1103" s="407"/>
      <c r="I1103" s="407"/>
      <c r="J1103" s="407"/>
      <c r="K1103" s="589"/>
    </row>
    <row r="1104" spans="7:11" customFormat="1" x14ac:dyDescent="0.25">
      <c r="G1104" s="589"/>
      <c r="H1104" s="407"/>
      <c r="I1104" s="407"/>
      <c r="J1104" s="407"/>
      <c r="K1104" s="589"/>
    </row>
    <row r="1105" spans="7:11" customFormat="1" x14ac:dyDescent="0.25">
      <c r="G1105" s="589"/>
      <c r="H1105" s="407"/>
      <c r="I1105" s="407"/>
      <c r="J1105" s="407"/>
      <c r="K1105" s="589"/>
    </row>
    <row r="1106" spans="7:11" customFormat="1" x14ac:dyDescent="0.25">
      <c r="G1106" s="589"/>
      <c r="H1106" s="407"/>
      <c r="I1106" s="407"/>
      <c r="J1106" s="407"/>
      <c r="K1106" s="589"/>
    </row>
    <row r="1107" spans="7:11" customFormat="1" x14ac:dyDescent="0.25">
      <c r="G1107" s="589"/>
      <c r="H1107" s="407"/>
      <c r="I1107" s="407"/>
      <c r="J1107" s="407"/>
      <c r="K1107" s="589"/>
    </row>
    <row r="1108" spans="7:11" customFormat="1" x14ac:dyDescent="0.25">
      <c r="G1108" s="589"/>
      <c r="H1108" s="407"/>
      <c r="I1108" s="407"/>
      <c r="J1108" s="407"/>
      <c r="K1108" s="589"/>
    </row>
    <row r="1109" spans="7:11" customFormat="1" x14ac:dyDescent="0.25">
      <c r="G1109" s="589"/>
      <c r="H1109" s="407"/>
      <c r="I1109" s="407"/>
      <c r="J1109" s="407"/>
      <c r="K1109" s="589"/>
    </row>
    <row r="1110" spans="7:11" customFormat="1" x14ac:dyDescent="0.25">
      <c r="G1110" s="589"/>
      <c r="H1110" s="407"/>
      <c r="I1110" s="407"/>
      <c r="J1110" s="407"/>
      <c r="K1110" s="589"/>
    </row>
    <row r="1111" spans="7:11" customFormat="1" x14ac:dyDescent="0.25">
      <c r="G1111" s="589"/>
      <c r="H1111" s="407"/>
      <c r="I1111" s="407"/>
      <c r="J1111" s="407"/>
      <c r="K1111" s="589"/>
    </row>
    <row r="1112" spans="7:11" customFormat="1" x14ac:dyDescent="0.25">
      <c r="G1112" s="589"/>
      <c r="H1112" s="407"/>
      <c r="I1112" s="407"/>
      <c r="J1112" s="407"/>
      <c r="K1112" s="589"/>
    </row>
    <row r="1113" spans="7:11" customFormat="1" x14ac:dyDescent="0.25">
      <c r="G1113" s="589"/>
      <c r="H1113" s="407"/>
      <c r="I1113" s="407"/>
      <c r="J1113" s="407"/>
      <c r="K1113" s="589"/>
    </row>
  </sheetData>
  <mergeCells count="6">
    <mergeCell ref="B29:B30"/>
    <mergeCell ref="B3:B10"/>
    <mergeCell ref="G3:J3"/>
    <mergeCell ref="B12:B21"/>
    <mergeCell ref="G14:I14"/>
    <mergeCell ref="B23:B27"/>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D278"/>
  <sheetViews>
    <sheetView showGridLines="0" zoomScaleNormal="100" workbookViewId="0">
      <pane ySplit="1" topLeftCell="A2" activePane="bottomLeft" state="frozen"/>
      <selection pane="bottomLeft" activeCell="A12" sqref="A12"/>
    </sheetView>
  </sheetViews>
  <sheetFormatPr defaultRowHeight="15" x14ac:dyDescent="0.25"/>
  <cols>
    <col min="1" max="1" width="30.85546875" customWidth="1"/>
    <col min="2" max="2" width="14.28515625" customWidth="1"/>
    <col min="3" max="3" width="9.5703125" bestFit="1" customWidth="1"/>
    <col min="4" max="4" width="7" customWidth="1"/>
    <col min="5" max="5" width="9.7109375" customWidth="1"/>
    <col min="6" max="6" width="6.140625" customWidth="1"/>
    <col min="7" max="7" width="3.85546875" customWidth="1"/>
    <col min="8" max="8" width="11.5703125" bestFit="1" customWidth="1"/>
    <col min="10" max="10" width="9.28515625" customWidth="1"/>
    <col min="11" max="11" width="8.42578125" customWidth="1"/>
    <col min="12" max="18" width="4.85546875" customWidth="1"/>
    <col min="19" max="19" width="3.140625" customWidth="1"/>
    <col min="20" max="20" width="4" bestFit="1" customWidth="1"/>
    <col min="21" max="21" width="9.5703125" bestFit="1" customWidth="1"/>
    <col min="29" max="29" width="10.28515625" customWidth="1"/>
  </cols>
  <sheetData>
    <row r="1" spans="1:30" ht="24" thickBot="1" x14ac:dyDescent="0.4">
      <c r="A1" s="2" t="s">
        <v>404</v>
      </c>
      <c r="H1" s="135"/>
      <c r="AC1" s="8"/>
      <c r="AD1" s="8">
        <f>AC1*1.1</f>
        <v>0</v>
      </c>
    </row>
    <row r="2" spans="1:30" ht="19.5" thickBot="1" x14ac:dyDescent="0.3">
      <c r="A2" s="608" t="s">
        <v>821</v>
      </c>
      <c r="B2" s="803" t="s">
        <v>464</v>
      </c>
      <c r="C2" s="804"/>
      <c r="D2" s="804"/>
      <c r="E2" s="804"/>
      <c r="F2" s="805"/>
      <c r="H2" s="803" t="s">
        <v>465</v>
      </c>
      <c r="I2" s="804"/>
      <c r="J2" s="804"/>
      <c r="K2" s="804"/>
      <c r="L2" s="804"/>
      <c r="M2" s="805"/>
      <c r="O2" s="4"/>
      <c r="T2" s="100"/>
      <c r="U2" s="101" t="s">
        <v>12</v>
      </c>
      <c r="V2" s="101" t="s">
        <v>40</v>
      </c>
      <c r="W2" s="101" t="s">
        <v>41</v>
      </c>
      <c r="X2" s="101" t="s">
        <v>18</v>
      </c>
      <c r="Y2" s="101" t="s">
        <v>42</v>
      </c>
      <c r="Z2" s="101" t="s">
        <v>18</v>
      </c>
      <c r="AA2" s="102"/>
      <c r="AB2" s="101" t="s">
        <v>294</v>
      </c>
      <c r="AC2" s="102" t="s">
        <v>294</v>
      </c>
    </row>
    <row r="3" spans="1:30" ht="15" customHeight="1" x14ac:dyDescent="0.25">
      <c r="A3" s="802">
        <f>VLOOKUP($A$2,'FRC Motors'!$A$4:$Q$20,17,FALSE)</f>
        <v>0</v>
      </c>
      <c r="B3" s="81" t="s">
        <v>290</v>
      </c>
      <c r="C3" s="77"/>
      <c r="D3" s="78"/>
      <c r="E3" s="79"/>
      <c r="F3" s="80"/>
      <c r="M3" s="4"/>
      <c r="P3" s="4"/>
      <c r="Q3" s="4"/>
      <c r="R3" s="4"/>
      <c r="T3" s="103" t="s">
        <v>45</v>
      </c>
      <c r="U3" s="104" t="s">
        <v>190</v>
      </c>
      <c r="V3" s="104" t="s">
        <v>191</v>
      </c>
      <c r="W3" s="104" t="s">
        <v>43</v>
      </c>
      <c r="X3" s="104" t="s">
        <v>44</v>
      </c>
      <c r="Y3" s="104" t="s">
        <v>45</v>
      </c>
      <c r="Z3" s="104" t="s">
        <v>46</v>
      </c>
      <c r="AA3" s="105" t="s">
        <v>47</v>
      </c>
      <c r="AB3" s="104" t="s">
        <v>92</v>
      </c>
      <c r="AC3" s="105" t="s">
        <v>295</v>
      </c>
    </row>
    <row r="4" spans="1:30" ht="15.75" x14ac:dyDescent="0.25">
      <c r="A4" s="802"/>
      <c r="B4" s="143" t="s">
        <v>289</v>
      </c>
      <c r="C4" s="146">
        <v>1</v>
      </c>
      <c r="D4" s="144"/>
      <c r="E4" s="144"/>
      <c r="F4" s="145"/>
      <c r="H4" s="396" t="s">
        <v>472</v>
      </c>
      <c r="I4" s="75"/>
      <c r="J4" s="75"/>
      <c r="K4" s="399">
        <f>((C8-F8)*C14/C9)+F8</f>
        <v>20.450961010433826</v>
      </c>
      <c r="L4" s="75" t="s">
        <v>468</v>
      </c>
      <c r="M4" s="76"/>
      <c r="T4" s="96">
        <v>0</v>
      </c>
      <c r="U4" s="97">
        <f>$C$9*T4/100</f>
        <v>0</v>
      </c>
      <c r="V4" s="97">
        <f t="shared" ref="V4:V24" si="0">(100-T4)*$C$7/60/100</f>
        <v>2.2222222222222223</v>
      </c>
      <c r="W4" s="97">
        <f>$C$4*(T4*($C$8-$F$8)/100)+$F$8</f>
        <v>1.2</v>
      </c>
      <c r="X4" s="97">
        <f t="shared" ref="X4:X24" si="1">U4*1.3558*2*PI()*V4</f>
        <v>0</v>
      </c>
      <c r="Y4" s="98">
        <f>100*X4/Z4</f>
        <v>0</v>
      </c>
      <c r="Z4" s="98">
        <f t="shared" ref="Z4:Z24" si="2">W4*$C$15</f>
        <v>14.399999999999999</v>
      </c>
      <c r="AA4" s="99">
        <f>V4*60</f>
        <v>133.33333333333334</v>
      </c>
      <c r="AB4" s="97">
        <f t="shared" ref="AB4:AB24" si="3">$C$14</f>
        <v>11.666666666666666</v>
      </c>
      <c r="AC4" s="97">
        <f>T4*1.1*MAX($X$4:$X$24)/100</f>
        <v>0</v>
      </c>
    </row>
    <row r="5" spans="1:30" ht="15.75" x14ac:dyDescent="0.25">
      <c r="A5" s="802"/>
      <c r="B5" s="143" t="s">
        <v>49</v>
      </c>
      <c r="C5" s="147">
        <v>120</v>
      </c>
      <c r="D5" s="144" t="s">
        <v>71</v>
      </c>
      <c r="E5" s="144"/>
      <c r="F5" s="145"/>
      <c r="H5" s="397" t="s">
        <v>471</v>
      </c>
      <c r="I5" s="84"/>
      <c r="J5" s="84"/>
      <c r="K5" s="400">
        <f>C9*12/C13</f>
        <v>455.25</v>
      </c>
      <c r="L5" s="84" t="s">
        <v>1</v>
      </c>
      <c r="M5" s="85"/>
      <c r="T5" s="92">
        <v>5</v>
      </c>
      <c r="U5" s="97">
        <f t="shared" ref="U5:U24" si="4">$C$9*T5/100</f>
        <v>1.8968750000000001</v>
      </c>
      <c r="V5" s="93">
        <f t="shared" si="0"/>
        <v>2.1111111111111116</v>
      </c>
      <c r="W5" s="97">
        <f t="shared" ref="W5:W24" si="5">$C$4*(T5*($C$8-$F$8)/100)+$F$8</f>
        <v>4.33</v>
      </c>
      <c r="X5" s="93">
        <f t="shared" si="1"/>
        <v>34.113423215643962</v>
      </c>
      <c r="Y5" s="94">
        <f t="shared" ref="Y5:Y24" si="6">100*X5/Z5</f>
        <v>65.65323944504226</v>
      </c>
      <c r="Z5" s="98">
        <f t="shared" si="2"/>
        <v>51.96</v>
      </c>
      <c r="AA5" s="95">
        <f t="shared" ref="AA5:AA24" si="7">V5*60</f>
        <v>126.6666666666667</v>
      </c>
      <c r="AB5" s="93">
        <f t="shared" si="3"/>
        <v>11.666666666666666</v>
      </c>
      <c r="AC5" s="93">
        <f t="shared" ref="AC5:AC24" si="8">T5*1.1*MAX($X$4:$X$24)/100</f>
        <v>9.8749382992653558</v>
      </c>
    </row>
    <row r="6" spans="1:30" ht="15.75" x14ac:dyDescent="0.25">
      <c r="A6" s="802"/>
      <c r="B6" s="143" t="s">
        <v>48</v>
      </c>
      <c r="C6" s="148">
        <v>1</v>
      </c>
      <c r="D6" s="144"/>
      <c r="E6" s="144"/>
      <c r="F6" s="145"/>
      <c r="H6" s="397" t="s">
        <v>473</v>
      </c>
      <c r="I6" s="84"/>
      <c r="J6" s="84"/>
      <c r="K6" s="400">
        <f>(C7)*(1-(C14/C9))</f>
        <v>92.330221490023803</v>
      </c>
      <c r="L6" s="84" t="s">
        <v>91</v>
      </c>
      <c r="M6" s="85"/>
      <c r="T6" s="92">
        <v>10</v>
      </c>
      <c r="U6" s="97">
        <f t="shared" si="4"/>
        <v>3.7937500000000002</v>
      </c>
      <c r="V6" s="93">
        <f t="shared" si="0"/>
        <v>2</v>
      </c>
      <c r="W6" s="97">
        <f t="shared" si="5"/>
        <v>7.46</v>
      </c>
      <c r="X6" s="93">
        <f t="shared" si="1"/>
        <v>64.635959777009603</v>
      </c>
      <c r="Y6" s="94">
        <f t="shared" si="6"/>
        <v>72.20281476430921</v>
      </c>
      <c r="Z6" s="98">
        <f t="shared" si="2"/>
        <v>89.52</v>
      </c>
      <c r="AA6" s="95">
        <f t="shared" si="7"/>
        <v>120</v>
      </c>
      <c r="AB6" s="93">
        <f t="shared" si="3"/>
        <v>11.666666666666666</v>
      </c>
      <c r="AC6" s="93">
        <f t="shared" si="8"/>
        <v>19.749876598530712</v>
      </c>
    </row>
    <row r="7" spans="1:30" x14ac:dyDescent="0.25">
      <c r="A7" s="802"/>
      <c r="B7" s="86" t="s">
        <v>183</v>
      </c>
      <c r="C7" s="87">
        <f>(C15/K40)*(C41/C5)</f>
        <v>133.33333333333334</v>
      </c>
      <c r="D7" s="88" t="s">
        <v>91</v>
      </c>
      <c r="E7" s="149">
        <f>C7*2*PI()/60</f>
        <v>13.962634015954638</v>
      </c>
      <c r="F7" s="89" t="s">
        <v>187</v>
      </c>
      <c r="H7" s="397" t="s">
        <v>474</v>
      </c>
      <c r="I7" s="84"/>
      <c r="J7" s="84"/>
      <c r="K7" s="405">
        <f>PI()*2*C13*K6/60</f>
        <v>9.6687981845792397</v>
      </c>
      <c r="L7" s="84" t="s">
        <v>475</v>
      </c>
      <c r="M7" s="85"/>
      <c r="T7" s="92">
        <v>15</v>
      </c>
      <c r="U7" s="97">
        <f t="shared" si="4"/>
        <v>5.6906249999999998</v>
      </c>
      <c r="V7" s="93">
        <f t="shared" si="0"/>
        <v>1.8888888888888888</v>
      </c>
      <c r="W7" s="97">
        <f t="shared" si="5"/>
        <v>10.589999999999998</v>
      </c>
      <c r="X7" s="93">
        <f t="shared" si="1"/>
        <v>91.567609684096922</v>
      </c>
      <c r="Y7" s="94">
        <f t="shared" si="6"/>
        <v>72.05509103249679</v>
      </c>
      <c r="Z7" s="98">
        <f t="shared" si="2"/>
        <v>127.07999999999998</v>
      </c>
      <c r="AA7" s="95">
        <f t="shared" si="7"/>
        <v>113.33333333333333</v>
      </c>
      <c r="AB7" s="93">
        <f t="shared" si="3"/>
        <v>11.666666666666666</v>
      </c>
      <c r="AC7" s="93">
        <f t="shared" si="8"/>
        <v>29.624814897796067</v>
      </c>
    </row>
    <row r="8" spans="1:30" ht="15.75" x14ac:dyDescent="0.25">
      <c r="A8" s="802"/>
      <c r="B8" s="73" t="s">
        <v>184</v>
      </c>
      <c r="C8" s="74">
        <f>(C15/K40)*C4*I40</f>
        <v>63.8</v>
      </c>
      <c r="D8" s="75" t="s">
        <v>182</v>
      </c>
      <c r="E8" s="75"/>
      <c r="F8" s="76">
        <f>(C15/K40)*C4*C40</f>
        <v>1.2</v>
      </c>
      <c r="H8" s="828" t="str">
        <f>"Time to travel "&amp;C16&amp;" in"</f>
        <v>Time to travel 24 in</v>
      </c>
      <c r="I8" s="829"/>
      <c r="J8" s="829"/>
      <c r="K8" s="830">
        <f>C16/K7</f>
        <v>2.4822112885009417</v>
      </c>
      <c r="L8" s="829" t="s">
        <v>469</v>
      </c>
      <c r="M8" s="831"/>
      <c r="T8" s="92">
        <v>20</v>
      </c>
      <c r="U8" s="97">
        <f t="shared" si="4"/>
        <v>7.5875000000000004</v>
      </c>
      <c r="V8" s="93">
        <f t="shared" si="0"/>
        <v>1.7777777777777779</v>
      </c>
      <c r="W8" s="97">
        <f t="shared" si="5"/>
        <v>13.719999999999999</v>
      </c>
      <c r="X8" s="93">
        <f t="shared" si="1"/>
        <v>114.90837293690596</v>
      </c>
      <c r="Y8" s="94">
        <f t="shared" si="6"/>
        <v>69.793715340686333</v>
      </c>
      <c r="Z8" s="98">
        <f t="shared" si="2"/>
        <v>164.64</v>
      </c>
      <c r="AA8" s="95">
        <f t="shared" si="7"/>
        <v>106.66666666666667</v>
      </c>
      <c r="AB8" s="93">
        <f t="shared" si="3"/>
        <v>11.666666666666666</v>
      </c>
      <c r="AC8" s="93">
        <f t="shared" si="8"/>
        <v>39.499753197061423</v>
      </c>
    </row>
    <row r="9" spans="1:30" x14ac:dyDescent="0.25">
      <c r="A9" s="802"/>
      <c r="B9" s="86" t="s">
        <v>185</v>
      </c>
      <c r="C9" s="391">
        <f>(C15/K40)*C4*C5*C6*I41</f>
        <v>37.9375</v>
      </c>
      <c r="D9" s="88" t="s">
        <v>92</v>
      </c>
      <c r="E9" s="87">
        <f>C9*1.3558</f>
        <v>51.435662499999999</v>
      </c>
      <c r="F9" s="91" t="s">
        <v>186</v>
      </c>
      <c r="H9" s="397" t="s">
        <v>474</v>
      </c>
      <c r="I9" s="84"/>
      <c r="J9" s="84"/>
      <c r="K9" s="405">
        <f>K7/12</f>
        <v>0.80573318204826994</v>
      </c>
      <c r="L9" s="84" t="s">
        <v>681</v>
      </c>
      <c r="M9" s="85"/>
      <c r="T9" s="92">
        <v>25</v>
      </c>
      <c r="U9" s="97">
        <f t="shared" si="4"/>
        <v>9.484375</v>
      </c>
      <c r="V9" s="93">
        <f t="shared" si="0"/>
        <v>1.6666666666666665</v>
      </c>
      <c r="W9" s="97">
        <f t="shared" si="5"/>
        <v>16.849999999999998</v>
      </c>
      <c r="X9" s="93">
        <f t="shared" si="1"/>
        <v>134.65824953543665</v>
      </c>
      <c r="Y9" s="94">
        <f t="shared" si="6"/>
        <v>66.59656257934553</v>
      </c>
      <c r="Z9" s="98">
        <f t="shared" si="2"/>
        <v>202.2</v>
      </c>
      <c r="AA9" s="95">
        <f t="shared" si="7"/>
        <v>99.999999999999986</v>
      </c>
      <c r="AB9" s="93">
        <f t="shared" si="3"/>
        <v>11.666666666666666</v>
      </c>
      <c r="AC9" s="93">
        <f t="shared" si="8"/>
        <v>49.37469149632679</v>
      </c>
    </row>
    <row r="10" spans="1:30" x14ac:dyDescent="0.25">
      <c r="A10" s="802"/>
      <c r="T10" s="92">
        <v>30</v>
      </c>
      <c r="U10" s="97">
        <f t="shared" si="4"/>
        <v>11.38125</v>
      </c>
      <c r="V10" s="93">
        <f t="shared" si="0"/>
        <v>1.5555555555555558</v>
      </c>
      <c r="W10" s="97">
        <f t="shared" si="5"/>
        <v>19.979999999999997</v>
      </c>
      <c r="X10" s="93">
        <f t="shared" si="1"/>
        <v>150.81723947968908</v>
      </c>
      <c r="Y10" s="94">
        <f t="shared" si="6"/>
        <v>62.903419869740205</v>
      </c>
      <c r="Z10" s="98">
        <f t="shared" si="2"/>
        <v>239.75999999999996</v>
      </c>
      <c r="AA10" s="95">
        <f t="shared" si="7"/>
        <v>93.333333333333343</v>
      </c>
      <c r="AB10" s="93">
        <f t="shared" si="3"/>
        <v>11.666666666666666</v>
      </c>
      <c r="AC10" s="93">
        <f t="shared" si="8"/>
        <v>59.249629795592135</v>
      </c>
    </row>
    <row r="11" spans="1:30" x14ac:dyDescent="0.25">
      <c r="A11" s="802"/>
      <c r="B11" s="81" t="s">
        <v>291</v>
      </c>
      <c r="C11" s="77"/>
      <c r="D11" s="78"/>
      <c r="E11" s="79"/>
      <c r="F11" s="80"/>
      <c r="J11" s="806" t="s">
        <v>748</v>
      </c>
      <c r="K11" s="806"/>
      <c r="T11" s="92">
        <v>35</v>
      </c>
      <c r="U11" s="97">
        <f t="shared" si="4"/>
        <v>13.278124999999999</v>
      </c>
      <c r="V11" s="93">
        <f t="shared" si="0"/>
        <v>1.4444444444444446</v>
      </c>
      <c r="W11" s="97">
        <f t="shared" si="5"/>
        <v>23.11</v>
      </c>
      <c r="X11" s="93">
        <f t="shared" si="1"/>
        <v>163.38534276966317</v>
      </c>
      <c r="Y11" s="94">
        <f t="shared" si="6"/>
        <v>58.915816662939264</v>
      </c>
      <c r="Z11" s="98">
        <f t="shared" si="2"/>
        <v>277.32</v>
      </c>
      <c r="AA11" s="95">
        <f t="shared" si="7"/>
        <v>86.666666666666686</v>
      </c>
      <c r="AB11" s="93">
        <f t="shared" si="3"/>
        <v>11.666666666666666</v>
      </c>
      <c r="AC11" s="93">
        <f t="shared" si="8"/>
        <v>69.124568094857494</v>
      </c>
    </row>
    <row r="12" spans="1:30" ht="15.75" x14ac:dyDescent="0.25">
      <c r="B12" s="143" t="s">
        <v>459</v>
      </c>
      <c r="C12" s="147">
        <v>140</v>
      </c>
      <c r="D12" s="144" t="s">
        <v>1</v>
      </c>
      <c r="E12" s="144"/>
      <c r="F12" s="145"/>
      <c r="I12" s="610" t="s">
        <v>165</v>
      </c>
      <c r="J12" s="611" t="s">
        <v>749</v>
      </c>
      <c r="K12" s="611" t="s">
        <v>750</v>
      </c>
      <c r="T12" s="92">
        <v>40</v>
      </c>
      <c r="U12" s="97">
        <f t="shared" si="4"/>
        <v>15.175000000000001</v>
      </c>
      <c r="V12" s="93">
        <f t="shared" si="0"/>
        <v>1.3333333333333335</v>
      </c>
      <c r="W12" s="97">
        <f t="shared" si="5"/>
        <v>26.24</v>
      </c>
      <c r="X12" s="93">
        <f t="shared" si="1"/>
        <v>172.36255940535895</v>
      </c>
      <c r="Y12" s="94">
        <f t="shared" si="6"/>
        <v>54.739125827413282</v>
      </c>
      <c r="Z12" s="98">
        <f t="shared" si="2"/>
        <v>314.88</v>
      </c>
      <c r="AA12" s="95">
        <f t="shared" si="7"/>
        <v>80.000000000000014</v>
      </c>
      <c r="AB12" s="93">
        <f t="shared" si="3"/>
        <v>11.666666666666666</v>
      </c>
      <c r="AC12" s="93">
        <f t="shared" si="8"/>
        <v>78.999506394122847</v>
      </c>
    </row>
    <row r="13" spans="1:30" ht="15.75" x14ac:dyDescent="0.25">
      <c r="B13" s="143" t="s">
        <v>460</v>
      </c>
      <c r="C13" s="374">
        <v>1</v>
      </c>
      <c r="D13" s="144" t="s">
        <v>37</v>
      </c>
      <c r="E13" s="144"/>
      <c r="F13" s="145"/>
      <c r="H13" s="375" t="s">
        <v>746</v>
      </c>
      <c r="I13" s="458">
        <v>25</v>
      </c>
      <c r="J13" s="612">
        <f>VLOOKUP($I$13,'Sprocket Sizes'!$A$8:$D$60,3,FALSE)</f>
        <v>1.9950000000000001</v>
      </c>
      <c r="K13" s="612">
        <f>VLOOKUP($I$13,'Sprocket Sizes'!$A$8:$D$60,4,FALSE)</f>
        <v>0.99750000000000005</v>
      </c>
      <c r="T13" s="92">
        <v>45</v>
      </c>
      <c r="U13" s="97">
        <f t="shared" si="4"/>
        <v>17.071874999999999</v>
      </c>
      <c r="V13" s="93">
        <f t="shared" si="0"/>
        <v>1.2222222222222223</v>
      </c>
      <c r="W13" s="97">
        <f t="shared" si="5"/>
        <v>29.369999999999994</v>
      </c>
      <c r="X13" s="93">
        <f t="shared" si="1"/>
        <v>177.74888938677643</v>
      </c>
      <c r="Y13" s="94">
        <f t="shared" si="6"/>
        <v>50.433801324133597</v>
      </c>
      <c r="Z13" s="98">
        <f t="shared" si="2"/>
        <v>352.43999999999994</v>
      </c>
      <c r="AA13" s="95">
        <f t="shared" si="7"/>
        <v>73.333333333333343</v>
      </c>
      <c r="AB13" s="93">
        <f t="shared" si="3"/>
        <v>11.666666666666666</v>
      </c>
      <c r="AC13" s="93">
        <f t="shared" si="8"/>
        <v>88.874444693388213</v>
      </c>
    </row>
    <row r="14" spans="1:30" ht="15.75" x14ac:dyDescent="0.25">
      <c r="B14" s="82" t="s">
        <v>292</v>
      </c>
      <c r="C14" s="373">
        <f>C12*C13/12</f>
        <v>11.666666666666666</v>
      </c>
      <c r="D14" s="84" t="s">
        <v>92</v>
      </c>
      <c r="E14" s="84"/>
      <c r="F14" s="85"/>
      <c r="H14" s="375" t="s">
        <v>747</v>
      </c>
      <c r="I14" s="458">
        <v>17</v>
      </c>
      <c r="J14" s="612">
        <f>VLOOKUP($I$14,'Sprocket Sizes'!$F$8:$I$65,3,FALSE)</f>
        <v>2.0409999999999999</v>
      </c>
      <c r="K14" s="612">
        <f>VLOOKUP($I$14,'Sprocket Sizes'!$F$8:$I$65,4,FALSE)</f>
        <v>1.0205</v>
      </c>
      <c r="T14" s="92">
        <v>50</v>
      </c>
      <c r="U14" s="97">
        <f t="shared" si="4"/>
        <v>18.96875</v>
      </c>
      <c r="V14" s="93">
        <f t="shared" si="0"/>
        <v>1.1111111111111112</v>
      </c>
      <c r="W14" s="97">
        <f t="shared" si="5"/>
        <v>32.5</v>
      </c>
      <c r="X14" s="93">
        <f t="shared" si="1"/>
        <v>179.54433271391557</v>
      </c>
      <c r="Y14" s="94">
        <f t="shared" si="6"/>
        <v>46.03700838818348</v>
      </c>
      <c r="Z14" s="98">
        <f t="shared" si="2"/>
        <v>390</v>
      </c>
      <c r="AA14" s="95">
        <f t="shared" si="7"/>
        <v>66.666666666666671</v>
      </c>
      <c r="AB14" s="93">
        <f t="shared" si="3"/>
        <v>11.666666666666666</v>
      </c>
      <c r="AC14" s="93">
        <f t="shared" si="8"/>
        <v>98.74938299265358</v>
      </c>
    </row>
    <row r="15" spans="1:30" ht="15.75" x14ac:dyDescent="0.25">
      <c r="B15" s="143" t="s">
        <v>331</v>
      </c>
      <c r="C15" s="147">
        <v>12</v>
      </c>
      <c r="D15" s="144" t="s">
        <v>330</v>
      </c>
      <c r="E15" s="144"/>
      <c r="F15" s="145"/>
      <c r="H15" s="207"/>
      <c r="T15" s="92">
        <v>55</v>
      </c>
      <c r="U15" s="97">
        <f t="shared" si="4"/>
        <v>20.865625000000001</v>
      </c>
      <c r="V15" s="93">
        <f t="shared" si="0"/>
        <v>1</v>
      </c>
      <c r="W15" s="97">
        <f t="shared" si="5"/>
        <v>35.629999999999995</v>
      </c>
      <c r="X15" s="93">
        <f t="shared" si="1"/>
        <v>177.7488893867764</v>
      </c>
      <c r="Y15" s="94">
        <f t="shared" si="6"/>
        <v>41.572852789497709</v>
      </c>
      <c r="Z15" s="98">
        <f t="shared" si="2"/>
        <v>427.55999999999995</v>
      </c>
      <c r="AA15" s="95">
        <f t="shared" si="7"/>
        <v>60</v>
      </c>
      <c r="AB15" s="93">
        <f t="shared" si="3"/>
        <v>11.666666666666666</v>
      </c>
      <c r="AC15" s="93">
        <f t="shared" si="8"/>
        <v>108.62432129191893</v>
      </c>
    </row>
    <row r="16" spans="1:30" ht="15.75" x14ac:dyDescent="0.25">
      <c r="B16" s="382" t="s">
        <v>470</v>
      </c>
      <c r="C16" s="383">
        <v>24</v>
      </c>
      <c r="D16" s="384" t="s">
        <v>37</v>
      </c>
      <c r="E16" s="403">
        <f>C16*2*PI()/60</f>
        <v>2.5132741228718345</v>
      </c>
      <c r="F16" s="404" t="s">
        <v>187</v>
      </c>
      <c r="H16" s="207"/>
      <c r="T16" s="92">
        <v>60</v>
      </c>
      <c r="U16" s="97">
        <f t="shared" si="4"/>
        <v>22.762499999999999</v>
      </c>
      <c r="V16" s="93">
        <f t="shared" si="0"/>
        <v>0.88888888888888895</v>
      </c>
      <c r="W16" s="97">
        <f t="shared" si="5"/>
        <v>38.76</v>
      </c>
      <c r="X16" s="93">
        <f t="shared" si="1"/>
        <v>172.36255940535895</v>
      </c>
      <c r="Y16" s="94">
        <f t="shared" si="6"/>
        <v>37.057653810921686</v>
      </c>
      <c r="Z16" s="98">
        <f t="shared" si="2"/>
        <v>465.12</v>
      </c>
      <c r="AA16" s="95">
        <f t="shared" si="7"/>
        <v>53.333333333333336</v>
      </c>
      <c r="AB16" s="93">
        <f t="shared" si="3"/>
        <v>11.666666666666666</v>
      </c>
      <c r="AC16" s="93">
        <f t="shared" si="8"/>
        <v>118.49925959118427</v>
      </c>
    </row>
    <row r="17" spans="8:29" x14ac:dyDescent="0.25">
      <c r="H17" s="601"/>
      <c r="T17" s="92">
        <v>65</v>
      </c>
      <c r="U17" s="97">
        <f t="shared" si="4"/>
        <v>24.659375000000001</v>
      </c>
      <c r="V17" s="93">
        <f t="shared" si="0"/>
        <v>0.7777777777777779</v>
      </c>
      <c r="W17" s="97">
        <f t="shared" si="5"/>
        <v>41.89</v>
      </c>
      <c r="X17" s="93">
        <f t="shared" si="1"/>
        <v>163.3853427696632</v>
      </c>
      <c r="Y17" s="94">
        <f t="shared" si="6"/>
        <v>32.50285326045659</v>
      </c>
      <c r="Z17" s="98">
        <f t="shared" si="2"/>
        <v>502.68</v>
      </c>
      <c r="AA17" s="95">
        <f t="shared" si="7"/>
        <v>46.666666666666671</v>
      </c>
      <c r="AB17" s="93">
        <f t="shared" si="3"/>
        <v>11.666666666666666</v>
      </c>
      <c r="AC17" s="93">
        <f t="shared" si="8"/>
        <v>128.37419789044964</v>
      </c>
    </row>
    <row r="18" spans="8:29" x14ac:dyDescent="0.25">
      <c r="T18" s="92">
        <v>70</v>
      </c>
      <c r="U18" s="97">
        <f t="shared" si="4"/>
        <v>26.556249999999999</v>
      </c>
      <c r="V18" s="93">
        <f t="shared" si="0"/>
        <v>0.66666666666666674</v>
      </c>
      <c r="W18" s="97">
        <f t="shared" si="5"/>
        <v>45.02</v>
      </c>
      <c r="X18" s="93">
        <f t="shared" si="1"/>
        <v>150.81723947968908</v>
      </c>
      <c r="Y18" s="94">
        <f t="shared" si="6"/>
        <v>27.91671099505573</v>
      </c>
      <c r="Z18" s="98">
        <f t="shared" si="2"/>
        <v>540.24</v>
      </c>
      <c r="AA18" s="95">
        <f t="shared" si="7"/>
        <v>40.000000000000007</v>
      </c>
      <c r="AB18" s="93">
        <f t="shared" si="3"/>
        <v>11.666666666666666</v>
      </c>
      <c r="AC18" s="93">
        <f t="shared" si="8"/>
        <v>138.24913618971499</v>
      </c>
    </row>
    <row r="19" spans="8:29" x14ac:dyDescent="0.25">
      <c r="T19" s="92">
        <v>75</v>
      </c>
      <c r="U19" s="97">
        <f t="shared" si="4"/>
        <v>28.453125</v>
      </c>
      <c r="V19" s="93">
        <f t="shared" si="0"/>
        <v>0.55555555555555558</v>
      </c>
      <c r="W19" s="97">
        <f t="shared" si="5"/>
        <v>48.150000000000006</v>
      </c>
      <c r="X19" s="93">
        <f t="shared" si="1"/>
        <v>134.65824953543668</v>
      </c>
      <c r="Y19" s="94">
        <f t="shared" si="6"/>
        <v>23.305339137320296</v>
      </c>
      <c r="Z19" s="98">
        <f t="shared" si="2"/>
        <v>577.80000000000007</v>
      </c>
      <c r="AA19" s="95">
        <f t="shared" si="7"/>
        <v>33.333333333333336</v>
      </c>
      <c r="AB19" s="93">
        <f t="shared" si="3"/>
        <v>11.666666666666666</v>
      </c>
      <c r="AC19" s="93">
        <f t="shared" si="8"/>
        <v>148.12407448898034</v>
      </c>
    </row>
    <row r="20" spans="8:29" x14ac:dyDescent="0.25">
      <c r="T20" s="92">
        <v>80</v>
      </c>
      <c r="U20" s="97">
        <f t="shared" si="4"/>
        <v>30.35</v>
      </c>
      <c r="V20" s="93">
        <f t="shared" si="0"/>
        <v>0.44444444444444448</v>
      </c>
      <c r="W20" s="97">
        <f t="shared" si="5"/>
        <v>51.28</v>
      </c>
      <c r="X20" s="93">
        <f t="shared" si="1"/>
        <v>114.90837293690596</v>
      </c>
      <c r="Y20" s="94">
        <f t="shared" si="6"/>
        <v>18.673357536548679</v>
      </c>
      <c r="Z20" s="98">
        <f t="shared" si="2"/>
        <v>615.36</v>
      </c>
      <c r="AA20" s="95">
        <f t="shared" si="7"/>
        <v>26.666666666666668</v>
      </c>
      <c r="AB20" s="93">
        <f t="shared" si="3"/>
        <v>11.666666666666666</v>
      </c>
      <c r="AC20" s="93">
        <f t="shared" si="8"/>
        <v>157.99901278824569</v>
      </c>
    </row>
    <row r="21" spans="8:29" x14ac:dyDescent="0.25">
      <c r="T21" s="92">
        <v>85</v>
      </c>
      <c r="U21" s="97">
        <f t="shared" si="4"/>
        <v>32.246875000000003</v>
      </c>
      <c r="V21" s="93">
        <f t="shared" si="0"/>
        <v>0.33333333333333337</v>
      </c>
      <c r="W21" s="97">
        <f t="shared" si="5"/>
        <v>54.41</v>
      </c>
      <c r="X21" s="93">
        <f t="shared" si="1"/>
        <v>91.567609684096936</v>
      </c>
      <c r="Y21" s="94">
        <f t="shared" si="6"/>
        <v>14.024322992724521</v>
      </c>
      <c r="Z21" s="98">
        <f t="shared" si="2"/>
        <v>652.91999999999996</v>
      </c>
      <c r="AA21" s="95">
        <f t="shared" si="7"/>
        <v>20.000000000000004</v>
      </c>
      <c r="AB21" s="93">
        <f t="shared" si="3"/>
        <v>11.666666666666666</v>
      </c>
      <c r="AC21" s="93">
        <f t="shared" si="8"/>
        <v>167.87395108751107</v>
      </c>
    </row>
    <row r="22" spans="8:29" x14ac:dyDescent="0.25">
      <c r="T22" s="92">
        <v>90</v>
      </c>
      <c r="U22" s="97">
        <f t="shared" si="4"/>
        <v>34.143749999999997</v>
      </c>
      <c r="V22" s="93">
        <f t="shared" si="0"/>
        <v>0.22222222222222224</v>
      </c>
      <c r="W22" s="97">
        <f t="shared" si="5"/>
        <v>57.539999999999992</v>
      </c>
      <c r="X22" s="93">
        <f t="shared" si="1"/>
        <v>64.635959777009603</v>
      </c>
      <c r="Y22" s="94">
        <f t="shared" si="6"/>
        <v>9.3610183896723456</v>
      </c>
      <c r="Z22" s="98">
        <f t="shared" si="2"/>
        <v>690.4799999999999</v>
      </c>
      <c r="AA22" s="95">
        <f t="shared" si="7"/>
        <v>13.333333333333334</v>
      </c>
      <c r="AB22" s="93">
        <f t="shared" si="3"/>
        <v>11.666666666666666</v>
      </c>
      <c r="AC22" s="93">
        <f t="shared" si="8"/>
        <v>177.74888938677643</v>
      </c>
    </row>
    <row r="23" spans="8:29" x14ac:dyDescent="0.25">
      <c r="T23" s="92">
        <v>95</v>
      </c>
      <c r="U23" s="97">
        <f t="shared" si="4"/>
        <v>36.040624999999999</v>
      </c>
      <c r="V23" s="93">
        <f t="shared" si="0"/>
        <v>0.11111111111111112</v>
      </c>
      <c r="W23" s="97">
        <f t="shared" si="5"/>
        <v>60.669999999999995</v>
      </c>
      <c r="X23" s="93">
        <f t="shared" si="1"/>
        <v>34.113423215643955</v>
      </c>
      <c r="Y23" s="94">
        <f t="shared" si="6"/>
        <v>4.6856523289440082</v>
      </c>
      <c r="Z23" s="98">
        <f t="shared" si="2"/>
        <v>728.04</v>
      </c>
      <c r="AA23" s="95">
        <f t="shared" si="7"/>
        <v>6.666666666666667</v>
      </c>
      <c r="AB23" s="93">
        <f t="shared" si="3"/>
        <v>11.666666666666666</v>
      </c>
      <c r="AC23" s="93">
        <f t="shared" si="8"/>
        <v>187.62382768604181</v>
      </c>
    </row>
    <row r="24" spans="8:29" x14ac:dyDescent="0.25">
      <c r="T24" s="92">
        <v>100</v>
      </c>
      <c r="U24" s="97">
        <f t="shared" si="4"/>
        <v>37.9375</v>
      </c>
      <c r="V24" s="93">
        <f t="shared" si="0"/>
        <v>0</v>
      </c>
      <c r="W24" s="97">
        <f t="shared" si="5"/>
        <v>63.8</v>
      </c>
      <c r="X24" s="93">
        <f t="shared" si="1"/>
        <v>0</v>
      </c>
      <c r="Y24" s="94">
        <f t="shared" si="6"/>
        <v>0</v>
      </c>
      <c r="Z24" s="98">
        <f t="shared" si="2"/>
        <v>765.59999999999991</v>
      </c>
      <c r="AA24" s="95">
        <f t="shared" si="7"/>
        <v>0</v>
      </c>
      <c r="AB24" s="93">
        <f t="shared" si="3"/>
        <v>11.666666666666666</v>
      </c>
      <c r="AC24" s="93">
        <f t="shared" si="8"/>
        <v>197.49876598530716</v>
      </c>
    </row>
    <row r="38" spans="2:12" ht="15.75" thickBot="1" x14ac:dyDescent="0.3"/>
    <row r="39" spans="2:12" x14ac:dyDescent="0.25">
      <c r="B39" s="264" t="s">
        <v>180</v>
      </c>
      <c r="C39" s="265">
        <f>VLOOKUP($A$2,'FRC Motors'!$A$4:$Q$22,4,FALSE)</f>
        <v>179</v>
      </c>
      <c r="D39" s="266" t="s">
        <v>181</v>
      </c>
      <c r="E39" s="267">
        <f>C39*0.00134</f>
        <v>0.23986000000000002</v>
      </c>
      <c r="F39" s="268" t="s">
        <v>189</v>
      </c>
      <c r="G39" s="112"/>
      <c r="H39" s="112"/>
      <c r="I39" s="112"/>
      <c r="J39" s="112"/>
      <c r="K39" s="112"/>
      <c r="L39" s="211"/>
    </row>
    <row r="40" spans="2:12" x14ac:dyDescent="0.25">
      <c r="B40" s="269" t="s">
        <v>182</v>
      </c>
      <c r="C40" s="83">
        <f>VLOOKUP($A$2,'FRC Motors'!$A$4:$Q$22,9,FALSE)</f>
        <v>1.2</v>
      </c>
      <c r="D40" s="84"/>
      <c r="E40" s="84"/>
      <c r="F40" s="85"/>
      <c r="G40" s="4"/>
      <c r="H40" s="73" t="s">
        <v>184</v>
      </c>
      <c r="I40" s="74">
        <f>VLOOKUP($A$2,'FRC Motors'!$A$4:$Q$22,10,FALSE)</f>
        <v>63.8</v>
      </c>
      <c r="J40" s="75" t="s">
        <v>332</v>
      </c>
      <c r="K40" s="74">
        <f>VLOOKUP($A$2,'FRC Motors'!$A$4:$Q$22,11,FALSE)</f>
        <v>12</v>
      </c>
      <c r="L40" s="270" t="s">
        <v>330</v>
      </c>
    </row>
    <row r="41" spans="2:12" ht="15.75" thickBot="1" x14ac:dyDescent="0.3">
      <c r="B41" s="271" t="s">
        <v>183</v>
      </c>
      <c r="C41" s="272">
        <f>VLOOKUP($A$2,'FRC Motors'!$A$4:$Q$22,8,FALSE)</f>
        <v>16000</v>
      </c>
      <c r="D41" s="273" t="s">
        <v>91</v>
      </c>
      <c r="E41" s="402">
        <f>C41*2*PI()/60</f>
        <v>1675.5160819145563</v>
      </c>
      <c r="F41" s="274" t="s">
        <v>187</v>
      </c>
      <c r="G41" s="275"/>
      <c r="H41" s="276" t="s">
        <v>185</v>
      </c>
      <c r="I41" s="277">
        <f>VLOOKUP($A$2,'FRC Motors'!$A$4:$Q$22,6,FALSE)</f>
        <v>0.31614583333333335</v>
      </c>
      <c r="J41" s="278" t="s">
        <v>92</v>
      </c>
      <c r="K41" s="277">
        <f>VLOOKUP($A$2,'FRC Motors'!$A$4:$Q$22,7,FALSE)</f>
        <v>0.42863052083333331</v>
      </c>
      <c r="L41" s="279" t="s">
        <v>186</v>
      </c>
    </row>
    <row r="265" spans="1:1" x14ac:dyDescent="0.25">
      <c r="A265" t="s">
        <v>702</v>
      </c>
    </row>
    <row r="269" spans="1:1" x14ac:dyDescent="0.25">
      <c r="A269" s="602" t="s">
        <v>703</v>
      </c>
    </row>
    <row r="270" spans="1:1" x14ac:dyDescent="0.25">
      <c r="A270" s="602" t="s">
        <v>703</v>
      </c>
    </row>
    <row r="278" spans="30:30" x14ac:dyDescent="0.25">
      <c r="AD278" s="591"/>
    </row>
  </sheetData>
  <mergeCells count="4">
    <mergeCell ref="A3:A11"/>
    <mergeCell ref="B2:F2"/>
    <mergeCell ref="H2:M2"/>
    <mergeCell ref="J11:K11"/>
  </mergeCells>
  <dataValidations count="3">
    <dataValidation type="list" allowBlank="1" showInputMessage="1" showErrorMessage="1" sqref="A2">
      <formula1>motor_list</formula1>
    </dataValidation>
    <dataValidation type="list" allowBlank="1" showInputMessage="1" showErrorMessage="1" sqref="I13">
      <formula1>teeth25</formula1>
    </dataValidation>
    <dataValidation type="list" allowBlank="1" showInputMessage="1" showErrorMessage="1" sqref="I14">
      <formula1>teeth35</formula1>
    </dataValidation>
  </dataValidations>
  <hyperlinks>
    <hyperlink ref="A269" r:id="rId1"/>
    <hyperlink ref="A270"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6801" r:id="rId6" name="Button 1">
              <controlPr defaultSize="0" print="0" autoFill="0" autoPict="0" macro="[0]!TOC">
                <anchor moveWithCells="1" sizeWithCells="1">
                  <from>
                    <xdr:col>3</xdr:col>
                    <xdr:colOff>333375</xdr:colOff>
                    <xdr:row>0</xdr:row>
                    <xdr:rowOff>19050</xdr:rowOff>
                  </from>
                  <to>
                    <xdr:col>5</xdr:col>
                    <xdr:colOff>0</xdr:colOff>
                    <xdr:row>0</xdr:row>
                    <xdr:rowOff>209550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D41"/>
  <sheetViews>
    <sheetView showGridLines="0" zoomScaleNormal="100" workbookViewId="0">
      <pane ySplit="1" topLeftCell="A2" activePane="bottomLeft" state="frozen"/>
      <selection pane="bottomLeft" activeCell="P28" sqref="P28"/>
    </sheetView>
  </sheetViews>
  <sheetFormatPr defaultRowHeight="15" x14ac:dyDescent="0.25"/>
  <cols>
    <col min="1" max="1" width="30.85546875" customWidth="1"/>
    <col min="2" max="2" width="18" customWidth="1"/>
    <col min="3" max="3" width="9.5703125" bestFit="1" customWidth="1"/>
    <col min="4" max="4" width="7" customWidth="1"/>
    <col min="5" max="5" width="8.5703125" customWidth="1"/>
    <col min="6" max="6" width="6.140625" customWidth="1"/>
    <col min="7" max="7" width="3.85546875" customWidth="1"/>
    <col min="8" max="8" width="11.5703125" bestFit="1" customWidth="1"/>
    <col min="10" max="10" width="5.85546875" customWidth="1"/>
    <col min="11" max="11" width="8.42578125" customWidth="1"/>
    <col min="12" max="18" width="4.85546875" customWidth="1"/>
    <col min="19" max="19" width="3.140625" customWidth="1"/>
    <col min="20" max="20" width="4" bestFit="1" customWidth="1"/>
    <col min="21" max="21" width="9.5703125" bestFit="1" customWidth="1"/>
    <col min="29" max="29" width="10.28515625" customWidth="1"/>
  </cols>
  <sheetData>
    <row r="1" spans="1:30" ht="24" thickBot="1" x14ac:dyDescent="0.4">
      <c r="A1" s="2" t="s">
        <v>404</v>
      </c>
      <c r="H1" s="135"/>
      <c r="AC1" s="8"/>
      <c r="AD1" s="8">
        <f>AC1*1.1</f>
        <v>0</v>
      </c>
    </row>
    <row r="2" spans="1:30" ht="32.25" thickBot="1" x14ac:dyDescent="0.3">
      <c r="A2" s="381" t="s">
        <v>701</v>
      </c>
      <c r="B2" s="803" t="s">
        <v>464</v>
      </c>
      <c r="C2" s="804"/>
      <c r="D2" s="804"/>
      <c r="E2" s="804"/>
      <c r="F2" s="805"/>
      <c r="H2" s="803" t="s">
        <v>465</v>
      </c>
      <c r="I2" s="804"/>
      <c r="J2" s="804"/>
      <c r="K2" s="804"/>
      <c r="L2" s="804"/>
      <c r="M2" s="805"/>
      <c r="T2" s="100"/>
      <c r="U2" s="101" t="s">
        <v>12</v>
      </c>
      <c r="V2" s="101" t="s">
        <v>40</v>
      </c>
      <c r="W2" s="101" t="s">
        <v>41</v>
      </c>
      <c r="X2" s="101" t="s">
        <v>18</v>
      </c>
      <c r="Y2" s="101" t="s">
        <v>42</v>
      </c>
      <c r="Z2" s="101" t="s">
        <v>18</v>
      </c>
      <c r="AA2" s="102"/>
      <c r="AB2" s="101" t="s">
        <v>294</v>
      </c>
      <c r="AC2" s="102" t="s">
        <v>294</v>
      </c>
    </row>
    <row r="3" spans="1:30" ht="15" customHeight="1" x14ac:dyDescent="0.25">
      <c r="A3" s="802" t="e">
        <f>VLOOKUP($A$2,'FRC Motors'!$A$4:$Q$20,17,FALSE)</f>
        <v>#N/A</v>
      </c>
      <c r="B3" s="81" t="s">
        <v>290</v>
      </c>
      <c r="C3" s="77"/>
      <c r="D3" s="78"/>
      <c r="E3" s="79"/>
      <c r="F3" s="80"/>
      <c r="M3" s="4"/>
      <c r="N3" s="4"/>
      <c r="O3" s="4"/>
      <c r="P3" s="4"/>
      <c r="Q3" s="4"/>
      <c r="R3" s="4"/>
      <c r="T3" s="103" t="s">
        <v>45</v>
      </c>
      <c r="U3" s="104" t="s">
        <v>190</v>
      </c>
      <c r="V3" s="104" t="s">
        <v>191</v>
      </c>
      <c r="W3" s="104" t="s">
        <v>43</v>
      </c>
      <c r="X3" s="104" t="s">
        <v>44</v>
      </c>
      <c r="Y3" s="104" t="s">
        <v>45</v>
      </c>
      <c r="Z3" s="104" t="s">
        <v>46</v>
      </c>
      <c r="AA3" s="105" t="s">
        <v>47</v>
      </c>
      <c r="AB3" s="104" t="s">
        <v>92</v>
      </c>
      <c r="AC3" s="105" t="s">
        <v>295</v>
      </c>
    </row>
    <row r="4" spans="1:30" ht="15.75" x14ac:dyDescent="0.25">
      <c r="A4" s="802"/>
      <c r="B4" s="143" t="s">
        <v>289</v>
      </c>
      <c r="C4" s="146">
        <v>1</v>
      </c>
      <c r="D4" s="144"/>
      <c r="E4" s="144"/>
      <c r="F4" s="145"/>
      <c r="H4" s="396" t="s">
        <v>472</v>
      </c>
      <c r="I4" s="75"/>
      <c r="J4" s="75"/>
      <c r="K4" s="399" t="e">
        <f>((C8-F8)*C14/C9)+F8</f>
        <v>#N/A</v>
      </c>
      <c r="L4" s="75" t="s">
        <v>468</v>
      </c>
      <c r="M4" s="76"/>
      <c r="T4" s="96">
        <v>0</v>
      </c>
      <c r="U4" s="97" t="e">
        <f>$C$9*T4/100</f>
        <v>#N/A</v>
      </c>
      <c r="V4" s="97" t="e">
        <f t="shared" ref="V4:V24" si="0">(100-T4)*$C$7/60/100</f>
        <v>#N/A</v>
      </c>
      <c r="W4" s="97" t="e">
        <f>$C$4*(T4*($C$8-$F$8)/100)+$F$8</f>
        <v>#N/A</v>
      </c>
      <c r="X4" s="97" t="e">
        <f t="shared" ref="X4:X24" si="1">U4*1.3558*2*PI()*V4</f>
        <v>#N/A</v>
      </c>
      <c r="Y4" s="98" t="e">
        <f>100*X4/Z4</f>
        <v>#N/A</v>
      </c>
      <c r="Z4" s="98" t="e">
        <f t="shared" ref="Z4:Z24" si="2">W4*$C$15</f>
        <v>#N/A</v>
      </c>
      <c r="AA4" s="99" t="e">
        <f>V4*60</f>
        <v>#N/A</v>
      </c>
      <c r="AB4" s="97">
        <f t="shared" ref="AB4:AB24" si="3">$C$14</f>
        <v>0.9375</v>
      </c>
      <c r="AC4" s="97" t="e">
        <f>T4*1.1*MAX($X$4:$X$24)/100</f>
        <v>#N/A</v>
      </c>
    </row>
    <row r="5" spans="1:30" ht="15.75" x14ac:dyDescent="0.25">
      <c r="A5" s="802"/>
      <c r="B5" s="143" t="s">
        <v>49</v>
      </c>
      <c r="C5" s="147">
        <v>1</v>
      </c>
      <c r="D5" s="144" t="s">
        <v>71</v>
      </c>
      <c r="E5" s="144"/>
      <c r="F5" s="145"/>
      <c r="H5" s="397" t="s">
        <v>471</v>
      </c>
      <c r="I5" s="84"/>
      <c r="J5" s="84"/>
      <c r="K5" s="400" t="e">
        <f>C9*12/C13</f>
        <v>#N/A</v>
      </c>
      <c r="L5" s="84" t="s">
        <v>1</v>
      </c>
      <c r="M5" s="85"/>
      <c r="T5" s="92">
        <v>5</v>
      </c>
      <c r="U5" s="97" t="e">
        <f t="shared" ref="U5:U24" si="4">$C$9*T5/100</f>
        <v>#N/A</v>
      </c>
      <c r="V5" s="93" t="e">
        <f t="shared" si="0"/>
        <v>#N/A</v>
      </c>
      <c r="W5" s="97" t="e">
        <f t="shared" ref="W5:W24" si="5">$C$4*(T5*($C$8-$F$8)/100)+$F$8</f>
        <v>#N/A</v>
      </c>
      <c r="X5" s="93" t="e">
        <f t="shared" si="1"/>
        <v>#N/A</v>
      </c>
      <c r="Y5" s="94" t="e">
        <f t="shared" ref="Y5:Y24" si="6">100*X5/Z5</f>
        <v>#N/A</v>
      </c>
      <c r="Z5" s="98" t="e">
        <f t="shared" si="2"/>
        <v>#N/A</v>
      </c>
      <c r="AA5" s="95" t="e">
        <f t="shared" ref="AA5:AA24" si="7">V5*60</f>
        <v>#N/A</v>
      </c>
      <c r="AB5" s="93">
        <f t="shared" si="3"/>
        <v>0.9375</v>
      </c>
      <c r="AC5" s="93" t="e">
        <f t="shared" ref="AC5:AC24" si="8">T5*1.1*MAX($X$4:$X$24)/100</f>
        <v>#N/A</v>
      </c>
    </row>
    <row r="6" spans="1:30" ht="15.75" x14ac:dyDescent="0.25">
      <c r="A6" s="802"/>
      <c r="B6" s="143" t="s">
        <v>48</v>
      </c>
      <c r="C6" s="148">
        <v>0.6</v>
      </c>
      <c r="D6" s="144"/>
      <c r="E6" s="144"/>
      <c r="F6" s="145"/>
      <c r="H6" s="397" t="s">
        <v>697</v>
      </c>
      <c r="I6" s="84"/>
      <c r="J6" s="84"/>
      <c r="K6" s="400" t="e">
        <f>(C7)*(1-(C14/C9))</f>
        <v>#N/A</v>
      </c>
      <c r="L6" s="84" t="s">
        <v>91</v>
      </c>
      <c r="M6" s="85"/>
      <c r="T6" s="92">
        <v>10</v>
      </c>
      <c r="U6" s="97" t="e">
        <f t="shared" si="4"/>
        <v>#N/A</v>
      </c>
      <c r="V6" s="93" t="e">
        <f t="shared" si="0"/>
        <v>#N/A</v>
      </c>
      <c r="W6" s="97" t="e">
        <f t="shared" si="5"/>
        <v>#N/A</v>
      </c>
      <c r="X6" s="93" t="e">
        <f t="shared" si="1"/>
        <v>#N/A</v>
      </c>
      <c r="Y6" s="94" t="e">
        <f t="shared" si="6"/>
        <v>#N/A</v>
      </c>
      <c r="Z6" s="98" t="e">
        <f t="shared" si="2"/>
        <v>#N/A</v>
      </c>
      <c r="AA6" s="95" t="e">
        <f t="shared" si="7"/>
        <v>#N/A</v>
      </c>
      <c r="AB6" s="93">
        <f t="shared" si="3"/>
        <v>0.9375</v>
      </c>
      <c r="AC6" s="93" t="e">
        <f t="shared" si="8"/>
        <v>#N/A</v>
      </c>
    </row>
    <row r="7" spans="1:30" x14ac:dyDescent="0.25">
      <c r="A7" s="802"/>
      <c r="B7" s="86" t="s">
        <v>183</v>
      </c>
      <c r="C7" s="87" t="e">
        <f>(C15/K40)*(C41/C5)</f>
        <v>#N/A</v>
      </c>
      <c r="D7" s="88" t="s">
        <v>91</v>
      </c>
      <c r="E7" s="149" t="e">
        <f>C7*2*PI()/60</f>
        <v>#N/A</v>
      </c>
      <c r="F7" s="89" t="s">
        <v>187</v>
      </c>
      <c r="H7" s="397" t="s">
        <v>698</v>
      </c>
      <c r="I7" s="84"/>
      <c r="J7" s="84"/>
      <c r="K7" s="405" t="e">
        <f>PI()*2*C13*K6/60</f>
        <v>#N/A</v>
      </c>
      <c r="L7" s="84" t="s">
        <v>475</v>
      </c>
      <c r="M7" s="85"/>
      <c r="O7">
        <f>(50*48)/(12*28)</f>
        <v>7.1428571428571432</v>
      </c>
      <c r="T7" s="92">
        <v>15</v>
      </c>
      <c r="U7" s="97" t="e">
        <f t="shared" si="4"/>
        <v>#N/A</v>
      </c>
      <c r="V7" s="93" t="e">
        <f t="shared" si="0"/>
        <v>#N/A</v>
      </c>
      <c r="W7" s="97" t="e">
        <f t="shared" si="5"/>
        <v>#N/A</v>
      </c>
      <c r="X7" s="93" t="e">
        <f t="shared" si="1"/>
        <v>#N/A</v>
      </c>
      <c r="Y7" s="94" t="e">
        <f t="shared" si="6"/>
        <v>#N/A</v>
      </c>
      <c r="Z7" s="98" t="e">
        <f t="shared" si="2"/>
        <v>#N/A</v>
      </c>
      <c r="AA7" s="95" t="e">
        <f t="shared" si="7"/>
        <v>#N/A</v>
      </c>
      <c r="AB7" s="93">
        <f t="shared" si="3"/>
        <v>0.9375</v>
      </c>
      <c r="AC7" s="93" t="e">
        <f t="shared" si="8"/>
        <v>#N/A</v>
      </c>
    </row>
    <row r="8" spans="1:30" x14ac:dyDescent="0.25">
      <c r="A8" s="802"/>
      <c r="B8" s="73" t="s">
        <v>184</v>
      </c>
      <c r="C8" s="74" t="e">
        <f>(C15/K40)*C4*I40</f>
        <v>#N/A</v>
      </c>
      <c r="D8" s="75" t="s">
        <v>182</v>
      </c>
      <c r="E8" s="75"/>
      <c r="F8" s="76" t="e">
        <f>(C15/K40)*C4*C40</f>
        <v>#N/A</v>
      </c>
      <c r="H8" s="398" t="str">
        <f>"Time to travel "&amp;C16&amp;" in"</f>
        <v>Time to travel 60 in</v>
      </c>
      <c r="I8" s="88"/>
      <c r="J8" s="88"/>
      <c r="K8" s="401" t="e">
        <f>C16/K7</f>
        <v>#N/A</v>
      </c>
      <c r="L8" s="88" t="s">
        <v>469</v>
      </c>
      <c r="M8" s="91"/>
      <c r="T8" s="92">
        <v>20</v>
      </c>
      <c r="U8" s="97" t="e">
        <f t="shared" si="4"/>
        <v>#N/A</v>
      </c>
      <c r="V8" s="93" t="e">
        <f t="shared" si="0"/>
        <v>#N/A</v>
      </c>
      <c r="W8" s="97" t="e">
        <f t="shared" si="5"/>
        <v>#N/A</v>
      </c>
      <c r="X8" s="93" t="e">
        <f t="shared" si="1"/>
        <v>#N/A</v>
      </c>
      <c r="Y8" s="94" t="e">
        <f t="shared" si="6"/>
        <v>#N/A</v>
      </c>
      <c r="Z8" s="98" t="e">
        <f t="shared" si="2"/>
        <v>#N/A</v>
      </c>
      <c r="AA8" s="95" t="e">
        <f t="shared" si="7"/>
        <v>#N/A</v>
      </c>
      <c r="AB8" s="93">
        <f t="shared" si="3"/>
        <v>0.9375</v>
      </c>
      <c r="AC8" s="93" t="e">
        <f t="shared" si="8"/>
        <v>#N/A</v>
      </c>
    </row>
    <row r="9" spans="1:30" x14ac:dyDescent="0.25">
      <c r="A9" s="802"/>
      <c r="B9" s="86" t="s">
        <v>185</v>
      </c>
      <c r="C9" s="391" t="e">
        <f>(C15/K40)*C4*C5*C6*I41</f>
        <v>#N/A</v>
      </c>
      <c r="D9" s="88" t="s">
        <v>92</v>
      </c>
      <c r="E9" s="87" t="e">
        <f>C9*1.3558</f>
        <v>#N/A</v>
      </c>
      <c r="F9" s="91" t="s">
        <v>186</v>
      </c>
      <c r="H9" s="398" t="s">
        <v>700</v>
      </c>
      <c r="I9" s="88"/>
      <c r="J9" s="88"/>
      <c r="K9" s="401" t="e">
        <f>K7*2</f>
        <v>#N/A</v>
      </c>
      <c r="L9" s="88" t="s">
        <v>475</v>
      </c>
      <c r="M9" s="91"/>
      <c r="T9" s="92">
        <v>25</v>
      </c>
      <c r="U9" s="97" t="e">
        <f t="shared" si="4"/>
        <v>#N/A</v>
      </c>
      <c r="V9" s="93" t="e">
        <f t="shared" si="0"/>
        <v>#N/A</v>
      </c>
      <c r="W9" s="97" t="e">
        <f t="shared" si="5"/>
        <v>#N/A</v>
      </c>
      <c r="X9" s="93" t="e">
        <f t="shared" si="1"/>
        <v>#N/A</v>
      </c>
      <c r="Y9" s="94" t="e">
        <f t="shared" si="6"/>
        <v>#N/A</v>
      </c>
      <c r="Z9" s="98" t="e">
        <f t="shared" si="2"/>
        <v>#N/A</v>
      </c>
      <c r="AA9" s="95" t="e">
        <f t="shared" si="7"/>
        <v>#N/A</v>
      </c>
      <c r="AB9" s="93">
        <f t="shared" si="3"/>
        <v>0.9375</v>
      </c>
      <c r="AC9" s="93" t="e">
        <f t="shared" si="8"/>
        <v>#N/A</v>
      </c>
    </row>
    <row r="10" spans="1:30" x14ac:dyDescent="0.25">
      <c r="A10" s="802"/>
      <c r="T10" s="92">
        <v>30</v>
      </c>
      <c r="U10" s="97" t="e">
        <f t="shared" si="4"/>
        <v>#N/A</v>
      </c>
      <c r="V10" s="93" t="e">
        <f t="shared" si="0"/>
        <v>#N/A</v>
      </c>
      <c r="W10" s="97" t="e">
        <f t="shared" si="5"/>
        <v>#N/A</v>
      </c>
      <c r="X10" s="93" t="e">
        <f t="shared" si="1"/>
        <v>#N/A</v>
      </c>
      <c r="Y10" s="94" t="e">
        <f t="shared" si="6"/>
        <v>#N/A</v>
      </c>
      <c r="Z10" s="98" t="e">
        <f t="shared" si="2"/>
        <v>#N/A</v>
      </c>
      <c r="AA10" s="95" t="e">
        <f t="shared" si="7"/>
        <v>#N/A</v>
      </c>
      <c r="AB10" s="93">
        <f t="shared" si="3"/>
        <v>0.9375</v>
      </c>
      <c r="AC10" s="93" t="e">
        <f t="shared" si="8"/>
        <v>#N/A</v>
      </c>
    </row>
    <row r="11" spans="1:30" x14ac:dyDescent="0.25">
      <c r="A11" s="802"/>
      <c r="B11" s="81" t="s">
        <v>291</v>
      </c>
      <c r="C11" s="77"/>
      <c r="D11" s="78"/>
      <c r="E11" s="79"/>
      <c r="F11" s="80"/>
      <c r="T11" s="92">
        <v>35</v>
      </c>
      <c r="U11" s="97" t="e">
        <f t="shared" si="4"/>
        <v>#N/A</v>
      </c>
      <c r="V11" s="93" t="e">
        <f t="shared" si="0"/>
        <v>#N/A</v>
      </c>
      <c r="W11" s="97" t="e">
        <f t="shared" si="5"/>
        <v>#N/A</v>
      </c>
      <c r="X11" s="93" t="e">
        <f t="shared" si="1"/>
        <v>#N/A</v>
      </c>
      <c r="Y11" s="94" t="e">
        <f t="shared" si="6"/>
        <v>#N/A</v>
      </c>
      <c r="Z11" s="98" t="e">
        <f t="shared" si="2"/>
        <v>#N/A</v>
      </c>
      <c r="AA11" s="95" t="e">
        <f t="shared" si="7"/>
        <v>#N/A</v>
      </c>
      <c r="AB11" s="93">
        <f t="shared" si="3"/>
        <v>0.9375</v>
      </c>
      <c r="AC11" s="93" t="e">
        <f t="shared" si="8"/>
        <v>#N/A</v>
      </c>
    </row>
    <row r="12" spans="1:30" ht="15.75" x14ac:dyDescent="0.25">
      <c r="B12" s="143" t="s">
        <v>693</v>
      </c>
      <c r="C12" s="147">
        <v>15</v>
      </c>
      <c r="D12" s="144" t="s">
        <v>1</v>
      </c>
      <c r="E12" s="144"/>
      <c r="F12" s="145"/>
      <c r="H12" t="s">
        <v>694</v>
      </c>
      <c r="K12" s="206">
        <v>15</v>
      </c>
      <c r="L12" s="84" t="s">
        <v>37</v>
      </c>
      <c r="T12" s="92">
        <v>40</v>
      </c>
      <c r="U12" s="97" t="e">
        <f t="shared" si="4"/>
        <v>#N/A</v>
      </c>
      <c r="V12" s="93" t="e">
        <f t="shared" si="0"/>
        <v>#N/A</v>
      </c>
      <c r="W12" s="97" t="e">
        <f t="shared" si="5"/>
        <v>#N/A</v>
      </c>
      <c r="X12" s="93" t="e">
        <f t="shared" si="1"/>
        <v>#N/A</v>
      </c>
      <c r="Y12" s="94" t="e">
        <f t="shared" si="6"/>
        <v>#N/A</v>
      </c>
      <c r="Z12" s="98" t="e">
        <f t="shared" si="2"/>
        <v>#N/A</v>
      </c>
      <c r="AA12" s="95" t="e">
        <f t="shared" si="7"/>
        <v>#N/A</v>
      </c>
      <c r="AB12" s="93">
        <f t="shared" si="3"/>
        <v>0.9375</v>
      </c>
      <c r="AC12" s="93" t="e">
        <f t="shared" si="8"/>
        <v>#N/A</v>
      </c>
    </row>
    <row r="13" spans="1:30" ht="15.75" x14ac:dyDescent="0.25">
      <c r="B13" s="143" t="s">
        <v>460</v>
      </c>
      <c r="C13" s="374">
        <v>0.75</v>
      </c>
      <c r="D13" s="144" t="s">
        <v>37</v>
      </c>
      <c r="E13" s="144"/>
      <c r="F13" s="145"/>
      <c r="H13" t="s">
        <v>695</v>
      </c>
      <c r="K13">
        <f>K12</f>
        <v>15</v>
      </c>
      <c r="L13" s="84" t="s">
        <v>37</v>
      </c>
      <c r="T13" s="92">
        <v>45</v>
      </c>
      <c r="U13" s="97" t="e">
        <f t="shared" si="4"/>
        <v>#N/A</v>
      </c>
      <c r="V13" s="93" t="e">
        <f t="shared" si="0"/>
        <v>#N/A</v>
      </c>
      <c r="W13" s="97" t="e">
        <f t="shared" si="5"/>
        <v>#N/A</v>
      </c>
      <c r="X13" s="93" t="e">
        <f t="shared" si="1"/>
        <v>#N/A</v>
      </c>
      <c r="Y13" s="94" t="e">
        <f t="shared" si="6"/>
        <v>#N/A</v>
      </c>
      <c r="Z13" s="98" t="e">
        <f t="shared" si="2"/>
        <v>#N/A</v>
      </c>
      <c r="AA13" s="95" t="e">
        <f t="shared" si="7"/>
        <v>#N/A</v>
      </c>
      <c r="AB13" s="93">
        <f t="shared" si="3"/>
        <v>0.9375</v>
      </c>
      <c r="AC13" s="93" t="e">
        <f t="shared" si="8"/>
        <v>#N/A</v>
      </c>
    </row>
    <row r="14" spans="1:30" ht="15.75" x14ac:dyDescent="0.25">
      <c r="B14" s="82" t="s">
        <v>292</v>
      </c>
      <c r="C14" s="373">
        <f>C12*C13/12</f>
        <v>0.9375</v>
      </c>
      <c r="D14" s="84" t="s">
        <v>92</v>
      </c>
      <c r="E14" s="84"/>
      <c r="F14" s="85"/>
      <c r="H14" t="s">
        <v>696</v>
      </c>
      <c r="K14" s="7">
        <f>SUM(K12:K13)</f>
        <v>30</v>
      </c>
      <c r="L14" s="84" t="s">
        <v>37</v>
      </c>
      <c r="T14" s="92">
        <v>50</v>
      </c>
      <c r="U14" s="97" t="e">
        <f t="shared" si="4"/>
        <v>#N/A</v>
      </c>
      <c r="V14" s="93" t="e">
        <f t="shared" si="0"/>
        <v>#N/A</v>
      </c>
      <c r="W14" s="97" t="e">
        <f t="shared" si="5"/>
        <v>#N/A</v>
      </c>
      <c r="X14" s="93" t="e">
        <f t="shared" si="1"/>
        <v>#N/A</v>
      </c>
      <c r="Y14" s="94" t="e">
        <f t="shared" si="6"/>
        <v>#N/A</v>
      </c>
      <c r="Z14" s="98" t="e">
        <f t="shared" si="2"/>
        <v>#N/A</v>
      </c>
      <c r="AA14" s="95" t="e">
        <f t="shared" si="7"/>
        <v>#N/A</v>
      </c>
      <c r="AB14" s="93">
        <f t="shared" si="3"/>
        <v>0.9375</v>
      </c>
      <c r="AC14" s="93" t="e">
        <f t="shared" si="8"/>
        <v>#N/A</v>
      </c>
    </row>
    <row r="15" spans="1:30" ht="15.75" x14ac:dyDescent="0.25">
      <c r="B15" s="143" t="s">
        <v>331</v>
      </c>
      <c r="C15" s="147">
        <v>11</v>
      </c>
      <c r="D15" s="144" t="s">
        <v>330</v>
      </c>
      <c r="E15" s="144"/>
      <c r="F15" s="145"/>
      <c r="T15" s="92">
        <v>55</v>
      </c>
      <c r="U15" s="97" t="e">
        <f t="shared" si="4"/>
        <v>#N/A</v>
      </c>
      <c r="V15" s="93" t="e">
        <f t="shared" si="0"/>
        <v>#N/A</v>
      </c>
      <c r="W15" s="97" t="e">
        <f t="shared" si="5"/>
        <v>#N/A</v>
      </c>
      <c r="X15" s="93" t="e">
        <f t="shared" si="1"/>
        <v>#N/A</v>
      </c>
      <c r="Y15" s="94" t="e">
        <f t="shared" si="6"/>
        <v>#N/A</v>
      </c>
      <c r="Z15" s="98" t="e">
        <f t="shared" si="2"/>
        <v>#N/A</v>
      </c>
      <c r="AA15" s="95" t="e">
        <f t="shared" si="7"/>
        <v>#N/A</v>
      </c>
      <c r="AB15" s="93">
        <f t="shared" si="3"/>
        <v>0.9375</v>
      </c>
      <c r="AC15" s="93" t="e">
        <f t="shared" si="8"/>
        <v>#N/A</v>
      </c>
    </row>
    <row r="16" spans="1:30" ht="15.75" x14ac:dyDescent="0.25">
      <c r="B16" s="86" t="s">
        <v>699</v>
      </c>
      <c r="C16" s="600">
        <v>60</v>
      </c>
      <c r="D16" s="88" t="s">
        <v>37</v>
      </c>
      <c r="E16" s="149">
        <f>C16*2*PI()/60</f>
        <v>6.2831853071795853</v>
      </c>
      <c r="F16" s="89" t="s">
        <v>187</v>
      </c>
      <c r="H16" s="7"/>
      <c r="T16" s="92">
        <v>60</v>
      </c>
      <c r="U16" s="97" t="e">
        <f t="shared" si="4"/>
        <v>#N/A</v>
      </c>
      <c r="V16" s="93" t="e">
        <f t="shared" si="0"/>
        <v>#N/A</v>
      </c>
      <c r="W16" s="97" t="e">
        <f t="shared" si="5"/>
        <v>#N/A</v>
      </c>
      <c r="X16" s="93" t="e">
        <f t="shared" si="1"/>
        <v>#N/A</v>
      </c>
      <c r="Y16" s="94" t="e">
        <f t="shared" si="6"/>
        <v>#N/A</v>
      </c>
      <c r="Z16" s="98" t="e">
        <f t="shared" si="2"/>
        <v>#N/A</v>
      </c>
      <c r="AA16" s="95" t="e">
        <f t="shared" si="7"/>
        <v>#N/A</v>
      </c>
      <c r="AB16" s="93">
        <f t="shared" si="3"/>
        <v>0.9375</v>
      </c>
      <c r="AC16" s="93" t="e">
        <f t="shared" si="8"/>
        <v>#N/A</v>
      </c>
    </row>
    <row r="17" spans="8:29" x14ac:dyDescent="0.25">
      <c r="H17" s="7"/>
      <c r="T17" s="92">
        <v>65</v>
      </c>
      <c r="U17" s="97" t="e">
        <f t="shared" si="4"/>
        <v>#N/A</v>
      </c>
      <c r="V17" s="93" t="e">
        <f t="shared" si="0"/>
        <v>#N/A</v>
      </c>
      <c r="W17" s="97" t="e">
        <f t="shared" si="5"/>
        <v>#N/A</v>
      </c>
      <c r="X17" s="93" t="e">
        <f t="shared" si="1"/>
        <v>#N/A</v>
      </c>
      <c r="Y17" s="94" t="e">
        <f t="shared" si="6"/>
        <v>#N/A</v>
      </c>
      <c r="Z17" s="98" t="e">
        <f t="shared" si="2"/>
        <v>#N/A</v>
      </c>
      <c r="AA17" s="95" t="e">
        <f t="shared" si="7"/>
        <v>#N/A</v>
      </c>
      <c r="AB17" s="93">
        <f t="shared" si="3"/>
        <v>0.9375</v>
      </c>
      <c r="AC17" s="93" t="e">
        <f t="shared" si="8"/>
        <v>#N/A</v>
      </c>
    </row>
    <row r="18" spans="8:29" x14ac:dyDescent="0.25">
      <c r="T18" s="92">
        <v>70</v>
      </c>
      <c r="U18" s="97" t="e">
        <f t="shared" si="4"/>
        <v>#N/A</v>
      </c>
      <c r="V18" s="93" t="e">
        <f t="shared" si="0"/>
        <v>#N/A</v>
      </c>
      <c r="W18" s="97" t="e">
        <f t="shared" si="5"/>
        <v>#N/A</v>
      </c>
      <c r="X18" s="93" t="e">
        <f t="shared" si="1"/>
        <v>#N/A</v>
      </c>
      <c r="Y18" s="94" t="e">
        <f t="shared" si="6"/>
        <v>#N/A</v>
      </c>
      <c r="Z18" s="98" t="e">
        <f t="shared" si="2"/>
        <v>#N/A</v>
      </c>
      <c r="AA18" s="95" t="e">
        <f t="shared" si="7"/>
        <v>#N/A</v>
      </c>
      <c r="AB18" s="93">
        <f t="shared" si="3"/>
        <v>0.9375</v>
      </c>
      <c r="AC18" s="93" t="e">
        <f t="shared" si="8"/>
        <v>#N/A</v>
      </c>
    </row>
    <row r="19" spans="8:29" x14ac:dyDescent="0.25">
      <c r="T19" s="92">
        <v>75</v>
      </c>
      <c r="U19" s="97" t="e">
        <f t="shared" si="4"/>
        <v>#N/A</v>
      </c>
      <c r="V19" s="93" t="e">
        <f t="shared" si="0"/>
        <v>#N/A</v>
      </c>
      <c r="W19" s="97" t="e">
        <f t="shared" si="5"/>
        <v>#N/A</v>
      </c>
      <c r="X19" s="93" t="e">
        <f t="shared" si="1"/>
        <v>#N/A</v>
      </c>
      <c r="Y19" s="94" t="e">
        <f t="shared" si="6"/>
        <v>#N/A</v>
      </c>
      <c r="Z19" s="98" t="e">
        <f t="shared" si="2"/>
        <v>#N/A</v>
      </c>
      <c r="AA19" s="95" t="e">
        <f t="shared" si="7"/>
        <v>#N/A</v>
      </c>
      <c r="AB19" s="93">
        <f t="shared" si="3"/>
        <v>0.9375</v>
      </c>
      <c r="AC19" s="93" t="e">
        <f t="shared" si="8"/>
        <v>#N/A</v>
      </c>
    </row>
    <row r="20" spans="8:29" x14ac:dyDescent="0.25">
      <c r="T20" s="92">
        <v>80</v>
      </c>
      <c r="U20" s="97" t="e">
        <f t="shared" si="4"/>
        <v>#N/A</v>
      </c>
      <c r="V20" s="93" t="e">
        <f t="shared" si="0"/>
        <v>#N/A</v>
      </c>
      <c r="W20" s="97" t="e">
        <f t="shared" si="5"/>
        <v>#N/A</v>
      </c>
      <c r="X20" s="93" t="e">
        <f t="shared" si="1"/>
        <v>#N/A</v>
      </c>
      <c r="Y20" s="94" t="e">
        <f t="shared" si="6"/>
        <v>#N/A</v>
      </c>
      <c r="Z20" s="98" t="e">
        <f t="shared" si="2"/>
        <v>#N/A</v>
      </c>
      <c r="AA20" s="95" t="e">
        <f t="shared" si="7"/>
        <v>#N/A</v>
      </c>
      <c r="AB20" s="93">
        <f t="shared" si="3"/>
        <v>0.9375</v>
      </c>
      <c r="AC20" s="93" t="e">
        <f t="shared" si="8"/>
        <v>#N/A</v>
      </c>
    </row>
    <row r="21" spans="8:29" x14ac:dyDescent="0.25">
      <c r="T21" s="92">
        <v>85</v>
      </c>
      <c r="U21" s="97" t="e">
        <f t="shared" si="4"/>
        <v>#N/A</v>
      </c>
      <c r="V21" s="93" t="e">
        <f t="shared" si="0"/>
        <v>#N/A</v>
      </c>
      <c r="W21" s="97" t="e">
        <f t="shared" si="5"/>
        <v>#N/A</v>
      </c>
      <c r="X21" s="93" t="e">
        <f t="shared" si="1"/>
        <v>#N/A</v>
      </c>
      <c r="Y21" s="94" t="e">
        <f t="shared" si="6"/>
        <v>#N/A</v>
      </c>
      <c r="Z21" s="98" t="e">
        <f t="shared" si="2"/>
        <v>#N/A</v>
      </c>
      <c r="AA21" s="95" t="e">
        <f t="shared" si="7"/>
        <v>#N/A</v>
      </c>
      <c r="AB21" s="93">
        <f t="shared" si="3"/>
        <v>0.9375</v>
      </c>
      <c r="AC21" s="93" t="e">
        <f t="shared" si="8"/>
        <v>#N/A</v>
      </c>
    </row>
    <row r="22" spans="8:29" x14ac:dyDescent="0.25">
      <c r="T22" s="92">
        <v>90</v>
      </c>
      <c r="U22" s="97" t="e">
        <f t="shared" si="4"/>
        <v>#N/A</v>
      </c>
      <c r="V22" s="93" t="e">
        <f t="shared" si="0"/>
        <v>#N/A</v>
      </c>
      <c r="W22" s="97" t="e">
        <f t="shared" si="5"/>
        <v>#N/A</v>
      </c>
      <c r="X22" s="93" t="e">
        <f t="shared" si="1"/>
        <v>#N/A</v>
      </c>
      <c r="Y22" s="94" t="e">
        <f t="shared" si="6"/>
        <v>#N/A</v>
      </c>
      <c r="Z22" s="98" t="e">
        <f t="shared" si="2"/>
        <v>#N/A</v>
      </c>
      <c r="AA22" s="95" t="e">
        <f t="shared" si="7"/>
        <v>#N/A</v>
      </c>
      <c r="AB22" s="93">
        <f t="shared" si="3"/>
        <v>0.9375</v>
      </c>
      <c r="AC22" s="93" t="e">
        <f t="shared" si="8"/>
        <v>#N/A</v>
      </c>
    </row>
    <row r="23" spans="8:29" x14ac:dyDescent="0.25">
      <c r="T23" s="92">
        <v>95</v>
      </c>
      <c r="U23" s="97" t="e">
        <f t="shared" si="4"/>
        <v>#N/A</v>
      </c>
      <c r="V23" s="93" t="e">
        <f t="shared" si="0"/>
        <v>#N/A</v>
      </c>
      <c r="W23" s="97" t="e">
        <f t="shared" si="5"/>
        <v>#N/A</v>
      </c>
      <c r="X23" s="93" t="e">
        <f t="shared" si="1"/>
        <v>#N/A</v>
      </c>
      <c r="Y23" s="94" t="e">
        <f t="shared" si="6"/>
        <v>#N/A</v>
      </c>
      <c r="Z23" s="98" t="e">
        <f t="shared" si="2"/>
        <v>#N/A</v>
      </c>
      <c r="AA23" s="95" t="e">
        <f t="shared" si="7"/>
        <v>#N/A</v>
      </c>
      <c r="AB23" s="93">
        <f t="shared" si="3"/>
        <v>0.9375</v>
      </c>
      <c r="AC23" s="93" t="e">
        <f t="shared" si="8"/>
        <v>#N/A</v>
      </c>
    </row>
    <row r="24" spans="8:29" x14ac:dyDescent="0.25">
      <c r="T24" s="92">
        <v>100</v>
      </c>
      <c r="U24" s="97" t="e">
        <f t="shared" si="4"/>
        <v>#N/A</v>
      </c>
      <c r="V24" s="93" t="e">
        <f t="shared" si="0"/>
        <v>#N/A</v>
      </c>
      <c r="W24" s="97" t="e">
        <f t="shared" si="5"/>
        <v>#N/A</v>
      </c>
      <c r="X24" s="93" t="e">
        <f t="shared" si="1"/>
        <v>#N/A</v>
      </c>
      <c r="Y24" s="94" t="e">
        <f t="shared" si="6"/>
        <v>#N/A</v>
      </c>
      <c r="Z24" s="98" t="e">
        <f t="shared" si="2"/>
        <v>#N/A</v>
      </c>
      <c r="AA24" s="95" t="e">
        <f t="shared" si="7"/>
        <v>#N/A</v>
      </c>
      <c r="AB24" s="93">
        <f t="shared" si="3"/>
        <v>0.9375</v>
      </c>
      <c r="AC24" s="93" t="e">
        <f t="shared" si="8"/>
        <v>#N/A</v>
      </c>
    </row>
    <row r="38" spans="2:12" ht="15.75" thickBot="1" x14ac:dyDescent="0.3"/>
    <row r="39" spans="2:12" x14ac:dyDescent="0.25">
      <c r="B39" s="264" t="s">
        <v>180</v>
      </c>
      <c r="C39" s="265" t="e">
        <f>VLOOKUP($A$2,'FRC Motors'!$A$4:$Q$22,4,FALSE)</f>
        <v>#N/A</v>
      </c>
      <c r="D39" s="266" t="s">
        <v>181</v>
      </c>
      <c r="E39" s="267" t="e">
        <f>C39*0.00134</f>
        <v>#N/A</v>
      </c>
      <c r="F39" s="268" t="s">
        <v>189</v>
      </c>
      <c r="G39" s="112"/>
      <c r="H39" s="112"/>
      <c r="I39" s="112"/>
      <c r="J39" s="112"/>
      <c r="K39" s="112"/>
      <c r="L39" s="211"/>
    </row>
    <row r="40" spans="2:12" x14ac:dyDescent="0.25">
      <c r="B40" s="269" t="s">
        <v>182</v>
      </c>
      <c r="C40" s="83" t="e">
        <f>VLOOKUP($A$2,'FRC Motors'!$A$4:$Q$22,9,FALSE)</f>
        <v>#N/A</v>
      </c>
      <c r="D40" s="84"/>
      <c r="E40" s="84"/>
      <c r="F40" s="85"/>
      <c r="G40" s="4"/>
      <c r="H40" s="73" t="s">
        <v>184</v>
      </c>
      <c r="I40" s="74" t="e">
        <f>VLOOKUP($A$2,'FRC Motors'!$A$4:$Q$22,10,FALSE)</f>
        <v>#N/A</v>
      </c>
      <c r="J40" s="75" t="s">
        <v>332</v>
      </c>
      <c r="K40" s="74" t="e">
        <f>VLOOKUP($A$2,'FRC Motors'!$A$4:$Q$22,11,FALSE)</f>
        <v>#N/A</v>
      </c>
      <c r="L40" s="270" t="s">
        <v>330</v>
      </c>
    </row>
    <row r="41" spans="2:12" ht="15.75" thickBot="1" x14ac:dyDescent="0.3">
      <c r="B41" s="271" t="s">
        <v>183</v>
      </c>
      <c r="C41" s="272" t="e">
        <f>VLOOKUP($A$2,'FRC Motors'!$A$4:$Q$22,8,FALSE)</f>
        <v>#N/A</v>
      </c>
      <c r="D41" s="273" t="s">
        <v>91</v>
      </c>
      <c r="E41" s="402" t="e">
        <f>C41*2*PI()/60</f>
        <v>#N/A</v>
      </c>
      <c r="F41" s="274" t="s">
        <v>187</v>
      </c>
      <c r="G41" s="275"/>
      <c r="H41" s="276" t="s">
        <v>185</v>
      </c>
      <c r="I41" s="277" t="e">
        <f>VLOOKUP($A$2,'FRC Motors'!$A$4:$Q$22,6,FALSE)</f>
        <v>#N/A</v>
      </c>
      <c r="J41" s="278" t="s">
        <v>92</v>
      </c>
      <c r="K41" s="277" t="e">
        <f>VLOOKUP($A$2,'FRC Motors'!$A$4:$Q$22,7,FALSE)</f>
        <v>#N/A</v>
      </c>
      <c r="L41" s="279" t="s">
        <v>186</v>
      </c>
    </row>
  </sheetData>
  <mergeCells count="3">
    <mergeCell ref="B2:F2"/>
    <mergeCell ref="H2:M2"/>
    <mergeCell ref="A3:A11"/>
  </mergeCells>
  <dataValidations count="1">
    <dataValidation type="list" allowBlank="1" showInputMessage="1" showErrorMessage="1" sqref="A2">
      <formula1>motor_list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TOC">
                <anchor moveWithCells="1" sizeWithCells="1">
                  <from>
                    <xdr:col>3</xdr:col>
                    <xdr:colOff>333375</xdr:colOff>
                    <xdr:row>0</xdr:row>
                    <xdr:rowOff>19050</xdr:rowOff>
                  </from>
                  <to>
                    <xdr:col>5</xdr:col>
                    <xdr:colOff>0</xdr:colOff>
                    <xdr:row>0</xdr:row>
                    <xdr:rowOff>209550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E12"/>
  <sheetViews>
    <sheetView showGridLines="0" zoomScaleNormal="100" workbookViewId="0">
      <selection activeCell="A19" sqref="A19"/>
    </sheetView>
  </sheetViews>
  <sheetFormatPr defaultRowHeight="15" x14ac:dyDescent="0.25"/>
  <cols>
    <col min="1" max="1" width="39.5703125" customWidth="1"/>
  </cols>
  <sheetData>
    <row r="1" spans="1:5" ht="18" x14ac:dyDescent="0.25">
      <c r="A1" s="2" t="s">
        <v>683</v>
      </c>
    </row>
    <row r="2" spans="1:5" ht="18" x14ac:dyDescent="0.25">
      <c r="A2" s="2"/>
    </row>
    <row r="3" spans="1:5" ht="15.75" x14ac:dyDescent="0.25">
      <c r="A3" s="593" t="s">
        <v>684</v>
      </c>
      <c r="B3" s="597">
        <v>2</v>
      </c>
      <c r="C3" s="590" t="s">
        <v>1</v>
      </c>
      <c r="D3" s="592"/>
      <c r="E3" t="s">
        <v>11</v>
      </c>
    </row>
    <row r="4" spans="1:5" ht="15.75" x14ac:dyDescent="0.25">
      <c r="A4" s="593" t="s">
        <v>685</v>
      </c>
      <c r="B4" s="597">
        <v>2</v>
      </c>
      <c r="C4" s="590" t="s">
        <v>1</v>
      </c>
      <c r="D4" s="592"/>
    </row>
    <row r="5" spans="1:5" ht="31.5" x14ac:dyDescent="0.25">
      <c r="A5" s="594" t="s">
        <v>686</v>
      </c>
      <c r="B5" s="597">
        <v>60</v>
      </c>
      <c r="C5" s="590" t="s">
        <v>1</v>
      </c>
      <c r="D5" s="592"/>
    </row>
    <row r="6" spans="1:5" ht="15.75" x14ac:dyDescent="0.25">
      <c r="A6" s="595" t="s">
        <v>687</v>
      </c>
      <c r="B6" s="597">
        <v>0</v>
      </c>
      <c r="C6" s="590" t="s">
        <v>1</v>
      </c>
      <c r="D6" s="592"/>
    </row>
    <row r="7" spans="1:5" x14ac:dyDescent="0.25">
      <c r="A7" s="249"/>
      <c r="B7" s="249"/>
      <c r="D7" s="3"/>
    </row>
    <row r="8" spans="1:5" ht="31.5" x14ac:dyDescent="0.25">
      <c r="A8" s="596" t="s">
        <v>688</v>
      </c>
      <c r="B8" s="598">
        <f>B3+2*(B4+B5)-B6</f>
        <v>126</v>
      </c>
      <c r="C8" s="590" t="s">
        <v>1</v>
      </c>
      <c r="D8" s="592"/>
    </row>
    <row r="10" spans="1:5" ht="18.75" x14ac:dyDescent="0.3">
      <c r="A10" s="106" t="s">
        <v>689</v>
      </c>
    </row>
    <row r="11" spans="1:5" ht="15.75" x14ac:dyDescent="0.25">
      <c r="A11" s="593" t="s">
        <v>690</v>
      </c>
      <c r="B11" s="597">
        <v>1.4</v>
      </c>
      <c r="C11" t="s">
        <v>37</v>
      </c>
    </row>
    <row r="12" spans="1:5" ht="15.75" x14ac:dyDescent="0.25">
      <c r="A12" s="593" t="s">
        <v>692</v>
      </c>
      <c r="B12" s="599">
        <f>B11*B8/2</f>
        <v>88.199999999999989</v>
      </c>
      <c r="C12" t="s">
        <v>691</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D38"/>
  <sheetViews>
    <sheetView showGridLines="0" zoomScaleNormal="100" workbookViewId="0">
      <pane ySplit="1" topLeftCell="A2" activePane="bottomLeft" state="frozen"/>
      <selection activeCell="G28" sqref="G28"/>
      <selection pane="bottomLeft" activeCell="I13" sqref="I13"/>
    </sheetView>
  </sheetViews>
  <sheetFormatPr defaultRowHeight="15" x14ac:dyDescent="0.25"/>
  <cols>
    <col min="1" max="1" width="30.85546875" customWidth="1"/>
    <col min="2" max="2" width="14.28515625" customWidth="1"/>
    <col min="3" max="3" width="9.5703125" bestFit="1" customWidth="1"/>
    <col min="4" max="4" width="7" customWidth="1"/>
    <col min="5" max="5" width="8.140625" customWidth="1"/>
    <col min="6" max="6" width="6.140625" customWidth="1"/>
    <col min="7" max="7" width="3.85546875" customWidth="1"/>
    <col min="8" max="8" width="11.5703125" bestFit="1" customWidth="1"/>
    <col min="10" max="10" width="5.85546875" customWidth="1"/>
    <col min="11" max="11" width="7" customWidth="1"/>
    <col min="12" max="12" width="4.85546875" customWidth="1"/>
    <col min="13" max="13" width="5.5703125" customWidth="1"/>
    <col min="14" max="14" width="5.85546875" customWidth="1"/>
    <col min="15" max="15" width="5" customWidth="1"/>
    <col min="16" max="16" width="5.7109375" customWidth="1"/>
    <col min="17" max="17" width="5.140625" customWidth="1"/>
    <col min="18" max="18" width="4.85546875" customWidth="1"/>
    <col min="19" max="19" width="3.140625" customWidth="1"/>
    <col min="20" max="20" width="4" bestFit="1" customWidth="1"/>
    <col min="21" max="21" width="9.5703125" bestFit="1" customWidth="1"/>
    <col min="29" max="29" width="10.28515625" customWidth="1"/>
  </cols>
  <sheetData>
    <row r="1" spans="1:30" ht="24" thickBot="1" x14ac:dyDescent="0.4">
      <c r="A1" s="2" t="s">
        <v>293</v>
      </c>
      <c r="H1" s="135"/>
      <c r="AC1" s="8"/>
      <c r="AD1" s="8">
        <f>AC1*1.1</f>
        <v>0</v>
      </c>
    </row>
    <row r="2" spans="1:30" ht="32.25" customHeight="1" thickBot="1" x14ac:dyDescent="0.3">
      <c r="A2" s="381" t="s">
        <v>476</v>
      </c>
      <c r="B2" s="803" t="s">
        <v>464</v>
      </c>
      <c r="C2" s="804"/>
      <c r="D2" s="804"/>
      <c r="E2" s="804"/>
      <c r="F2" s="805"/>
      <c r="H2" s="803" t="s">
        <v>465</v>
      </c>
      <c r="I2" s="804"/>
      <c r="J2" s="804"/>
      <c r="K2" s="804"/>
      <c r="L2" s="804"/>
      <c r="M2" s="805"/>
      <c r="T2" s="100"/>
      <c r="U2" s="101" t="s">
        <v>12</v>
      </c>
      <c r="V2" s="101" t="s">
        <v>40</v>
      </c>
      <c r="W2" s="101" t="s">
        <v>41</v>
      </c>
      <c r="X2" s="101" t="s">
        <v>18</v>
      </c>
      <c r="Y2" s="101" t="s">
        <v>42</v>
      </c>
      <c r="Z2" s="101" t="s">
        <v>18</v>
      </c>
      <c r="AA2" s="102"/>
      <c r="AB2" s="101" t="s">
        <v>294</v>
      </c>
      <c r="AC2" s="102" t="s">
        <v>294</v>
      </c>
    </row>
    <row r="3" spans="1:30" ht="15" customHeight="1" x14ac:dyDescent="0.25">
      <c r="A3" s="802">
        <f>VLOOKUP($A$2,'FRC Motors'!$A$4:$Q$20,17,FALSE)</f>
        <v>0</v>
      </c>
      <c r="B3" s="386" t="s">
        <v>451</v>
      </c>
      <c r="C3" s="387"/>
      <c r="D3" s="388"/>
      <c r="E3" s="389"/>
      <c r="F3" s="390"/>
      <c r="M3" s="4"/>
      <c r="N3" s="4"/>
      <c r="O3" s="4"/>
      <c r="P3" s="4"/>
      <c r="Q3" s="4"/>
      <c r="R3" s="4"/>
      <c r="T3" s="103" t="s">
        <v>45</v>
      </c>
      <c r="U3" s="104" t="s">
        <v>190</v>
      </c>
      <c r="V3" s="104" t="s">
        <v>191</v>
      </c>
      <c r="W3" s="104" t="s">
        <v>43</v>
      </c>
      <c r="X3" s="104" t="s">
        <v>44</v>
      </c>
      <c r="Y3" s="104" t="s">
        <v>45</v>
      </c>
      <c r="Z3" s="104" t="s">
        <v>46</v>
      </c>
      <c r="AA3" s="105" t="s">
        <v>47</v>
      </c>
      <c r="AB3" s="104" t="s">
        <v>92</v>
      </c>
      <c r="AC3" s="105" t="s">
        <v>295</v>
      </c>
    </row>
    <row r="4" spans="1:30" ht="15.75" x14ac:dyDescent="0.25">
      <c r="A4" s="802"/>
      <c r="B4" s="143" t="s">
        <v>289</v>
      </c>
      <c r="C4" s="146">
        <v>1</v>
      </c>
      <c r="D4" s="144"/>
      <c r="E4" s="144"/>
      <c r="F4" s="145"/>
      <c r="H4" s="396" t="s">
        <v>472</v>
      </c>
      <c r="I4" s="75"/>
      <c r="J4" s="75"/>
      <c r="K4" s="399">
        <f>((C8-F8)*C11/C9)+F8</f>
        <v>54.421843853820604</v>
      </c>
      <c r="L4" s="75" t="s">
        <v>468</v>
      </c>
      <c r="M4" s="76"/>
      <c r="T4" s="96">
        <v>0</v>
      </c>
      <c r="U4" s="97">
        <f t="shared" ref="U4:U24" si="0">$C$9*T4/100</f>
        <v>0</v>
      </c>
      <c r="V4" s="97">
        <f t="shared" ref="V4:V24" si="1">(100-T4)*$C$7/60/100</f>
        <v>2.7041666666666671</v>
      </c>
      <c r="W4" s="97">
        <f>(T4*($C$8-$F$8)/100)+$F$8</f>
        <v>2.4750000000000001</v>
      </c>
      <c r="X4" s="97">
        <f t="shared" ref="X4:X24" si="2">U4*1.3558*2*PI()*V4</f>
        <v>0</v>
      </c>
      <c r="Y4" s="98">
        <f>100*X4/Z4</f>
        <v>0</v>
      </c>
      <c r="Z4" s="98">
        <f>W4*12</f>
        <v>29.700000000000003</v>
      </c>
      <c r="AA4" s="99">
        <f>V4*60</f>
        <v>162.25000000000003</v>
      </c>
      <c r="AB4" s="97">
        <f t="shared" ref="AB4:AB24" si="3">$C$11</f>
        <v>15</v>
      </c>
      <c r="AC4" s="97">
        <f>T4*1.1*MAX($X$4:$X$24)/100</f>
        <v>0</v>
      </c>
    </row>
    <row r="5" spans="1:30" ht="15.75" x14ac:dyDescent="0.25">
      <c r="A5" s="802"/>
      <c r="B5" s="143" t="s">
        <v>49</v>
      </c>
      <c r="C5" s="147">
        <v>30</v>
      </c>
      <c r="D5" s="144" t="s">
        <v>71</v>
      </c>
      <c r="E5" s="144"/>
      <c r="F5" s="145"/>
      <c r="H5" s="397" t="s">
        <v>466</v>
      </c>
      <c r="I5" s="84"/>
      <c r="J5" s="84"/>
      <c r="K5" s="400">
        <f>(C7*360/60)*(1-(C11/C9))</f>
        <v>550.1112956810631</v>
      </c>
      <c r="L5" s="84"/>
      <c r="M5" s="85"/>
      <c r="T5" s="92">
        <v>5</v>
      </c>
      <c r="U5" s="93">
        <f t="shared" si="0"/>
        <v>1.7244791666666668</v>
      </c>
      <c r="V5" s="93">
        <f t="shared" si="1"/>
        <v>2.5689583333333332</v>
      </c>
      <c r="W5" s="97">
        <f t="shared" ref="W5:W24" si="4">(T5*($C$8-$F$8)/100)+$F$8</f>
        <v>8.4470833333333335</v>
      </c>
      <c r="X5" s="93">
        <f t="shared" si="2"/>
        <v>37.739010620511301</v>
      </c>
      <c r="Y5" s="94">
        <f t="shared" ref="Y5:Y24" si="5">100*X5/Z5</f>
        <v>37.230810063149313</v>
      </c>
      <c r="Z5" s="94">
        <f t="shared" ref="Z5:Z24" si="6">W5*12</f>
        <v>101.36500000000001</v>
      </c>
      <c r="AA5" s="95">
        <f t="shared" ref="AA5:AA24" si="7">V5*60</f>
        <v>154.13749999999999</v>
      </c>
      <c r="AB5" s="93">
        <f t="shared" si="3"/>
        <v>15</v>
      </c>
      <c r="AC5" s="93">
        <f t="shared" ref="AC5:AC24" si="8">T5*1.1*MAX($X$4:$X$24)/100</f>
        <v>10.924450442779587</v>
      </c>
    </row>
    <row r="6" spans="1:30" ht="15.75" x14ac:dyDescent="0.25">
      <c r="A6" s="802"/>
      <c r="B6" s="143" t="s">
        <v>48</v>
      </c>
      <c r="C6" s="148">
        <v>0.7</v>
      </c>
      <c r="D6" s="144"/>
      <c r="E6" s="144"/>
      <c r="F6" s="145"/>
      <c r="H6" s="398" t="s">
        <v>467</v>
      </c>
      <c r="I6" s="88"/>
      <c r="J6" s="88"/>
      <c r="K6" s="401">
        <f>90/K5</f>
        <v>0.16360325757095365</v>
      </c>
      <c r="L6" s="88" t="s">
        <v>469</v>
      </c>
      <c r="M6" s="91"/>
      <c r="T6" s="92">
        <v>10</v>
      </c>
      <c r="U6" s="93">
        <f t="shared" si="0"/>
        <v>3.4489583333333336</v>
      </c>
      <c r="V6" s="93">
        <f t="shared" si="1"/>
        <v>2.4337499999999999</v>
      </c>
      <c r="W6" s="97">
        <f t="shared" si="4"/>
        <v>14.419166666666667</v>
      </c>
      <c r="X6" s="93">
        <f t="shared" si="2"/>
        <v>71.505493807284566</v>
      </c>
      <c r="Y6" s="94">
        <f t="shared" si="5"/>
        <v>41.325489110145391</v>
      </c>
      <c r="Z6" s="94">
        <f t="shared" si="6"/>
        <v>173.03</v>
      </c>
      <c r="AA6" s="95">
        <f t="shared" si="7"/>
        <v>146.02499999999998</v>
      </c>
      <c r="AB6" s="93">
        <f t="shared" si="3"/>
        <v>15</v>
      </c>
      <c r="AC6" s="93">
        <f t="shared" si="8"/>
        <v>21.848900885559175</v>
      </c>
    </row>
    <row r="7" spans="1:30" x14ac:dyDescent="0.25">
      <c r="A7" s="802"/>
      <c r="B7" s="86" t="s">
        <v>183</v>
      </c>
      <c r="C7" s="90">
        <f>(C12/K37)*(C38/C5)</f>
        <v>162.25</v>
      </c>
      <c r="D7" s="88" t="s">
        <v>91</v>
      </c>
      <c r="E7" s="87">
        <f>C7*2*PI()/60</f>
        <v>16.990780268164798</v>
      </c>
      <c r="F7" s="89" t="s">
        <v>187</v>
      </c>
      <c r="T7" s="92">
        <v>15</v>
      </c>
      <c r="U7" s="93">
        <f t="shared" si="0"/>
        <v>5.1734375000000004</v>
      </c>
      <c r="V7" s="93">
        <f t="shared" si="1"/>
        <v>2.2985416666666665</v>
      </c>
      <c r="W7" s="97">
        <f t="shared" si="4"/>
        <v>20.391250000000003</v>
      </c>
      <c r="X7" s="93">
        <f t="shared" si="2"/>
        <v>101.29944956031979</v>
      </c>
      <c r="Y7" s="94">
        <f t="shared" si="5"/>
        <v>41.398250704068239</v>
      </c>
      <c r="Z7" s="94">
        <f t="shared" si="6"/>
        <v>244.69500000000005</v>
      </c>
      <c r="AA7" s="95">
        <f t="shared" si="7"/>
        <v>137.91249999999999</v>
      </c>
      <c r="AB7" s="93">
        <f t="shared" si="3"/>
        <v>15</v>
      </c>
      <c r="AC7" s="93">
        <f t="shared" si="8"/>
        <v>32.773351328338762</v>
      </c>
    </row>
    <row r="8" spans="1:30" ht="15.75" x14ac:dyDescent="0.25">
      <c r="A8" s="802"/>
      <c r="B8" s="73" t="s">
        <v>184</v>
      </c>
      <c r="C8" s="74">
        <f>I37*C4*C12/K37</f>
        <v>121.91666666666667</v>
      </c>
      <c r="D8" s="75" t="s">
        <v>182</v>
      </c>
      <c r="E8" s="75"/>
      <c r="F8" s="76">
        <f>C4*C12*C37/K37</f>
        <v>2.4750000000000001</v>
      </c>
      <c r="H8" s="379" t="s">
        <v>447</v>
      </c>
      <c r="I8" s="380"/>
      <c r="J8" s="380"/>
      <c r="K8" s="380"/>
      <c r="L8" s="380"/>
      <c r="M8" s="380"/>
      <c r="N8" s="380"/>
      <c r="T8" s="92">
        <v>20</v>
      </c>
      <c r="U8" s="93">
        <f t="shared" si="0"/>
        <v>6.8979166666666671</v>
      </c>
      <c r="V8" s="93">
        <f t="shared" si="1"/>
        <v>2.1633333333333336</v>
      </c>
      <c r="W8" s="97">
        <f t="shared" si="4"/>
        <v>26.363333333333337</v>
      </c>
      <c r="X8" s="93">
        <f t="shared" si="2"/>
        <v>127.12087787961704</v>
      </c>
      <c r="Y8" s="94">
        <f t="shared" si="5"/>
        <v>40.182348552161159</v>
      </c>
      <c r="Z8" s="94">
        <f t="shared" si="6"/>
        <v>316.36</v>
      </c>
      <c r="AA8" s="95">
        <f t="shared" si="7"/>
        <v>129.80000000000001</v>
      </c>
      <c r="AB8" s="93">
        <f t="shared" si="3"/>
        <v>15</v>
      </c>
      <c r="AC8" s="93">
        <f t="shared" si="8"/>
        <v>43.69780177111835</v>
      </c>
    </row>
    <row r="9" spans="1:30" x14ac:dyDescent="0.25">
      <c r="A9" s="802"/>
      <c r="B9" s="86" t="s">
        <v>185</v>
      </c>
      <c r="C9" s="391">
        <f>I38*C6*C5*C4*C12/K37</f>
        <v>34.489583333333336</v>
      </c>
      <c r="D9" s="88" t="s">
        <v>92</v>
      </c>
      <c r="E9" s="87">
        <f>C9*1.3558</f>
        <v>46.76097708333333</v>
      </c>
      <c r="F9" s="91" t="s">
        <v>186</v>
      </c>
      <c r="H9" s="394" t="s">
        <v>448</v>
      </c>
      <c r="I9" s="394" t="s">
        <v>165</v>
      </c>
      <c r="J9" s="809" t="s">
        <v>449</v>
      </c>
      <c r="K9" s="810"/>
      <c r="L9" s="809" t="s">
        <v>450</v>
      </c>
      <c r="M9" s="810"/>
      <c r="N9" s="393"/>
      <c r="T9" s="92">
        <v>25</v>
      </c>
      <c r="U9" s="93">
        <f t="shared" si="0"/>
        <v>8.6223958333333339</v>
      </c>
      <c r="V9" s="93">
        <f t="shared" si="1"/>
        <v>2.0281250000000002</v>
      </c>
      <c r="W9" s="97">
        <f t="shared" si="4"/>
        <v>32.335416666666667</v>
      </c>
      <c r="X9" s="93">
        <f t="shared" si="2"/>
        <v>148.96977876517619</v>
      </c>
      <c r="Y9" s="94">
        <f t="shared" si="5"/>
        <v>38.391799179222005</v>
      </c>
      <c r="Z9" s="94">
        <f t="shared" si="6"/>
        <v>388.02499999999998</v>
      </c>
      <c r="AA9" s="95">
        <f t="shared" si="7"/>
        <v>121.68750000000001</v>
      </c>
      <c r="AB9" s="93">
        <f t="shared" si="3"/>
        <v>15</v>
      </c>
      <c r="AC9" s="93">
        <f t="shared" si="8"/>
        <v>54.622252213897944</v>
      </c>
    </row>
    <row r="10" spans="1:30" x14ac:dyDescent="0.25">
      <c r="A10" s="802"/>
      <c r="B10" s="81" t="s">
        <v>291</v>
      </c>
      <c r="C10" s="77"/>
      <c r="D10" s="78"/>
      <c r="E10" s="79"/>
      <c r="F10" s="80"/>
      <c r="H10" s="395">
        <v>25</v>
      </c>
      <c r="I10" s="457">
        <v>42</v>
      </c>
      <c r="J10" s="811">
        <f>VLOOKUP(I10,'Sprocket Sizes'!A8:D60,3,FALSE)</f>
        <v>3.3460000000000001</v>
      </c>
      <c r="K10" s="812"/>
      <c r="L10" s="807">
        <f>12*2*C11/J10</f>
        <v>107.59115361625821</v>
      </c>
      <c r="M10" s="808"/>
      <c r="N10" s="392"/>
      <c r="T10" s="92">
        <v>30</v>
      </c>
      <c r="U10" s="93">
        <f t="shared" si="0"/>
        <v>10.346875000000001</v>
      </c>
      <c r="V10" s="93">
        <f t="shared" si="1"/>
        <v>1.8929166666666666</v>
      </c>
      <c r="W10" s="97">
        <f t="shared" si="4"/>
        <v>38.307500000000005</v>
      </c>
      <c r="X10" s="93">
        <f t="shared" si="2"/>
        <v>166.8461522169973</v>
      </c>
      <c r="Y10" s="94">
        <f t="shared" si="5"/>
        <v>36.295362574125448</v>
      </c>
      <c r="Z10" s="94">
        <f t="shared" si="6"/>
        <v>459.69000000000005</v>
      </c>
      <c r="AA10" s="95">
        <f t="shared" si="7"/>
        <v>113.57499999999999</v>
      </c>
      <c r="AB10" s="93">
        <f t="shared" si="3"/>
        <v>15</v>
      </c>
      <c r="AC10" s="93">
        <f t="shared" si="8"/>
        <v>65.546702656677525</v>
      </c>
    </row>
    <row r="11" spans="1:30" ht="15.75" x14ac:dyDescent="0.25">
      <c r="A11" s="802"/>
      <c r="B11" s="143" t="s">
        <v>292</v>
      </c>
      <c r="C11" s="147">
        <v>15</v>
      </c>
      <c r="D11" s="144" t="s">
        <v>92</v>
      </c>
      <c r="E11" s="144"/>
      <c r="F11" s="145"/>
      <c r="H11" s="395">
        <v>35</v>
      </c>
      <c r="I11" s="457">
        <v>48</v>
      </c>
      <c r="J11" s="811">
        <f>VLOOKUP(I11,'Sprocket Sizes'!F8:I65,3,FALSE)</f>
        <v>5.734</v>
      </c>
      <c r="K11" s="812"/>
      <c r="L11" s="807">
        <f>12*2*C11/J11</f>
        <v>62.783397279386115</v>
      </c>
      <c r="M11" s="808"/>
      <c r="N11" s="392"/>
      <c r="T11" s="92">
        <v>35</v>
      </c>
      <c r="U11" s="93">
        <f t="shared" si="0"/>
        <v>12.071354166666667</v>
      </c>
      <c r="V11" s="93">
        <f t="shared" si="1"/>
        <v>1.7577083333333334</v>
      </c>
      <c r="W11" s="97">
        <f t="shared" si="4"/>
        <v>44.279583333333342</v>
      </c>
      <c r="X11" s="93">
        <f t="shared" si="2"/>
        <v>180.74999823508043</v>
      </c>
      <c r="Y11" s="94">
        <f t="shared" si="5"/>
        <v>34.016805757935913</v>
      </c>
      <c r="Z11" s="94">
        <f t="shared" si="6"/>
        <v>531.35500000000013</v>
      </c>
      <c r="AA11" s="95">
        <f t="shared" si="7"/>
        <v>105.46250000000001</v>
      </c>
      <c r="AB11" s="93">
        <f t="shared" si="3"/>
        <v>15</v>
      </c>
      <c r="AC11" s="93">
        <f t="shared" si="8"/>
        <v>76.471153099457112</v>
      </c>
    </row>
    <row r="12" spans="1:30" ht="15.75" x14ac:dyDescent="0.25">
      <c r="B12" s="382" t="s">
        <v>331</v>
      </c>
      <c r="C12" s="383">
        <v>11</v>
      </c>
      <c r="D12" s="384" t="s">
        <v>330</v>
      </c>
      <c r="E12" s="384"/>
      <c r="F12" s="385"/>
      <c r="T12" s="92">
        <v>40</v>
      </c>
      <c r="U12" s="93">
        <f t="shared" si="0"/>
        <v>13.795833333333334</v>
      </c>
      <c r="V12" s="93">
        <f t="shared" si="1"/>
        <v>1.6225000000000001</v>
      </c>
      <c r="W12" s="97">
        <f t="shared" si="4"/>
        <v>50.251666666666672</v>
      </c>
      <c r="X12" s="93">
        <f t="shared" si="2"/>
        <v>190.68131681942555</v>
      </c>
      <c r="Y12" s="94">
        <f t="shared" si="5"/>
        <v>31.621060133896972</v>
      </c>
      <c r="Z12" s="94">
        <f t="shared" si="6"/>
        <v>603.0200000000001</v>
      </c>
      <c r="AA12" s="95">
        <f t="shared" si="7"/>
        <v>97.350000000000009</v>
      </c>
      <c r="AB12" s="93">
        <f t="shared" si="3"/>
        <v>15</v>
      </c>
      <c r="AC12" s="93">
        <f t="shared" si="8"/>
        <v>87.395603542236699</v>
      </c>
    </row>
    <row r="13" spans="1:30" x14ac:dyDescent="0.25">
      <c r="T13" s="92">
        <v>45</v>
      </c>
      <c r="U13" s="93">
        <f t="shared" si="0"/>
        <v>15.520312499999999</v>
      </c>
      <c r="V13" s="93">
        <f t="shared" si="1"/>
        <v>1.4872916666666667</v>
      </c>
      <c r="W13" s="97">
        <f t="shared" si="4"/>
        <v>56.22375000000001</v>
      </c>
      <c r="X13" s="93">
        <f t="shared" si="2"/>
        <v>196.64010797003255</v>
      </c>
      <c r="Y13" s="94">
        <f t="shared" si="5"/>
        <v>29.145469066309833</v>
      </c>
      <c r="Z13" s="94">
        <f t="shared" si="6"/>
        <v>674.68500000000017</v>
      </c>
      <c r="AA13" s="95">
        <f t="shared" si="7"/>
        <v>89.237499999999997</v>
      </c>
      <c r="AB13" s="93">
        <f t="shared" si="3"/>
        <v>15</v>
      </c>
      <c r="AC13" s="93">
        <f t="shared" si="8"/>
        <v>98.320053985016315</v>
      </c>
    </row>
    <row r="14" spans="1:30" x14ac:dyDescent="0.25">
      <c r="T14" s="92">
        <v>50</v>
      </c>
      <c r="U14" s="93">
        <f t="shared" si="0"/>
        <v>17.244791666666668</v>
      </c>
      <c r="V14" s="93">
        <f t="shared" si="1"/>
        <v>1.3520833333333335</v>
      </c>
      <c r="W14" s="97">
        <f t="shared" si="4"/>
        <v>62.19583333333334</v>
      </c>
      <c r="X14" s="93">
        <f t="shared" si="2"/>
        <v>198.62637168690159</v>
      </c>
      <c r="Y14" s="94">
        <f t="shared" si="5"/>
        <v>26.613032985449394</v>
      </c>
      <c r="Z14" s="94">
        <f t="shared" si="6"/>
        <v>746.35000000000014</v>
      </c>
      <c r="AA14" s="95">
        <f t="shared" si="7"/>
        <v>81.125000000000014</v>
      </c>
      <c r="AB14" s="93">
        <f t="shared" si="3"/>
        <v>15</v>
      </c>
      <c r="AC14" s="93">
        <f t="shared" si="8"/>
        <v>109.24450442779589</v>
      </c>
    </row>
    <row r="15" spans="1:30" x14ac:dyDescent="0.25">
      <c r="T15" s="92">
        <v>55</v>
      </c>
      <c r="U15" s="93">
        <f t="shared" si="0"/>
        <v>18.969270833333336</v>
      </c>
      <c r="V15" s="93">
        <f t="shared" si="1"/>
        <v>1.2168749999999999</v>
      </c>
      <c r="W15" s="97">
        <f t="shared" si="4"/>
        <v>68.16791666666667</v>
      </c>
      <c r="X15" s="93">
        <f t="shared" si="2"/>
        <v>196.64010797003257</v>
      </c>
      <c r="Y15" s="94">
        <f t="shared" si="5"/>
        <v>24.038692196357349</v>
      </c>
      <c r="Z15" s="94">
        <f t="shared" si="6"/>
        <v>818.0150000000001</v>
      </c>
      <c r="AA15" s="95">
        <f t="shared" si="7"/>
        <v>73.012499999999989</v>
      </c>
      <c r="AB15" s="93">
        <f t="shared" si="3"/>
        <v>15</v>
      </c>
      <c r="AC15" s="93">
        <f t="shared" si="8"/>
        <v>120.16895487057548</v>
      </c>
    </row>
    <row r="16" spans="1:30" x14ac:dyDescent="0.25">
      <c r="T16" s="92">
        <v>60</v>
      </c>
      <c r="U16" s="93">
        <f t="shared" si="0"/>
        <v>20.693750000000001</v>
      </c>
      <c r="V16" s="93">
        <f t="shared" si="1"/>
        <v>1.0816666666666668</v>
      </c>
      <c r="W16" s="97">
        <f t="shared" si="4"/>
        <v>74.14</v>
      </c>
      <c r="X16" s="93">
        <f t="shared" si="2"/>
        <v>190.68131681942552</v>
      </c>
      <c r="Y16" s="94">
        <f t="shared" si="5"/>
        <v>21.432573152080018</v>
      </c>
      <c r="Z16" s="94">
        <f t="shared" si="6"/>
        <v>889.68000000000006</v>
      </c>
      <c r="AA16" s="95">
        <f t="shared" si="7"/>
        <v>64.900000000000006</v>
      </c>
      <c r="AB16" s="93">
        <f t="shared" si="3"/>
        <v>15</v>
      </c>
      <c r="AC16" s="93">
        <f t="shared" si="8"/>
        <v>131.09340531335505</v>
      </c>
    </row>
    <row r="17" spans="6:29" x14ac:dyDescent="0.25">
      <c r="T17" s="92">
        <v>65</v>
      </c>
      <c r="U17" s="93">
        <f t="shared" si="0"/>
        <v>22.41822916666667</v>
      </c>
      <c r="V17" s="93">
        <f t="shared" si="1"/>
        <v>0.94645833333333329</v>
      </c>
      <c r="W17" s="97">
        <f t="shared" si="4"/>
        <v>80.112083333333331</v>
      </c>
      <c r="X17" s="93">
        <f t="shared" si="2"/>
        <v>180.74999823508043</v>
      </c>
      <c r="Y17" s="94">
        <f t="shared" si="5"/>
        <v>18.801782735134672</v>
      </c>
      <c r="Z17" s="94">
        <f t="shared" si="6"/>
        <v>961.34500000000003</v>
      </c>
      <c r="AA17" s="95">
        <f t="shared" si="7"/>
        <v>56.787499999999994</v>
      </c>
      <c r="AB17" s="93">
        <f t="shared" si="3"/>
        <v>15</v>
      </c>
      <c r="AC17" s="93">
        <f t="shared" si="8"/>
        <v>142.01785575613462</v>
      </c>
    </row>
    <row r="18" spans="6:29" x14ac:dyDescent="0.25">
      <c r="T18" s="92">
        <v>70</v>
      </c>
      <c r="U18" s="93">
        <f t="shared" si="0"/>
        <v>24.142708333333335</v>
      </c>
      <c r="V18" s="93">
        <f t="shared" si="1"/>
        <v>0.81125000000000003</v>
      </c>
      <c r="W18" s="97">
        <f t="shared" si="4"/>
        <v>86.084166666666675</v>
      </c>
      <c r="X18" s="93">
        <f t="shared" si="2"/>
        <v>166.84615221699733</v>
      </c>
      <c r="Y18" s="94">
        <f t="shared" si="5"/>
        <v>16.151455670031975</v>
      </c>
      <c r="Z18" s="94">
        <f t="shared" si="6"/>
        <v>1033.0100000000002</v>
      </c>
      <c r="AA18" s="95">
        <f t="shared" si="7"/>
        <v>48.675000000000004</v>
      </c>
      <c r="AB18" s="93">
        <f t="shared" si="3"/>
        <v>15</v>
      </c>
      <c r="AC18" s="93">
        <f t="shared" si="8"/>
        <v>152.94230619891422</v>
      </c>
    </row>
    <row r="19" spans="6:29" x14ac:dyDescent="0.25">
      <c r="F19" s="365"/>
      <c r="T19" s="92">
        <v>75</v>
      </c>
      <c r="U19" s="93">
        <f t="shared" si="0"/>
        <v>25.8671875</v>
      </c>
      <c r="V19" s="93">
        <f t="shared" si="1"/>
        <v>0.67604166666666676</v>
      </c>
      <c r="W19" s="97">
        <f t="shared" si="4"/>
        <v>92.056249999999991</v>
      </c>
      <c r="X19" s="93">
        <f t="shared" si="2"/>
        <v>148.96977876517619</v>
      </c>
      <c r="Y19" s="94">
        <f t="shared" si="5"/>
        <v>13.485394234971931</v>
      </c>
      <c r="Z19" s="94">
        <f t="shared" si="6"/>
        <v>1104.675</v>
      </c>
      <c r="AA19" s="95">
        <f t="shared" si="7"/>
        <v>40.562500000000007</v>
      </c>
      <c r="AB19" s="93">
        <f t="shared" si="3"/>
        <v>15</v>
      </c>
      <c r="AC19" s="93">
        <f t="shared" si="8"/>
        <v>163.86675664169383</v>
      </c>
    </row>
    <row r="20" spans="6:29" x14ac:dyDescent="0.25">
      <c r="T20" s="92">
        <v>80</v>
      </c>
      <c r="U20" s="93">
        <f t="shared" si="0"/>
        <v>27.591666666666669</v>
      </c>
      <c r="V20" s="93">
        <f t="shared" si="1"/>
        <v>0.54083333333333339</v>
      </c>
      <c r="W20" s="97">
        <f t="shared" si="4"/>
        <v>98.028333333333336</v>
      </c>
      <c r="X20" s="93">
        <f t="shared" si="2"/>
        <v>127.12087787961704</v>
      </c>
      <c r="Y20" s="94">
        <f t="shared" si="5"/>
        <v>10.806474138396808</v>
      </c>
      <c r="Z20" s="94">
        <f t="shared" si="6"/>
        <v>1176.3400000000001</v>
      </c>
      <c r="AA20" s="95">
        <f t="shared" si="7"/>
        <v>32.450000000000003</v>
      </c>
      <c r="AB20" s="93">
        <f t="shared" si="3"/>
        <v>15</v>
      </c>
      <c r="AC20" s="93">
        <f t="shared" si="8"/>
        <v>174.7912070844734</v>
      </c>
    </row>
    <row r="21" spans="6:29" x14ac:dyDescent="0.25">
      <c r="T21" s="92">
        <v>85</v>
      </c>
      <c r="U21" s="93">
        <f t="shared" si="0"/>
        <v>29.316145833333334</v>
      </c>
      <c r="V21" s="93">
        <f t="shared" si="1"/>
        <v>0.40562500000000001</v>
      </c>
      <c r="W21" s="97">
        <f t="shared" si="4"/>
        <v>104.00041666666667</v>
      </c>
      <c r="X21" s="93">
        <f t="shared" si="2"/>
        <v>101.2994495603198</v>
      </c>
      <c r="Y21" s="94">
        <f t="shared" si="5"/>
        <v>8.1169105540698787</v>
      </c>
      <c r="Z21" s="94">
        <f t="shared" si="6"/>
        <v>1248.0050000000001</v>
      </c>
      <c r="AA21" s="95">
        <f t="shared" si="7"/>
        <v>24.337500000000002</v>
      </c>
      <c r="AB21" s="93">
        <f t="shared" si="3"/>
        <v>15</v>
      </c>
      <c r="AC21" s="93">
        <f t="shared" si="8"/>
        <v>185.71565752725303</v>
      </c>
    </row>
    <row r="22" spans="6:29" x14ac:dyDescent="0.25">
      <c r="T22" s="92">
        <v>90</v>
      </c>
      <c r="U22" s="93">
        <f t="shared" si="0"/>
        <v>31.040624999999999</v>
      </c>
      <c r="V22" s="93">
        <f t="shared" si="1"/>
        <v>0.27041666666666669</v>
      </c>
      <c r="W22" s="97">
        <f t="shared" si="4"/>
        <v>109.97250000000001</v>
      </c>
      <c r="X22" s="93">
        <f t="shared" si="2"/>
        <v>71.505493807284566</v>
      </c>
      <c r="Y22" s="94">
        <f t="shared" si="5"/>
        <v>5.4184374735566134</v>
      </c>
      <c r="Z22" s="94">
        <f t="shared" si="6"/>
        <v>1319.67</v>
      </c>
      <c r="AA22" s="95">
        <f t="shared" si="7"/>
        <v>16.225000000000001</v>
      </c>
      <c r="AB22" s="93">
        <f t="shared" si="3"/>
        <v>15</v>
      </c>
      <c r="AC22" s="93">
        <f t="shared" si="8"/>
        <v>196.64010797003263</v>
      </c>
    </row>
    <row r="23" spans="6:29" x14ac:dyDescent="0.25">
      <c r="T23" s="92">
        <v>95</v>
      </c>
      <c r="U23" s="93">
        <f t="shared" si="0"/>
        <v>32.765104166666667</v>
      </c>
      <c r="V23" s="93">
        <f t="shared" si="1"/>
        <v>0.13520833333333335</v>
      </c>
      <c r="W23" s="97">
        <f t="shared" si="4"/>
        <v>115.94458333333333</v>
      </c>
      <c r="X23" s="93">
        <f t="shared" si="2"/>
        <v>37.739010620511301</v>
      </c>
      <c r="Y23" s="94">
        <f t="shared" si="5"/>
        <v>2.7124316300898994</v>
      </c>
      <c r="Z23" s="94">
        <f t="shared" si="6"/>
        <v>1391.335</v>
      </c>
      <c r="AA23" s="95">
        <f t="shared" si="7"/>
        <v>8.1125000000000007</v>
      </c>
      <c r="AB23" s="93">
        <f t="shared" si="3"/>
        <v>15</v>
      </c>
      <c r="AC23" s="93">
        <f t="shared" si="8"/>
        <v>207.56455841281218</v>
      </c>
    </row>
    <row r="24" spans="6:29" x14ac:dyDescent="0.25">
      <c r="T24" s="92">
        <v>100</v>
      </c>
      <c r="U24" s="93">
        <f t="shared" si="0"/>
        <v>34.489583333333336</v>
      </c>
      <c r="V24" s="93">
        <f t="shared" si="1"/>
        <v>0</v>
      </c>
      <c r="W24" s="97">
        <f t="shared" si="4"/>
        <v>121.91666666666667</v>
      </c>
      <c r="X24" s="93">
        <f t="shared" si="2"/>
        <v>0</v>
      </c>
      <c r="Y24" s="94">
        <f t="shared" si="5"/>
        <v>0</v>
      </c>
      <c r="Z24" s="94">
        <f t="shared" si="6"/>
        <v>1463</v>
      </c>
      <c r="AA24" s="95">
        <f t="shared" si="7"/>
        <v>0</v>
      </c>
      <c r="AB24" s="93">
        <f t="shared" si="3"/>
        <v>15</v>
      </c>
      <c r="AC24" s="93">
        <f t="shared" si="8"/>
        <v>218.48900885559178</v>
      </c>
    </row>
    <row r="35" spans="2:12" x14ac:dyDescent="0.25">
      <c r="B35" t="s">
        <v>463</v>
      </c>
    </row>
    <row r="36" spans="2:12" x14ac:dyDescent="0.25">
      <c r="B36" s="81" t="s">
        <v>180</v>
      </c>
      <c r="C36" s="77">
        <f>VLOOKUP($A$2,'FRC Motors'!$A$4:$Q$22,4,FALSE)</f>
        <v>340.11</v>
      </c>
      <c r="D36" s="78" t="s">
        <v>181</v>
      </c>
      <c r="E36" s="79">
        <f>C36*0.00134</f>
        <v>0.45574740000000002</v>
      </c>
      <c r="F36" s="80" t="s">
        <v>189</v>
      </c>
      <c r="H36" s="4"/>
      <c r="I36" s="4"/>
      <c r="J36" s="4"/>
      <c r="K36" s="4"/>
      <c r="L36" s="4"/>
    </row>
    <row r="37" spans="2:12" x14ac:dyDescent="0.25">
      <c r="B37" s="82" t="s">
        <v>182</v>
      </c>
      <c r="C37" s="83">
        <f>VLOOKUP($A$2,'FRC Motors'!$A$4:$Q$22,9,FALSE)</f>
        <v>2.7</v>
      </c>
      <c r="D37" s="84"/>
      <c r="E37" s="84"/>
      <c r="F37" s="85"/>
      <c r="H37" s="73" t="s">
        <v>184</v>
      </c>
      <c r="I37" s="74">
        <f>VLOOKUP($A$2,'FRC Motors'!$A$4:$Q$22,10,FALSE)</f>
        <v>133</v>
      </c>
      <c r="J37" s="75" t="s">
        <v>332</v>
      </c>
      <c r="K37" s="74">
        <f>VLOOKUP($A$2,'FRC Motors'!$A$4:$Q$22,11,FALSE)</f>
        <v>12</v>
      </c>
      <c r="L37" s="76" t="s">
        <v>330</v>
      </c>
    </row>
    <row r="38" spans="2:12" x14ac:dyDescent="0.25">
      <c r="B38" s="86" t="s">
        <v>183</v>
      </c>
      <c r="C38" s="87">
        <f>VLOOKUP($A$2,'FRC Motors'!$A$4:$Q$22,8,FALSE)</f>
        <v>5310</v>
      </c>
      <c r="D38" s="88" t="s">
        <v>91</v>
      </c>
      <c r="E38" s="87">
        <f>C38*2*PI()/60</f>
        <v>556.06189968539343</v>
      </c>
      <c r="F38" s="89" t="s">
        <v>187</v>
      </c>
      <c r="G38" s="8"/>
      <c r="H38" s="86" t="s">
        <v>185</v>
      </c>
      <c r="I38" s="149">
        <f>VLOOKUP($A$2,'FRC Motors'!$A$4:$Q$22,6,FALSE)</f>
        <v>1.7916666666666667</v>
      </c>
      <c r="J38" s="150" t="s">
        <v>92</v>
      </c>
      <c r="K38" s="149">
        <f>VLOOKUP($A$2,'FRC Motors'!$A$4:$Q$22,7,FALSE)</f>
        <v>2.4291416666666668</v>
      </c>
      <c r="L38" s="91" t="s">
        <v>186</v>
      </c>
    </row>
  </sheetData>
  <mergeCells count="9">
    <mergeCell ref="A3:A11"/>
    <mergeCell ref="B2:F2"/>
    <mergeCell ref="L10:M10"/>
    <mergeCell ref="L11:M11"/>
    <mergeCell ref="L9:M9"/>
    <mergeCell ref="J10:K10"/>
    <mergeCell ref="J11:K11"/>
    <mergeCell ref="J9:K9"/>
    <mergeCell ref="H2:M2"/>
  </mergeCells>
  <dataValidations count="3">
    <dataValidation type="list" allowBlank="1" showInputMessage="1" showErrorMessage="1" sqref="A2">
      <formula1>motor_list</formula1>
    </dataValidation>
    <dataValidation type="list" allowBlank="1" showInputMessage="1" showErrorMessage="1" sqref="I10">
      <formula1>teeth25</formula1>
    </dataValidation>
    <dataValidation type="list" allowBlank="1" showInputMessage="1" showErrorMessage="1" sqref="I11">
      <formula1>teeth35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1" r:id="rId3" name="Button 1">
              <controlPr defaultSize="0" print="0" autoFill="0" autoPict="0" macro="[0]!TOC">
                <anchor moveWithCells="1" sizeWithCells="1">
                  <from>
                    <xdr:col>3</xdr:col>
                    <xdr:colOff>333375</xdr:colOff>
                    <xdr:row>0</xdr:row>
                    <xdr:rowOff>19050</xdr:rowOff>
                  </from>
                  <to>
                    <xdr:col>5</xdr:col>
                    <xdr:colOff>0</xdr:colOff>
                    <xdr:row>0</xdr:row>
                    <xdr:rowOff>209550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E11" sqref="E11"/>
    </sheetView>
  </sheetViews>
  <sheetFormatPr defaultRowHeight="15" x14ac:dyDescent="0.25"/>
  <cols>
    <col min="1" max="1" width="20.5703125" customWidth="1"/>
    <col min="4" max="4" width="10.5703125" customWidth="1"/>
  </cols>
  <sheetData>
    <row r="1" spans="1:8" x14ac:dyDescent="0.25">
      <c r="A1" t="s">
        <v>7</v>
      </c>
      <c r="B1" t="s">
        <v>12</v>
      </c>
      <c r="D1" t="s">
        <v>18</v>
      </c>
      <c r="F1" t="s">
        <v>27</v>
      </c>
      <c r="H1" t="s">
        <v>36</v>
      </c>
    </row>
    <row r="2" spans="1:8" x14ac:dyDescent="0.25">
      <c r="A2" t="s">
        <v>8</v>
      </c>
      <c r="B2" t="s">
        <v>13</v>
      </c>
      <c r="D2" t="s">
        <v>20</v>
      </c>
      <c r="F2" t="s">
        <v>28</v>
      </c>
      <c r="H2" t="s">
        <v>37</v>
      </c>
    </row>
    <row r="3" spans="1:8" x14ac:dyDescent="0.25">
      <c r="A3" t="s">
        <v>10</v>
      </c>
      <c r="B3" t="s">
        <v>14</v>
      </c>
      <c r="D3" t="s">
        <v>21</v>
      </c>
      <c r="F3" t="s">
        <v>30</v>
      </c>
      <c r="H3" t="s">
        <v>38</v>
      </c>
    </row>
    <row r="4" spans="1:8" x14ac:dyDescent="0.25">
      <c r="A4" t="s">
        <v>9</v>
      </c>
      <c r="B4" t="s">
        <v>15</v>
      </c>
      <c r="D4" t="s">
        <v>22</v>
      </c>
      <c r="F4" t="s">
        <v>29</v>
      </c>
      <c r="H4" t="s">
        <v>39</v>
      </c>
    </row>
    <row r="5" spans="1:8" x14ac:dyDescent="0.25">
      <c r="A5" t="s">
        <v>11</v>
      </c>
      <c r="B5" t="s">
        <v>17</v>
      </c>
      <c r="D5" t="s">
        <v>23</v>
      </c>
      <c r="F5" t="s">
        <v>31</v>
      </c>
    </row>
    <row r="6" spans="1:8" x14ac:dyDescent="0.25">
      <c r="B6" t="s">
        <v>16</v>
      </c>
      <c r="D6" t="s">
        <v>24</v>
      </c>
      <c r="F6" t="s">
        <v>32</v>
      </c>
    </row>
    <row r="7" spans="1:8" x14ac:dyDescent="0.25">
      <c r="D7" t="s">
        <v>25</v>
      </c>
    </row>
    <row r="8" spans="1:8" x14ac:dyDescent="0.25">
      <c r="D8" t="s">
        <v>19</v>
      </c>
    </row>
  </sheetData>
  <sortState ref="E2:E13">
    <sortCondition ref="E2"/>
  </sortState>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12"/>
  <sheetViews>
    <sheetView workbookViewId="0">
      <selection activeCell="E20" sqref="E20"/>
    </sheetView>
  </sheetViews>
  <sheetFormatPr defaultRowHeight="15" x14ac:dyDescent="0.25"/>
  <sheetData>
    <row r="3" spans="1:4" x14ac:dyDescent="0.25">
      <c r="A3" t="s">
        <v>84</v>
      </c>
      <c r="B3" t="s">
        <v>12</v>
      </c>
      <c r="C3" t="s">
        <v>85</v>
      </c>
    </row>
    <row r="4" spans="1:4" x14ac:dyDescent="0.25">
      <c r="A4" s="33">
        <f>B4/$B$12</f>
        <v>0</v>
      </c>
      <c r="B4">
        <v>0</v>
      </c>
      <c r="C4" s="33">
        <v>0</v>
      </c>
      <c r="D4" s="6">
        <f>C4/$C$12</f>
        <v>0</v>
      </c>
    </row>
    <row r="5" spans="1:4" x14ac:dyDescent="0.25">
      <c r="A5" s="33">
        <f t="shared" ref="A5:A12" si="0">B5/$B$12</f>
        <v>0.13333333333333333</v>
      </c>
      <c r="B5">
        <v>10</v>
      </c>
      <c r="C5" s="33">
        <v>0.62</v>
      </c>
      <c r="D5" s="6">
        <f t="shared" ref="D5:D12" si="1">C5/$C$12</f>
        <v>0.82666666666666666</v>
      </c>
    </row>
    <row r="6" spans="1:4" x14ac:dyDescent="0.25">
      <c r="A6" s="33">
        <f t="shared" si="0"/>
        <v>0.26666666666666666</v>
      </c>
      <c r="B6">
        <v>20</v>
      </c>
      <c r="C6" s="33">
        <v>0.7</v>
      </c>
      <c r="D6" s="6">
        <f t="shared" si="1"/>
        <v>0.93333333333333324</v>
      </c>
    </row>
    <row r="7" spans="1:4" x14ac:dyDescent="0.25">
      <c r="A7" s="33">
        <f t="shared" si="0"/>
        <v>0.4</v>
      </c>
      <c r="B7">
        <v>30</v>
      </c>
      <c r="C7" s="33">
        <v>0.72</v>
      </c>
      <c r="D7" s="6">
        <f t="shared" si="1"/>
        <v>0.96</v>
      </c>
    </row>
    <row r="8" spans="1:4" x14ac:dyDescent="0.25">
      <c r="A8" s="33">
        <f t="shared" si="0"/>
        <v>0.53333333333333333</v>
      </c>
      <c r="B8">
        <v>40</v>
      </c>
      <c r="C8" s="33">
        <v>0.73</v>
      </c>
      <c r="D8" s="6">
        <f t="shared" si="1"/>
        <v>0.97333333333333327</v>
      </c>
    </row>
    <row r="9" spans="1:4" x14ac:dyDescent="0.25">
      <c r="A9" s="33">
        <f t="shared" si="0"/>
        <v>0.66666666666666663</v>
      </c>
      <c r="B9">
        <v>50</v>
      </c>
      <c r="C9" s="33">
        <v>0.74</v>
      </c>
      <c r="D9" s="6">
        <f t="shared" si="1"/>
        <v>0.98666666666666669</v>
      </c>
    </row>
    <row r="10" spans="1:4" x14ac:dyDescent="0.25">
      <c r="A10" s="33">
        <f t="shared" si="0"/>
        <v>0.8</v>
      </c>
      <c r="B10">
        <v>60</v>
      </c>
      <c r="C10" s="33">
        <v>0.74</v>
      </c>
      <c r="D10" s="6">
        <f t="shared" si="1"/>
        <v>0.98666666666666669</v>
      </c>
    </row>
    <row r="11" spans="1:4" x14ac:dyDescent="0.25">
      <c r="A11" s="33">
        <f t="shared" si="0"/>
        <v>0.93333333333333335</v>
      </c>
      <c r="B11">
        <v>70</v>
      </c>
      <c r="C11" s="33">
        <v>0.75</v>
      </c>
      <c r="D11" s="6">
        <f t="shared" si="1"/>
        <v>1</v>
      </c>
    </row>
    <row r="12" spans="1:4" x14ac:dyDescent="0.25">
      <c r="A12" s="33">
        <f t="shared" si="0"/>
        <v>1</v>
      </c>
      <c r="B12">
        <v>75</v>
      </c>
      <c r="C12" s="33">
        <v>0.75</v>
      </c>
      <c r="D12" s="6">
        <f t="shared" si="1"/>
        <v>1</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Q56"/>
  <sheetViews>
    <sheetView showGridLines="0" workbookViewId="0">
      <pane ySplit="1" topLeftCell="A2" activePane="bottomLeft" state="frozen"/>
      <selection activeCell="G28" sqref="G28"/>
      <selection pane="bottomLeft" activeCell="A2" sqref="A2"/>
    </sheetView>
  </sheetViews>
  <sheetFormatPr defaultRowHeight="15" x14ac:dyDescent="0.25"/>
  <cols>
    <col min="1" max="1" width="29.140625" customWidth="1"/>
    <col min="3" max="3" width="17.85546875" customWidth="1"/>
    <col min="4" max="4" width="14" bestFit="1" customWidth="1"/>
    <col min="11" max="11" width="9.140625" customWidth="1"/>
    <col min="16" max="16" width="8.7109375" customWidth="1"/>
  </cols>
  <sheetData>
    <row r="1" spans="1:15" ht="18" x14ac:dyDescent="0.25">
      <c r="A1" s="2" t="s">
        <v>274</v>
      </c>
    </row>
    <row r="2" spans="1:15" ht="18" x14ac:dyDescent="0.25">
      <c r="A2" s="2"/>
    </row>
    <row r="3" spans="1:15" x14ac:dyDescent="0.25">
      <c r="A3" s="249" t="s">
        <v>275</v>
      </c>
      <c r="B3" s="250">
        <v>12</v>
      </c>
      <c r="C3" t="s">
        <v>1</v>
      </c>
    </row>
    <row r="4" spans="1:15" ht="18.75" x14ac:dyDescent="0.3">
      <c r="A4" s="3" t="s">
        <v>400</v>
      </c>
      <c r="B4" s="250">
        <v>20</v>
      </c>
      <c r="C4" t="s">
        <v>37</v>
      </c>
      <c r="D4" s="7">
        <f>B4/12</f>
        <v>1.6666666666666667</v>
      </c>
      <c r="E4" t="s">
        <v>39</v>
      </c>
    </row>
    <row r="5" spans="1:15" ht="18.75" x14ac:dyDescent="0.3">
      <c r="A5" s="3" t="s">
        <v>401</v>
      </c>
      <c r="B5" s="250">
        <v>4</v>
      </c>
      <c r="C5" t="s">
        <v>37</v>
      </c>
      <c r="D5" s="7">
        <f>B5/12</f>
        <v>0.33333333333333331</v>
      </c>
      <c r="E5" t="s">
        <v>39</v>
      </c>
    </row>
    <row r="6" spans="1:15" ht="18.75" x14ac:dyDescent="0.3">
      <c r="A6" s="3" t="s">
        <v>402</v>
      </c>
      <c r="B6" s="250">
        <v>10</v>
      </c>
      <c r="C6" t="s">
        <v>37</v>
      </c>
      <c r="D6" s="7">
        <f>B6/12</f>
        <v>0.83333333333333337</v>
      </c>
      <c r="E6" t="s">
        <v>39</v>
      </c>
    </row>
    <row r="7" spans="1:15" x14ac:dyDescent="0.25">
      <c r="A7" s="249" t="s">
        <v>399</v>
      </c>
      <c r="B7" s="250">
        <v>75</v>
      </c>
      <c r="C7" t="s">
        <v>1</v>
      </c>
      <c r="D7" s="7"/>
    </row>
    <row r="8" spans="1:15" x14ac:dyDescent="0.25">
      <c r="A8" s="249" t="s">
        <v>276</v>
      </c>
      <c r="B8" s="250">
        <v>5</v>
      </c>
      <c r="C8" t="s">
        <v>1</v>
      </c>
    </row>
    <row r="9" spans="1:15" ht="18.75" x14ac:dyDescent="0.3">
      <c r="A9" s="3" t="s">
        <v>403</v>
      </c>
      <c r="B9" s="250">
        <v>35</v>
      </c>
      <c r="C9" t="s">
        <v>37</v>
      </c>
      <c r="D9" s="7">
        <f>B9/12</f>
        <v>2.9166666666666665</v>
      </c>
      <c r="E9" t="s">
        <v>39</v>
      </c>
    </row>
    <row r="10" spans="1:15" x14ac:dyDescent="0.25">
      <c r="N10" s="141"/>
    </row>
    <row r="11" spans="1:15" x14ac:dyDescent="0.25">
      <c r="N11" s="141"/>
      <c r="O11" s="8"/>
    </row>
    <row r="12" spans="1:15" x14ac:dyDescent="0.25">
      <c r="N12" s="141"/>
      <c r="O12" s="8"/>
    </row>
    <row r="13" spans="1:15" x14ac:dyDescent="0.25">
      <c r="N13" s="141"/>
      <c r="O13" s="8"/>
    </row>
    <row r="14" spans="1:15" x14ac:dyDescent="0.25">
      <c r="N14" s="141"/>
      <c r="O14" s="8"/>
    </row>
    <row r="15" spans="1:15" x14ac:dyDescent="0.25">
      <c r="N15" s="141"/>
      <c r="O15" s="8"/>
    </row>
    <row r="16" spans="1:15" x14ac:dyDescent="0.25">
      <c r="N16" s="141"/>
      <c r="O16" s="8"/>
    </row>
    <row r="17" spans="14:15" x14ac:dyDescent="0.25">
      <c r="N17" s="141"/>
      <c r="O17" s="8"/>
    </row>
    <row r="18" spans="14:15" x14ac:dyDescent="0.25">
      <c r="N18" s="141"/>
      <c r="O18" s="8"/>
    </row>
    <row r="19" spans="14:15" x14ac:dyDescent="0.25">
      <c r="N19" s="141"/>
      <c r="O19" s="8"/>
    </row>
    <row r="20" spans="14:15" x14ac:dyDescent="0.25">
      <c r="N20" s="141"/>
      <c r="O20" s="8"/>
    </row>
    <row r="21" spans="14:15" x14ac:dyDescent="0.25">
      <c r="N21" s="141"/>
      <c r="O21" s="8"/>
    </row>
    <row r="22" spans="14:15" x14ac:dyDescent="0.25">
      <c r="N22" s="141"/>
      <c r="O22" s="8"/>
    </row>
    <row r="23" spans="14:15" x14ac:dyDescent="0.25">
      <c r="N23" s="141"/>
      <c r="O23" s="8"/>
    </row>
    <row r="24" spans="14:15" x14ac:dyDescent="0.25">
      <c r="N24" s="141"/>
      <c r="O24" s="8"/>
    </row>
    <row r="25" spans="14:15" x14ac:dyDescent="0.25">
      <c r="N25" s="141"/>
      <c r="O25" s="8"/>
    </row>
    <row r="26" spans="14:15" x14ac:dyDescent="0.25">
      <c r="N26" s="141"/>
      <c r="O26" s="8"/>
    </row>
    <row r="27" spans="14:15" x14ac:dyDescent="0.25">
      <c r="N27" s="141"/>
      <c r="O27" s="8"/>
    </row>
    <row r="28" spans="14:15" x14ac:dyDescent="0.25">
      <c r="N28" s="141"/>
      <c r="O28" s="8"/>
    </row>
    <row r="29" spans="14:15" x14ac:dyDescent="0.25">
      <c r="N29" s="141"/>
      <c r="O29" s="8"/>
    </row>
    <row r="30" spans="14:15" x14ac:dyDescent="0.25">
      <c r="N30" s="141"/>
      <c r="O30" s="8"/>
    </row>
    <row r="31" spans="14:15" x14ac:dyDescent="0.25">
      <c r="N31" s="141"/>
      <c r="O31" s="8"/>
    </row>
    <row r="32" spans="14:15" x14ac:dyDescent="0.25">
      <c r="N32" s="141"/>
      <c r="O32" s="8"/>
    </row>
    <row r="33" spans="1:17" x14ac:dyDescent="0.25">
      <c r="N33" s="141"/>
      <c r="O33" s="8"/>
    </row>
    <row r="34" spans="1:17" x14ac:dyDescent="0.25">
      <c r="N34" s="141"/>
      <c r="O34" s="8"/>
    </row>
    <row r="39" spans="1:17" ht="18.75" x14ac:dyDescent="0.3">
      <c r="A39" s="106" t="s">
        <v>87</v>
      </c>
    </row>
    <row r="40" spans="1:17" ht="105" x14ac:dyDescent="0.25">
      <c r="A40" s="142" t="s">
        <v>88</v>
      </c>
      <c r="B40" s="142" t="s">
        <v>89</v>
      </c>
      <c r="C40" s="142" t="s">
        <v>277</v>
      </c>
      <c r="D40" s="142" t="s">
        <v>278</v>
      </c>
      <c r="E40" s="142" t="s">
        <v>271</v>
      </c>
      <c r="F40" s="142" t="s">
        <v>272</v>
      </c>
      <c r="G40" s="142" t="s">
        <v>273</v>
      </c>
      <c r="H40" s="142" t="s">
        <v>279</v>
      </c>
      <c r="I40" s="142" t="s">
        <v>280</v>
      </c>
      <c r="J40" s="142" t="s">
        <v>281</v>
      </c>
      <c r="K40" s="142" t="s">
        <v>282</v>
      </c>
      <c r="L40" s="142" t="s">
        <v>283</v>
      </c>
      <c r="M40" s="142" t="s">
        <v>284</v>
      </c>
      <c r="N40" s="142" t="s">
        <v>285</v>
      </c>
      <c r="O40" s="142" t="s">
        <v>286</v>
      </c>
      <c r="P40" s="142" t="s">
        <v>287</v>
      </c>
      <c r="Q40" s="142" t="s">
        <v>288</v>
      </c>
    </row>
    <row r="41" spans="1:17" x14ac:dyDescent="0.25">
      <c r="A41">
        <v>0</v>
      </c>
      <c r="B41" s="7">
        <f>PI()*A41/180</f>
        <v>0</v>
      </c>
      <c r="C41" s="8">
        <f t="shared" ref="C41:C56" si="0">SIN(B41)*$D$4</f>
        <v>0</v>
      </c>
      <c r="D41" s="8">
        <f t="shared" ref="D41:D56" si="1">C41*$B$3</f>
        <v>0</v>
      </c>
      <c r="E41" s="140">
        <f t="shared" ref="E41:E56" si="2">COS(B41)*$D$5</f>
        <v>0.33333333333333331</v>
      </c>
      <c r="F41" s="141">
        <f t="shared" ref="F41:F56" si="3">E41+$D$6</f>
        <v>1.1666666666666667</v>
      </c>
      <c r="G41" s="7">
        <f t="shared" ref="G41:G56" si="4">SIN(B41)*$D$5</f>
        <v>0</v>
      </c>
      <c r="H41" s="281">
        <f>ATAN(G41/F41)</f>
        <v>0</v>
      </c>
      <c r="I41" s="282">
        <f>H41*180/PI()</f>
        <v>0</v>
      </c>
      <c r="J41" s="281">
        <f t="shared" ref="J41:J56" si="5">$B$7*COS(H41)</f>
        <v>75</v>
      </c>
      <c r="K41" s="281">
        <f t="shared" ref="K41:K56" si="6">$B$7*SIN(H41)</f>
        <v>0</v>
      </c>
      <c r="L41" s="8">
        <f>J41*G41-(K41*E41)</f>
        <v>0</v>
      </c>
      <c r="M41" s="8">
        <f t="shared" ref="M41:M56" si="7">D41-L41</f>
        <v>0</v>
      </c>
      <c r="N41" s="7">
        <f>$D$9*SIN(B41)</f>
        <v>0</v>
      </c>
      <c r="O41" s="8">
        <f>N41*$B$8</f>
        <v>0</v>
      </c>
      <c r="P41" s="8">
        <f>O41+D41</f>
        <v>0</v>
      </c>
      <c r="Q41" s="8">
        <f>P41-L41</f>
        <v>0</v>
      </c>
    </row>
    <row r="42" spans="1:17" x14ac:dyDescent="0.25">
      <c r="A42">
        <v>10</v>
      </c>
      <c r="B42" s="7">
        <f t="shared" ref="B42:B56" si="8">PI()*A42/180</f>
        <v>0.17453292519943295</v>
      </c>
      <c r="C42" s="8">
        <f t="shared" si="0"/>
        <v>0.28941362944488391</v>
      </c>
      <c r="D42" s="8">
        <f t="shared" si="1"/>
        <v>3.472963553338607</v>
      </c>
      <c r="E42" s="140">
        <f t="shared" si="2"/>
        <v>0.32826925100406934</v>
      </c>
      <c r="F42" s="141">
        <f t="shared" si="3"/>
        <v>1.1616025843374027</v>
      </c>
      <c r="G42" s="7">
        <f t="shared" si="4"/>
        <v>5.7882725888976777E-2</v>
      </c>
      <c r="H42" s="281">
        <f t="shared" ref="H42:H56" si="9">ATAN(G42/F42)</f>
        <v>4.9788877575171718E-2</v>
      </c>
      <c r="I42" s="282">
        <f t="shared" ref="I42:I56" si="10">H42*180/PI()</f>
        <v>2.8526925517508874</v>
      </c>
      <c r="J42" s="281">
        <f t="shared" si="5"/>
        <v>74.907059239485619</v>
      </c>
      <c r="K42" s="281">
        <f t="shared" si="6"/>
        <v>3.7326232186214683</v>
      </c>
      <c r="L42" s="8">
        <f t="shared" ref="L42:L49" si="11">J42*G42-(K42*E42)</f>
        <v>3.1105193488512231</v>
      </c>
      <c r="M42" s="8">
        <f t="shared" si="7"/>
        <v>0.3624442044873839</v>
      </c>
      <c r="N42" s="7">
        <f t="shared" ref="N42:N56" si="12">$D$9*SIN(B42)</f>
        <v>0.50647385152854674</v>
      </c>
      <c r="O42" s="8">
        <f t="shared" ref="O42:O56" si="13">N42*$B$8</f>
        <v>2.5323692576427339</v>
      </c>
      <c r="P42" s="8">
        <f t="shared" ref="P42:P56" si="14">O42+D42</f>
        <v>6.0053328109813409</v>
      </c>
      <c r="Q42" s="8">
        <f t="shared" ref="Q42:Q56" si="15">P42-L42</f>
        <v>2.8948134621301178</v>
      </c>
    </row>
    <row r="43" spans="1:17" x14ac:dyDescent="0.25">
      <c r="A43">
        <v>20</v>
      </c>
      <c r="B43" s="7">
        <f t="shared" si="8"/>
        <v>0.3490658503988659</v>
      </c>
      <c r="C43" s="8">
        <f t="shared" si="0"/>
        <v>0.57003357220944784</v>
      </c>
      <c r="D43" s="8">
        <f t="shared" si="1"/>
        <v>6.840402866513374</v>
      </c>
      <c r="E43" s="140">
        <f t="shared" si="2"/>
        <v>0.31323087359530277</v>
      </c>
      <c r="F43" s="141">
        <f t="shared" si="3"/>
        <v>1.1465642069286361</v>
      </c>
      <c r="G43" s="7">
        <f t="shared" si="4"/>
        <v>0.11400671444188956</v>
      </c>
      <c r="H43" s="281">
        <f t="shared" si="9"/>
        <v>9.9107576594188507E-2</v>
      </c>
      <c r="I43" s="282">
        <f t="shared" si="10"/>
        <v>5.678445856616543</v>
      </c>
      <c r="J43" s="281">
        <f t="shared" si="5"/>
        <v>74.631964704265982</v>
      </c>
      <c r="K43" s="281">
        <f t="shared" si="6"/>
        <v>7.4209059003060416</v>
      </c>
      <c r="L43" s="8">
        <f t="shared" si="11"/>
        <v>6.1840882502550354</v>
      </c>
      <c r="M43" s="8">
        <f t="shared" si="7"/>
        <v>0.65631461625833865</v>
      </c>
      <c r="N43" s="7">
        <f t="shared" si="12"/>
        <v>0.99755875136653371</v>
      </c>
      <c r="O43" s="8">
        <f t="shared" si="13"/>
        <v>4.9877937568326685</v>
      </c>
      <c r="P43" s="8">
        <f t="shared" si="14"/>
        <v>11.828196623346042</v>
      </c>
      <c r="Q43" s="8">
        <f t="shared" si="15"/>
        <v>5.6441083730910062</v>
      </c>
    </row>
    <row r="44" spans="1:17" x14ac:dyDescent="0.25">
      <c r="A44">
        <v>30</v>
      </c>
      <c r="B44" s="7">
        <f t="shared" si="8"/>
        <v>0.52359877559829882</v>
      </c>
      <c r="C44" s="8">
        <f t="shared" si="0"/>
        <v>0.83333333333333326</v>
      </c>
      <c r="D44" s="8">
        <f t="shared" si="1"/>
        <v>10</v>
      </c>
      <c r="E44" s="140">
        <f t="shared" si="2"/>
        <v>0.28867513459481287</v>
      </c>
      <c r="F44" s="141">
        <f t="shared" si="3"/>
        <v>1.1220084679281461</v>
      </c>
      <c r="G44" s="7">
        <f t="shared" si="4"/>
        <v>0.16666666666666663</v>
      </c>
      <c r="H44" s="281">
        <f t="shared" si="9"/>
        <v>0.14746484704425966</v>
      </c>
      <c r="I44" s="282">
        <f t="shared" si="10"/>
        <v>8.449113362178311</v>
      </c>
      <c r="J44" s="281">
        <f t="shared" si="5"/>
        <v>74.186006147929831</v>
      </c>
      <c r="K44" s="281">
        <f t="shared" si="6"/>
        <v>11.019822676400798</v>
      </c>
      <c r="L44" s="8">
        <f t="shared" si="11"/>
        <v>9.1831855636673296</v>
      </c>
      <c r="M44" s="8">
        <f t="shared" si="7"/>
        <v>0.81681443633267037</v>
      </c>
      <c r="N44" s="7">
        <f t="shared" si="12"/>
        <v>1.458333333333333</v>
      </c>
      <c r="O44" s="8">
        <f t="shared" si="13"/>
        <v>7.2916666666666652</v>
      </c>
      <c r="P44" s="8">
        <f t="shared" si="14"/>
        <v>17.291666666666664</v>
      </c>
      <c r="Q44" s="8">
        <f t="shared" si="15"/>
        <v>8.1084811029993347</v>
      </c>
    </row>
    <row r="45" spans="1:17" x14ac:dyDescent="0.25">
      <c r="A45">
        <v>40</v>
      </c>
      <c r="B45" s="7">
        <f t="shared" si="8"/>
        <v>0.69813170079773179</v>
      </c>
      <c r="C45" s="8">
        <f t="shared" si="0"/>
        <v>1.0713126828108988</v>
      </c>
      <c r="D45" s="8">
        <f t="shared" si="1"/>
        <v>12.855752193730785</v>
      </c>
      <c r="E45" s="140">
        <f t="shared" si="2"/>
        <v>0.25534814770632597</v>
      </c>
      <c r="F45" s="141">
        <f t="shared" si="3"/>
        <v>1.0886814810396594</v>
      </c>
      <c r="G45" s="7">
        <f t="shared" si="4"/>
        <v>0.21426253656217975</v>
      </c>
      <c r="H45" s="281">
        <f t="shared" si="9"/>
        <v>0.1943256134155664</v>
      </c>
      <c r="I45" s="282">
        <f t="shared" si="10"/>
        <v>11.134037500002764</v>
      </c>
      <c r="J45" s="281">
        <f t="shared" si="5"/>
        <v>73.588359000185477</v>
      </c>
      <c r="K45" s="281">
        <f t="shared" si="6"/>
        <v>14.482866417247035</v>
      </c>
      <c r="L45" s="8">
        <f t="shared" si="11"/>
        <v>12.069055347705866</v>
      </c>
      <c r="M45" s="8">
        <f t="shared" si="7"/>
        <v>0.78669684602491863</v>
      </c>
      <c r="N45" s="7">
        <f t="shared" si="12"/>
        <v>1.8747971949190727</v>
      </c>
      <c r="O45" s="8">
        <f t="shared" si="13"/>
        <v>9.3739859745953638</v>
      </c>
      <c r="P45" s="8">
        <f t="shared" si="14"/>
        <v>22.229738168326151</v>
      </c>
      <c r="Q45" s="8">
        <f t="shared" si="15"/>
        <v>10.160682820620284</v>
      </c>
    </row>
    <row r="46" spans="1:17" x14ac:dyDescent="0.25">
      <c r="A46">
        <v>50</v>
      </c>
      <c r="B46" s="7">
        <f t="shared" si="8"/>
        <v>0.87266462599716477</v>
      </c>
      <c r="C46" s="8">
        <f t="shared" si="0"/>
        <v>1.2767407385316301</v>
      </c>
      <c r="D46" s="8">
        <f t="shared" si="1"/>
        <v>15.320888862379562</v>
      </c>
      <c r="E46" s="140">
        <f t="shared" si="2"/>
        <v>0.21426253656217978</v>
      </c>
      <c r="F46" s="141">
        <f t="shared" si="3"/>
        <v>1.0475958698955132</v>
      </c>
      <c r="G46" s="7">
        <f t="shared" si="4"/>
        <v>0.25534814770632597</v>
      </c>
      <c r="H46" s="281">
        <f t="shared" si="9"/>
        <v>0.23908470059317699</v>
      </c>
      <c r="I46" s="282">
        <f t="shared" si="10"/>
        <v>13.698544290137971</v>
      </c>
      <c r="J46" s="281">
        <f t="shared" si="5"/>
        <v>72.866635276071122</v>
      </c>
      <c r="K46" s="281">
        <f t="shared" si="6"/>
        <v>17.761009643148917</v>
      </c>
      <c r="L46" s="8">
        <f t="shared" si="11"/>
        <v>14.800841369290769</v>
      </c>
      <c r="M46" s="8">
        <f t="shared" si="7"/>
        <v>0.52004749308879283</v>
      </c>
      <c r="N46" s="7">
        <f t="shared" si="12"/>
        <v>2.2342962924303524</v>
      </c>
      <c r="O46" s="8">
        <f t="shared" si="13"/>
        <v>11.171481462151762</v>
      </c>
      <c r="P46" s="8">
        <f t="shared" si="14"/>
        <v>26.492370324531322</v>
      </c>
      <c r="Q46" s="8">
        <f t="shared" si="15"/>
        <v>11.691528955240553</v>
      </c>
    </row>
    <row r="47" spans="1:17" x14ac:dyDescent="0.25">
      <c r="A47">
        <v>60</v>
      </c>
      <c r="B47" s="7">
        <f t="shared" si="8"/>
        <v>1.0471975511965976</v>
      </c>
      <c r="C47" s="8">
        <f t="shared" si="0"/>
        <v>1.4433756729740643</v>
      </c>
      <c r="D47" s="8">
        <f t="shared" si="1"/>
        <v>17.320508075688771</v>
      </c>
      <c r="E47" s="140">
        <f t="shared" si="2"/>
        <v>0.16666666666666669</v>
      </c>
      <c r="F47" s="141">
        <f t="shared" si="3"/>
        <v>1</v>
      </c>
      <c r="G47" s="7">
        <f t="shared" si="4"/>
        <v>0.28867513459481287</v>
      </c>
      <c r="H47" s="281">
        <f t="shared" si="9"/>
        <v>0.28103490150281357</v>
      </c>
      <c r="I47" s="282">
        <f t="shared" si="10"/>
        <v>16.102113751986014</v>
      </c>
      <c r="J47" s="281">
        <f t="shared" si="5"/>
        <v>72.057669212289213</v>
      </c>
      <c r="K47" s="281">
        <f t="shared" si="6"/>
        <v>20.80125735844609</v>
      </c>
      <c r="L47" s="8">
        <f t="shared" si="11"/>
        <v>17.334381132038409</v>
      </c>
      <c r="M47" s="8">
        <f t="shared" si="7"/>
        <v>-1.3873056349638091E-2</v>
      </c>
      <c r="N47" s="7">
        <f t="shared" si="12"/>
        <v>2.5259074277046123</v>
      </c>
      <c r="O47" s="8">
        <f t="shared" si="13"/>
        <v>12.629537138523062</v>
      </c>
      <c r="P47" s="8">
        <f t="shared" si="14"/>
        <v>29.950045214211833</v>
      </c>
      <c r="Q47" s="8">
        <f t="shared" si="15"/>
        <v>12.615664082173424</v>
      </c>
    </row>
    <row r="48" spans="1:17" x14ac:dyDescent="0.25">
      <c r="A48">
        <v>70</v>
      </c>
      <c r="B48" s="7">
        <f t="shared" si="8"/>
        <v>1.2217304763960306</v>
      </c>
      <c r="C48" s="8">
        <f t="shared" si="0"/>
        <v>1.566154367976514</v>
      </c>
      <c r="D48" s="8">
        <f t="shared" si="1"/>
        <v>18.793852415718167</v>
      </c>
      <c r="E48" s="140">
        <f t="shared" si="2"/>
        <v>0.1140067144418896</v>
      </c>
      <c r="F48" s="141">
        <f t="shared" si="3"/>
        <v>0.94734004777522296</v>
      </c>
      <c r="G48" s="7">
        <f t="shared" si="4"/>
        <v>0.31323087359530277</v>
      </c>
      <c r="H48" s="281">
        <f t="shared" si="9"/>
        <v>0.3193268448490667</v>
      </c>
      <c r="I48" s="282">
        <f t="shared" si="10"/>
        <v>18.296080495080375</v>
      </c>
      <c r="J48" s="281">
        <f t="shared" si="5"/>
        <v>71.208521632484647</v>
      </c>
      <c r="K48" s="281">
        <f t="shared" si="6"/>
        <v>23.544563001167937</v>
      </c>
      <c r="L48" s="8">
        <f t="shared" si="11"/>
        <v>19.62046916763995</v>
      </c>
      <c r="M48" s="8">
        <f t="shared" si="7"/>
        <v>-0.82661675192178308</v>
      </c>
      <c r="N48" s="7">
        <f t="shared" si="12"/>
        <v>2.740770143958899</v>
      </c>
      <c r="O48" s="8">
        <f t="shared" si="13"/>
        <v>13.703850719794495</v>
      </c>
      <c r="P48" s="8">
        <f t="shared" si="14"/>
        <v>32.497703135512666</v>
      </c>
      <c r="Q48" s="8">
        <f t="shared" si="15"/>
        <v>12.877233967872716</v>
      </c>
    </row>
    <row r="49" spans="1:17" x14ac:dyDescent="0.25">
      <c r="A49">
        <v>80</v>
      </c>
      <c r="B49" s="7">
        <f t="shared" si="8"/>
        <v>1.3962634015954636</v>
      </c>
      <c r="C49" s="8">
        <f t="shared" si="0"/>
        <v>1.6413462550203468</v>
      </c>
      <c r="D49" s="8">
        <f t="shared" si="1"/>
        <v>19.696155060244163</v>
      </c>
      <c r="E49" s="140">
        <f t="shared" si="2"/>
        <v>5.7882725888976805E-2</v>
      </c>
      <c r="F49" s="141">
        <f t="shared" si="3"/>
        <v>0.89121605922231018</v>
      </c>
      <c r="G49" s="7">
        <f t="shared" si="4"/>
        <v>0.32826925100406934</v>
      </c>
      <c r="H49" s="281">
        <f t="shared" si="9"/>
        <v>0.352917763095425</v>
      </c>
      <c r="I49" s="282">
        <f t="shared" si="10"/>
        <v>20.220698340565693</v>
      </c>
      <c r="J49" s="281">
        <f t="shared" si="5"/>
        <v>70.377616582602769</v>
      </c>
      <c r="K49" s="281">
        <f t="shared" si="6"/>
        <v>25.92279082491228</v>
      </c>
      <c r="L49" s="8">
        <f t="shared" si="11"/>
        <v>21.602325687426902</v>
      </c>
      <c r="M49" s="8">
        <f t="shared" si="7"/>
        <v>-1.906170627182739</v>
      </c>
      <c r="N49" s="7">
        <f t="shared" si="12"/>
        <v>2.8723559462856065</v>
      </c>
      <c r="O49" s="8">
        <f t="shared" si="13"/>
        <v>14.361779731428033</v>
      </c>
      <c r="P49" s="8">
        <f t="shared" si="14"/>
        <v>34.057934791672196</v>
      </c>
      <c r="Q49" s="8">
        <f t="shared" si="15"/>
        <v>12.455609104245294</v>
      </c>
    </row>
    <row r="50" spans="1:17" x14ac:dyDescent="0.25">
      <c r="A50">
        <v>90</v>
      </c>
      <c r="B50" s="7">
        <f t="shared" si="8"/>
        <v>1.5707963267948966</v>
      </c>
      <c r="C50" s="8">
        <f t="shared" si="0"/>
        <v>1.6666666666666667</v>
      </c>
      <c r="D50" s="8">
        <f t="shared" si="1"/>
        <v>20</v>
      </c>
      <c r="E50" s="140">
        <f t="shared" si="2"/>
        <v>2.0419140915143665E-17</v>
      </c>
      <c r="F50" s="141">
        <f t="shared" si="3"/>
        <v>0.83333333333333337</v>
      </c>
      <c r="G50" s="7">
        <f t="shared" si="4"/>
        <v>0.33333333333333331</v>
      </c>
      <c r="H50" s="281">
        <f t="shared" si="9"/>
        <v>0.38050637711236485</v>
      </c>
      <c r="I50" s="282">
        <f t="shared" si="10"/>
        <v>21.801409486351808</v>
      </c>
      <c r="J50" s="281">
        <f t="shared" si="5"/>
        <v>69.635751816394446</v>
      </c>
      <c r="K50" s="281">
        <f t="shared" si="6"/>
        <v>27.854300726557774</v>
      </c>
      <c r="L50" s="8">
        <f>J50*G50-(K50*E50)</f>
        <v>23.21191727213148</v>
      </c>
      <c r="M50" s="8">
        <f t="shared" si="7"/>
        <v>-3.2119172721314797</v>
      </c>
      <c r="N50" s="7">
        <f t="shared" si="12"/>
        <v>2.9166666666666665</v>
      </c>
      <c r="O50" s="8">
        <f t="shared" si="13"/>
        <v>14.583333333333332</v>
      </c>
      <c r="P50" s="8">
        <f t="shared" si="14"/>
        <v>34.583333333333329</v>
      </c>
      <c r="Q50" s="8">
        <f t="shared" si="15"/>
        <v>11.371416061201849</v>
      </c>
    </row>
    <row r="51" spans="1:17" x14ac:dyDescent="0.25">
      <c r="A51">
        <v>100</v>
      </c>
      <c r="B51" s="7">
        <f t="shared" si="8"/>
        <v>1.7453292519943295</v>
      </c>
      <c r="C51" s="8">
        <f t="shared" si="0"/>
        <v>1.6413462550203468</v>
      </c>
      <c r="D51" s="8">
        <f t="shared" si="1"/>
        <v>19.696155060244163</v>
      </c>
      <c r="E51" s="140">
        <f t="shared" si="2"/>
        <v>-5.7882725888976763E-2</v>
      </c>
      <c r="F51" s="141">
        <f t="shared" si="3"/>
        <v>0.77545060744435657</v>
      </c>
      <c r="G51" s="7">
        <f t="shared" si="4"/>
        <v>0.32826925100406934</v>
      </c>
      <c r="H51" s="281">
        <f t="shared" si="9"/>
        <v>0.40045282682976646</v>
      </c>
      <c r="I51" s="282">
        <f t="shared" si="10"/>
        <v>22.944256871428834</v>
      </c>
      <c r="J51" s="281">
        <f t="shared" si="5"/>
        <v>69.066342037706221</v>
      </c>
      <c r="K51" s="281">
        <f t="shared" si="6"/>
        <v>29.237653762410101</v>
      </c>
      <c r="L51" s="8">
        <f>J51*G51-(K51*E51)</f>
        <v>24.364711468675086</v>
      </c>
      <c r="M51" s="8">
        <f t="shared" si="7"/>
        <v>-4.6685564084309235</v>
      </c>
      <c r="N51" s="7">
        <f t="shared" si="12"/>
        <v>2.8723559462856065</v>
      </c>
      <c r="O51" s="8">
        <f t="shared" si="13"/>
        <v>14.361779731428033</v>
      </c>
      <c r="P51" s="8">
        <f t="shared" si="14"/>
        <v>34.057934791672196</v>
      </c>
      <c r="Q51" s="8">
        <f t="shared" si="15"/>
        <v>9.6932233229971096</v>
      </c>
    </row>
    <row r="52" spans="1:17" x14ac:dyDescent="0.25">
      <c r="A52">
        <v>110</v>
      </c>
      <c r="B52" s="7">
        <f t="shared" si="8"/>
        <v>1.9198621771937625</v>
      </c>
      <c r="C52" s="8">
        <f t="shared" si="0"/>
        <v>1.5661543679765142</v>
      </c>
      <c r="D52" s="8">
        <f t="shared" si="1"/>
        <v>18.79385241571817</v>
      </c>
      <c r="E52" s="140">
        <f t="shared" si="2"/>
        <v>-0.11400671444188956</v>
      </c>
      <c r="F52" s="141">
        <f t="shared" si="3"/>
        <v>0.71932661889144378</v>
      </c>
      <c r="G52" s="7">
        <f t="shared" si="4"/>
        <v>0.31323087359530277</v>
      </c>
      <c r="H52" s="281">
        <f t="shared" si="9"/>
        <v>0.41068860511946481</v>
      </c>
      <c r="I52" s="282">
        <f t="shared" si="10"/>
        <v>23.530723767460188</v>
      </c>
      <c r="J52" s="281">
        <f t="shared" si="5"/>
        <v>68.763459073168832</v>
      </c>
      <c r="K52" s="281">
        <f t="shared" si="6"/>
        <v>29.943057564193978</v>
      </c>
      <c r="L52" s="8">
        <f t="shared" ref="L52:L56" si="16">J52*G52-(K52*E52)</f>
        <v>24.952547970161646</v>
      </c>
      <c r="M52" s="8">
        <f t="shared" si="7"/>
        <v>-6.1586955544434758</v>
      </c>
      <c r="N52" s="7">
        <f t="shared" si="12"/>
        <v>2.7407701439588994</v>
      </c>
      <c r="O52" s="8">
        <f t="shared" si="13"/>
        <v>13.703850719794497</v>
      </c>
      <c r="P52" s="8">
        <f t="shared" si="14"/>
        <v>32.497703135512666</v>
      </c>
      <c r="Q52" s="8">
        <f t="shared" si="15"/>
        <v>7.5451551653510194</v>
      </c>
    </row>
    <row r="53" spans="1:17" x14ac:dyDescent="0.25">
      <c r="A53">
        <v>120</v>
      </c>
      <c r="B53" s="7">
        <f t="shared" si="8"/>
        <v>2.0943951023931953</v>
      </c>
      <c r="C53" s="8">
        <f t="shared" si="0"/>
        <v>1.4433756729740645</v>
      </c>
      <c r="D53" s="8">
        <f t="shared" si="1"/>
        <v>17.320508075688775</v>
      </c>
      <c r="E53" s="140">
        <f t="shared" si="2"/>
        <v>-0.16666666666666657</v>
      </c>
      <c r="F53" s="141">
        <f t="shared" si="3"/>
        <v>0.66666666666666674</v>
      </c>
      <c r="G53" s="7">
        <f t="shared" si="4"/>
        <v>0.28867513459481287</v>
      </c>
      <c r="H53" s="281">
        <f t="shared" si="9"/>
        <v>0.40863785509759237</v>
      </c>
      <c r="I53" s="282">
        <f t="shared" si="10"/>
        <v>23.413224446370538</v>
      </c>
      <c r="J53" s="281">
        <f t="shared" si="5"/>
        <v>68.824720161168528</v>
      </c>
      <c r="K53" s="281">
        <f t="shared" si="6"/>
        <v>29.801978033963479</v>
      </c>
      <c r="L53" s="8">
        <f t="shared" si="16"/>
        <v>24.834981694969564</v>
      </c>
      <c r="M53" s="8">
        <f t="shared" si="7"/>
        <v>-7.5144736192807891</v>
      </c>
      <c r="N53" s="7">
        <f t="shared" si="12"/>
        <v>2.5259074277046127</v>
      </c>
      <c r="O53" s="8">
        <f t="shared" si="13"/>
        <v>12.629537138523064</v>
      </c>
      <c r="P53" s="8">
        <f t="shared" si="14"/>
        <v>29.950045214211841</v>
      </c>
      <c r="Q53" s="8">
        <f t="shared" si="15"/>
        <v>5.1150635192422769</v>
      </c>
    </row>
    <row r="54" spans="1:17" x14ac:dyDescent="0.25">
      <c r="A54">
        <v>130</v>
      </c>
      <c r="B54" s="7">
        <f t="shared" si="8"/>
        <v>2.2689280275926285</v>
      </c>
      <c r="C54" s="8">
        <f t="shared" si="0"/>
        <v>1.2767407385316301</v>
      </c>
      <c r="D54" s="8">
        <f t="shared" si="1"/>
        <v>15.320888862379562</v>
      </c>
      <c r="E54" s="140">
        <f t="shared" si="2"/>
        <v>-0.21426253656217978</v>
      </c>
      <c r="F54" s="141">
        <f t="shared" si="3"/>
        <v>0.61907079677115362</v>
      </c>
      <c r="G54" s="7">
        <f t="shared" si="4"/>
        <v>0.25534814770632597</v>
      </c>
      <c r="H54" s="281">
        <f t="shared" si="9"/>
        <v>0.39120996356546234</v>
      </c>
      <c r="I54" s="282">
        <f t="shared" si="10"/>
        <v>22.414679815767698</v>
      </c>
      <c r="J54" s="281">
        <f t="shared" si="5"/>
        <v>69.333627660032064</v>
      </c>
      <c r="K54" s="281">
        <f t="shared" si="6"/>
        <v>28.598043211031701</v>
      </c>
      <c r="L54" s="8">
        <f t="shared" si="16"/>
        <v>23.831702675859752</v>
      </c>
      <c r="M54" s="8">
        <f t="shared" si="7"/>
        <v>-8.5108138134801905</v>
      </c>
      <c r="N54" s="7">
        <f t="shared" si="12"/>
        <v>2.2342962924303524</v>
      </c>
      <c r="O54" s="8">
        <f t="shared" si="13"/>
        <v>11.171481462151762</v>
      </c>
      <c r="P54" s="8">
        <f t="shared" si="14"/>
        <v>26.492370324531322</v>
      </c>
      <c r="Q54" s="8">
        <f t="shared" si="15"/>
        <v>2.6606676486715699</v>
      </c>
    </row>
    <row r="55" spans="1:17" x14ac:dyDescent="0.25">
      <c r="A55">
        <v>140</v>
      </c>
      <c r="B55" s="7">
        <f t="shared" si="8"/>
        <v>2.4434609527920612</v>
      </c>
      <c r="C55" s="8">
        <f t="shared" si="0"/>
        <v>1.0713126828108992</v>
      </c>
      <c r="D55" s="8">
        <f t="shared" si="1"/>
        <v>12.85575219373079</v>
      </c>
      <c r="E55" s="140">
        <f t="shared" si="2"/>
        <v>-0.25534814770632597</v>
      </c>
      <c r="F55" s="141">
        <f t="shared" si="3"/>
        <v>0.5779851856270074</v>
      </c>
      <c r="G55" s="7">
        <f t="shared" si="4"/>
        <v>0.21426253656217981</v>
      </c>
      <c r="H55" s="281">
        <f t="shared" si="9"/>
        <v>0.35500070296084801</v>
      </c>
      <c r="I55" s="282">
        <f t="shared" si="10"/>
        <v>20.340042003833979</v>
      </c>
      <c r="J55" s="281">
        <f t="shared" si="5"/>
        <v>70.32346833575248</v>
      </c>
      <c r="K55" s="281">
        <f t="shared" si="6"/>
        <v>26.0693268273352</v>
      </c>
      <c r="L55" s="8">
        <f t="shared" si="16"/>
        <v>21.724439022779336</v>
      </c>
      <c r="M55" s="8">
        <f t="shared" si="7"/>
        <v>-8.8686868290485457</v>
      </c>
      <c r="N55" s="7">
        <f t="shared" si="12"/>
        <v>1.8747971949190734</v>
      </c>
      <c r="O55" s="8">
        <f t="shared" si="13"/>
        <v>9.3739859745953673</v>
      </c>
      <c r="P55" s="8">
        <f t="shared" si="14"/>
        <v>22.229738168326158</v>
      </c>
      <c r="Q55" s="8">
        <f t="shared" si="15"/>
        <v>0.50529914554682165</v>
      </c>
    </row>
    <row r="56" spans="1:17" x14ac:dyDescent="0.25">
      <c r="A56">
        <v>150</v>
      </c>
      <c r="B56" s="7">
        <f t="shared" si="8"/>
        <v>2.6179938779914944</v>
      </c>
      <c r="C56" s="8">
        <f t="shared" si="0"/>
        <v>0.83333333333333326</v>
      </c>
      <c r="D56" s="8">
        <f t="shared" si="1"/>
        <v>10</v>
      </c>
      <c r="E56" s="140">
        <f t="shared" si="2"/>
        <v>-0.28867513459481287</v>
      </c>
      <c r="F56" s="141">
        <f t="shared" si="3"/>
        <v>0.5446581987385205</v>
      </c>
      <c r="G56" s="7">
        <f t="shared" si="4"/>
        <v>0.16666666666666663</v>
      </c>
      <c r="H56" s="281">
        <f t="shared" si="9"/>
        <v>0.29695436285683918</v>
      </c>
      <c r="I56" s="282">
        <f t="shared" si="10"/>
        <v>17.014231699693301</v>
      </c>
      <c r="J56" s="281">
        <f t="shared" si="5"/>
        <v>71.717407818748995</v>
      </c>
      <c r="K56" s="281">
        <f t="shared" si="6"/>
        <v>21.945692419225253</v>
      </c>
      <c r="L56" s="8">
        <f t="shared" si="16"/>
        <v>18.288077016021045</v>
      </c>
      <c r="M56" s="8">
        <f t="shared" si="7"/>
        <v>-8.2880770160210453</v>
      </c>
      <c r="N56" s="7">
        <f t="shared" si="12"/>
        <v>1.458333333333333</v>
      </c>
      <c r="O56" s="8">
        <f t="shared" si="13"/>
        <v>7.2916666666666652</v>
      </c>
      <c r="P56" s="8">
        <f t="shared" si="14"/>
        <v>17.291666666666664</v>
      </c>
      <c r="Q56" s="8">
        <f t="shared" si="15"/>
        <v>-0.996410349354381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51" r:id="rId3" name="Button 3">
              <controlPr defaultSize="0" print="0" autoFill="0" autoPict="0" macro="[0]!TOC">
                <anchor moveWithCells="1" sizeWithCells="1">
                  <from>
                    <xdr:col>4</xdr:col>
                    <xdr:colOff>581025</xdr:colOff>
                    <xdr:row>0</xdr:row>
                    <xdr:rowOff>0</xdr:rowOff>
                  </from>
                  <to>
                    <xdr:col>6</xdr:col>
                    <xdr:colOff>142875</xdr:colOff>
                    <xdr:row>0</xdr:row>
                    <xdr:rowOff>219075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N36"/>
  <sheetViews>
    <sheetView showGridLines="0" zoomScaleNormal="100" workbookViewId="0">
      <pane ySplit="1" topLeftCell="A2" activePane="bottomLeft" state="frozen"/>
      <selection activeCell="B1" sqref="B1"/>
      <selection pane="bottomLeft" activeCell="A2" sqref="A2"/>
    </sheetView>
  </sheetViews>
  <sheetFormatPr defaultRowHeight="15" x14ac:dyDescent="0.25"/>
  <cols>
    <col min="2" max="2" width="11.7109375" customWidth="1"/>
    <col min="3" max="3" width="10.28515625" customWidth="1"/>
  </cols>
  <sheetData>
    <row r="1" spans="1:1" ht="23.25" x14ac:dyDescent="0.35">
      <c r="A1" s="9" t="s">
        <v>257</v>
      </c>
    </row>
    <row r="19" spans="2:14" x14ac:dyDescent="0.25">
      <c r="B19" s="136">
        <v>2.5</v>
      </c>
      <c r="C19" t="s">
        <v>258</v>
      </c>
    </row>
    <row r="20" spans="2:14" x14ac:dyDescent="0.25">
      <c r="B20" s="136">
        <v>26</v>
      </c>
      <c r="C20" t="s">
        <v>268</v>
      </c>
    </row>
    <row r="21" spans="2:14" x14ac:dyDescent="0.25">
      <c r="B21" s="137" t="s">
        <v>259</v>
      </c>
      <c r="C21" s="137" t="s">
        <v>89</v>
      </c>
      <c r="D21" s="137" t="s">
        <v>260</v>
      </c>
      <c r="E21" s="137" t="s">
        <v>261</v>
      </c>
      <c r="F21" s="137" t="s">
        <v>262</v>
      </c>
      <c r="G21" s="137" t="s">
        <v>263</v>
      </c>
    </row>
    <row r="22" spans="2:14" x14ac:dyDescent="0.25">
      <c r="B22" s="92">
        <v>45</v>
      </c>
      <c r="C22" s="93">
        <f>B22*PI()/180</f>
        <v>0.78539816339744828</v>
      </c>
      <c r="D22" s="93">
        <f>COS(C22)*$B$19</f>
        <v>1.7677669529663689</v>
      </c>
      <c r="E22" s="93">
        <f>SIN(C22)*$B$19</f>
        <v>1.7677669529663687</v>
      </c>
      <c r="F22" s="138">
        <f>E22*2</f>
        <v>3.5355339059327373</v>
      </c>
      <c r="G22" s="93">
        <f>$B$20*0.5*TAN(C22)</f>
        <v>12.999999999999998</v>
      </c>
    </row>
    <row r="23" spans="2:14" x14ac:dyDescent="0.25">
      <c r="B23" s="92">
        <v>50</v>
      </c>
      <c r="C23" s="93">
        <f t="shared" ref="C23:C31" si="0">B23*PI()/180</f>
        <v>0.87266462599716477</v>
      </c>
      <c r="D23" s="93">
        <f t="shared" ref="D23:D31" si="1">COS(C23)*$B$19</f>
        <v>1.6069690242163484</v>
      </c>
      <c r="E23" s="93">
        <f t="shared" ref="E23:E31" si="2">SIN(C23)*$B$19</f>
        <v>1.915111107797445</v>
      </c>
      <c r="F23" s="138">
        <f t="shared" ref="F23:F31" si="3">E23*2</f>
        <v>3.83022221559489</v>
      </c>
      <c r="G23" s="93">
        <f t="shared" ref="G23:G31" si="4">$B$20*0.5*TAN(C23)</f>
        <v>15.49279670372473</v>
      </c>
    </row>
    <row r="24" spans="2:14" x14ac:dyDescent="0.25">
      <c r="B24" s="92">
        <v>55</v>
      </c>
      <c r="C24" s="93">
        <f t="shared" si="0"/>
        <v>0.95993108859688125</v>
      </c>
      <c r="D24" s="93">
        <f t="shared" si="1"/>
        <v>1.4339410908776153</v>
      </c>
      <c r="E24" s="93">
        <f t="shared" si="2"/>
        <v>2.0478801107224793</v>
      </c>
      <c r="F24" s="138">
        <f t="shared" si="3"/>
        <v>4.0957602214449587</v>
      </c>
      <c r="G24" s="93">
        <f t="shared" si="4"/>
        <v>18.565924087647488</v>
      </c>
    </row>
    <row r="25" spans="2:14" x14ac:dyDescent="0.25">
      <c r="B25" s="92">
        <v>60</v>
      </c>
      <c r="C25" s="93">
        <f t="shared" si="0"/>
        <v>1.0471975511965976</v>
      </c>
      <c r="D25" s="93">
        <f t="shared" si="1"/>
        <v>1.2500000000000002</v>
      </c>
      <c r="E25" s="93">
        <f t="shared" si="2"/>
        <v>2.1650635094610964</v>
      </c>
      <c r="F25" s="138">
        <f t="shared" si="3"/>
        <v>4.3301270189221928</v>
      </c>
      <c r="G25" s="93">
        <f t="shared" si="4"/>
        <v>22.516660498395396</v>
      </c>
      <c r="K25" s="136">
        <v>5</v>
      </c>
      <c r="L25" t="s">
        <v>265</v>
      </c>
    </row>
    <row r="26" spans="2:14" x14ac:dyDescent="0.25">
      <c r="B26" s="92">
        <v>65</v>
      </c>
      <c r="C26" s="93">
        <f t="shared" si="0"/>
        <v>1.1344640137963142</v>
      </c>
      <c r="D26" s="93">
        <f t="shared" si="1"/>
        <v>1.0565456543517486</v>
      </c>
      <c r="E26" s="93">
        <f t="shared" si="2"/>
        <v>2.2657694675916247</v>
      </c>
      <c r="F26" s="138">
        <f t="shared" si="3"/>
        <v>4.5315389351832494</v>
      </c>
      <c r="G26" s="93">
        <f t="shared" si="4"/>
        <v>27.878589966624261</v>
      </c>
      <c r="K26" s="136">
        <v>4</v>
      </c>
      <c r="L26" t="s">
        <v>266</v>
      </c>
    </row>
    <row r="27" spans="2:14" x14ac:dyDescent="0.25">
      <c r="B27" s="92">
        <v>70</v>
      </c>
      <c r="C27" s="93">
        <f t="shared" si="0"/>
        <v>1.2217304763960306</v>
      </c>
      <c r="D27" s="93">
        <f t="shared" si="1"/>
        <v>0.85505035831417209</v>
      </c>
      <c r="E27" s="93">
        <f t="shared" si="2"/>
        <v>2.3492315519647708</v>
      </c>
      <c r="F27" s="138">
        <f t="shared" si="3"/>
        <v>4.6984631039295417</v>
      </c>
      <c r="G27" s="93">
        <f t="shared" si="4"/>
        <v>35.717206452910084</v>
      </c>
      <c r="K27" s="136">
        <v>25</v>
      </c>
      <c r="L27" t="s">
        <v>267</v>
      </c>
    </row>
    <row r="28" spans="2:14" x14ac:dyDescent="0.25">
      <c r="B28" s="92">
        <v>75</v>
      </c>
      <c r="C28" s="93">
        <f t="shared" si="0"/>
        <v>1.3089969389957472</v>
      </c>
      <c r="D28" s="93">
        <f t="shared" si="1"/>
        <v>0.64704761275630185</v>
      </c>
      <c r="E28" s="93">
        <f t="shared" si="2"/>
        <v>2.4148145657226707</v>
      </c>
      <c r="F28" s="138">
        <f t="shared" si="3"/>
        <v>4.8296291314453415</v>
      </c>
      <c r="G28" s="93">
        <f t="shared" si="4"/>
        <v>48.51666049839541</v>
      </c>
    </row>
    <row r="29" spans="2:14" x14ac:dyDescent="0.25">
      <c r="B29" s="92">
        <v>80</v>
      </c>
      <c r="C29" s="93">
        <f t="shared" si="0"/>
        <v>1.3962634015954636</v>
      </c>
      <c r="D29" s="93">
        <f t="shared" si="1"/>
        <v>0.43412044416732604</v>
      </c>
      <c r="E29" s="93">
        <f t="shared" si="2"/>
        <v>2.4620193825305199</v>
      </c>
      <c r="F29" s="138">
        <f t="shared" si="3"/>
        <v>4.9240387650610398</v>
      </c>
      <c r="G29" s="93">
        <f t="shared" si="4"/>
        <v>73.72666365503018</v>
      </c>
      <c r="K29" s="137" t="s">
        <v>259</v>
      </c>
      <c r="L29" s="137" t="s">
        <v>89</v>
      </c>
      <c r="M29" t="s">
        <v>269</v>
      </c>
      <c r="N29" t="s">
        <v>270</v>
      </c>
    </row>
    <row r="30" spans="2:14" x14ac:dyDescent="0.25">
      <c r="B30" s="92">
        <v>85</v>
      </c>
      <c r="C30" s="93">
        <f t="shared" si="0"/>
        <v>1.4835298641951802</v>
      </c>
      <c r="D30" s="93">
        <f t="shared" si="1"/>
        <v>0.21788935686914535</v>
      </c>
      <c r="E30" s="93">
        <f t="shared" si="2"/>
        <v>2.4904867452293638</v>
      </c>
      <c r="F30" s="138">
        <f t="shared" si="3"/>
        <v>4.9809734904587275</v>
      </c>
      <c r="G30" s="93">
        <f t="shared" si="4"/>
        <v>148.59067993589753</v>
      </c>
      <c r="K30" s="92">
        <v>5</v>
      </c>
      <c r="L30" s="93">
        <f>K30*PI()/180</f>
        <v>8.7266462599716474E-2</v>
      </c>
      <c r="M30" s="8">
        <f>-COS(L30)*$K$25</f>
        <v>-4.9809734904587275</v>
      </c>
      <c r="N30" s="7">
        <f>SIN(L30)*$K$25</f>
        <v>0.4357787137382908</v>
      </c>
    </row>
    <row r="31" spans="2:14" x14ac:dyDescent="0.25">
      <c r="B31" s="92">
        <v>89</v>
      </c>
      <c r="C31" s="93">
        <f t="shared" si="0"/>
        <v>1.5533430342749535</v>
      </c>
      <c r="D31" s="93">
        <f t="shared" si="1"/>
        <v>4.3631016093208443E-2</v>
      </c>
      <c r="E31" s="93">
        <f t="shared" si="2"/>
        <v>2.4996192378909781</v>
      </c>
      <c r="F31" s="138">
        <f t="shared" si="3"/>
        <v>4.9992384757819561</v>
      </c>
      <c r="G31" s="93">
        <f t="shared" si="4"/>
        <v>744.76950119987839</v>
      </c>
      <c r="K31" s="92">
        <v>45</v>
      </c>
      <c r="L31" s="93">
        <f t="shared" ref="L31:L36" si="5">K31*PI()/180</f>
        <v>0.78539816339744828</v>
      </c>
      <c r="M31" s="8">
        <f t="shared" ref="M31:M36" si="6">-COS(L31)*$K$25</f>
        <v>-3.5355339059327378</v>
      </c>
      <c r="N31" s="7">
        <f t="shared" ref="N31:N36" si="7">SIN(L31)*$K$25</f>
        <v>3.5355339059327373</v>
      </c>
    </row>
    <row r="32" spans="2:14" x14ac:dyDescent="0.25">
      <c r="E32" s="139" t="s">
        <v>264</v>
      </c>
      <c r="F32" s="8">
        <f>F31-F22</f>
        <v>1.4637045698492188</v>
      </c>
      <c r="K32" s="92">
        <v>60</v>
      </c>
      <c r="L32" s="93">
        <f t="shared" si="5"/>
        <v>1.0471975511965976</v>
      </c>
      <c r="M32" s="8">
        <f t="shared" si="6"/>
        <v>-2.5000000000000004</v>
      </c>
      <c r="N32" s="7">
        <f t="shared" si="7"/>
        <v>4.3301270189221928</v>
      </c>
    </row>
    <row r="33" spans="11:14" x14ac:dyDescent="0.25">
      <c r="K33" s="92">
        <v>90</v>
      </c>
      <c r="L33" s="93">
        <f t="shared" si="5"/>
        <v>1.5707963267948966</v>
      </c>
      <c r="M33" s="8">
        <f t="shared" si="6"/>
        <v>-3.06287113727155E-16</v>
      </c>
      <c r="N33" s="7">
        <f t="shared" si="7"/>
        <v>5</v>
      </c>
    </row>
    <row r="34" spans="11:14" x14ac:dyDescent="0.25">
      <c r="K34" s="92">
        <v>120</v>
      </c>
      <c r="L34" s="93">
        <f t="shared" si="5"/>
        <v>2.0943951023931953</v>
      </c>
      <c r="M34" s="8">
        <f t="shared" si="6"/>
        <v>2.4999999999999991</v>
      </c>
      <c r="N34" s="7">
        <f t="shared" si="7"/>
        <v>4.3301270189221936</v>
      </c>
    </row>
    <row r="35" spans="11:14" x14ac:dyDescent="0.25">
      <c r="K35" s="92">
        <v>135</v>
      </c>
      <c r="L35" s="93">
        <f t="shared" si="5"/>
        <v>2.3561944901923448</v>
      </c>
      <c r="M35" s="8">
        <f t="shared" si="6"/>
        <v>3.5355339059327373</v>
      </c>
      <c r="N35" s="7">
        <f t="shared" si="7"/>
        <v>3.5355339059327378</v>
      </c>
    </row>
    <row r="36" spans="11:14" x14ac:dyDescent="0.25">
      <c r="K36" s="92">
        <v>175</v>
      </c>
      <c r="L36" s="93">
        <f t="shared" si="5"/>
        <v>3.0543261909900763</v>
      </c>
      <c r="M36" s="8">
        <f t="shared" si="6"/>
        <v>4.9809734904587275</v>
      </c>
      <c r="N36" s="7">
        <f t="shared" si="7"/>
        <v>0.43577871373829319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2" r:id="rId4" name="Button 4">
              <controlPr defaultSize="0" print="0" autoFill="0" autoPict="0" macro="[0]!TOC">
                <anchor moveWithCells="1" sizeWithCells="1">
                  <from>
                    <xdr:col>7</xdr:col>
                    <xdr:colOff>561975</xdr:colOff>
                    <xdr:row>0</xdr:row>
                    <xdr:rowOff>9525</xdr:rowOff>
                  </from>
                  <to>
                    <xdr:col>9</xdr:col>
                    <xdr:colOff>9525</xdr:colOff>
                    <xdr:row>0</xdr:row>
                    <xdr:rowOff>219075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G68"/>
  <sheetViews>
    <sheetView showGridLines="0" workbookViewId="0">
      <selection activeCell="E22" sqref="E22"/>
    </sheetView>
  </sheetViews>
  <sheetFormatPr defaultRowHeight="15" x14ac:dyDescent="0.25"/>
  <cols>
    <col min="2" max="2" width="15.5703125" customWidth="1"/>
    <col min="10" max="10" width="10.42578125" customWidth="1"/>
    <col min="27" max="27" width="9.140625" style="207"/>
    <col min="258" max="258" width="15.5703125" customWidth="1"/>
    <col min="266" max="266" width="10.42578125" customWidth="1"/>
    <col min="514" max="514" width="15.5703125" customWidth="1"/>
    <col min="522" max="522" width="10.42578125" customWidth="1"/>
    <col min="770" max="770" width="15.5703125" customWidth="1"/>
    <col min="778" max="778" width="10.42578125" customWidth="1"/>
    <col min="1026" max="1026" width="15.5703125" customWidth="1"/>
    <col min="1034" max="1034" width="10.42578125" customWidth="1"/>
    <col min="1282" max="1282" width="15.5703125" customWidth="1"/>
    <col min="1290" max="1290" width="10.42578125" customWidth="1"/>
    <col min="1538" max="1538" width="15.5703125" customWidth="1"/>
    <col min="1546" max="1546" width="10.42578125" customWidth="1"/>
    <col min="1794" max="1794" width="15.5703125" customWidth="1"/>
    <col min="1802" max="1802" width="10.42578125" customWidth="1"/>
    <col min="2050" max="2050" width="15.5703125" customWidth="1"/>
    <col min="2058" max="2058" width="10.42578125" customWidth="1"/>
    <col min="2306" max="2306" width="15.5703125" customWidth="1"/>
    <col min="2314" max="2314" width="10.42578125" customWidth="1"/>
    <col min="2562" max="2562" width="15.5703125" customWidth="1"/>
    <col min="2570" max="2570" width="10.42578125" customWidth="1"/>
    <col min="2818" max="2818" width="15.5703125" customWidth="1"/>
    <col min="2826" max="2826" width="10.42578125" customWidth="1"/>
    <col min="3074" max="3074" width="15.5703125" customWidth="1"/>
    <col min="3082" max="3082" width="10.42578125" customWidth="1"/>
    <col min="3330" max="3330" width="15.5703125" customWidth="1"/>
    <col min="3338" max="3338" width="10.42578125" customWidth="1"/>
    <col min="3586" max="3586" width="15.5703125" customWidth="1"/>
    <col min="3594" max="3594" width="10.42578125" customWidth="1"/>
    <col min="3842" max="3842" width="15.5703125" customWidth="1"/>
    <col min="3850" max="3850" width="10.42578125" customWidth="1"/>
    <col min="4098" max="4098" width="15.5703125" customWidth="1"/>
    <col min="4106" max="4106" width="10.42578125" customWidth="1"/>
    <col min="4354" max="4354" width="15.5703125" customWidth="1"/>
    <col min="4362" max="4362" width="10.42578125" customWidth="1"/>
    <col min="4610" max="4610" width="15.5703125" customWidth="1"/>
    <col min="4618" max="4618" width="10.42578125" customWidth="1"/>
    <col min="4866" max="4866" width="15.5703125" customWidth="1"/>
    <col min="4874" max="4874" width="10.42578125" customWidth="1"/>
    <col min="5122" max="5122" width="15.5703125" customWidth="1"/>
    <col min="5130" max="5130" width="10.42578125" customWidth="1"/>
    <col min="5378" max="5378" width="15.5703125" customWidth="1"/>
    <col min="5386" max="5386" width="10.42578125" customWidth="1"/>
    <col min="5634" max="5634" width="15.5703125" customWidth="1"/>
    <col min="5642" max="5642" width="10.42578125" customWidth="1"/>
    <col min="5890" max="5890" width="15.5703125" customWidth="1"/>
    <col min="5898" max="5898" width="10.42578125" customWidth="1"/>
    <col min="6146" max="6146" width="15.5703125" customWidth="1"/>
    <col min="6154" max="6154" width="10.42578125" customWidth="1"/>
    <col min="6402" max="6402" width="15.5703125" customWidth="1"/>
    <col min="6410" max="6410" width="10.42578125" customWidth="1"/>
    <col min="6658" max="6658" width="15.5703125" customWidth="1"/>
    <col min="6666" max="6666" width="10.42578125" customWidth="1"/>
    <col min="6914" max="6914" width="15.5703125" customWidth="1"/>
    <col min="6922" max="6922" width="10.42578125" customWidth="1"/>
    <col min="7170" max="7170" width="15.5703125" customWidth="1"/>
    <col min="7178" max="7178" width="10.42578125" customWidth="1"/>
    <col min="7426" max="7426" width="15.5703125" customWidth="1"/>
    <col min="7434" max="7434" width="10.42578125" customWidth="1"/>
    <col min="7682" max="7682" width="15.5703125" customWidth="1"/>
    <col min="7690" max="7690" width="10.42578125" customWidth="1"/>
    <col min="7938" max="7938" width="15.5703125" customWidth="1"/>
    <col min="7946" max="7946" width="10.42578125" customWidth="1"/>
    <col min="8194" max="8194" width="15.5703125" customWidth="1"/>
    <col min="8202" max="8202" width="10.42578125" customWidth="1"/>
    <col min="8450" max="8450" width="15.5703125" customWidth="1"/>
    <col min="8458" max="8458" width="10.42578125" customWidth="1"/>
    <col min="8706" max="8706" width="15.5703125" customWidth="1"/>
    <col min="8714" max="8714" width="10.42578125" customWidth="1"/>
    <col min="8962" max="8962" width="15.5703125" customWidth="1"/>
    <col min="8970" max="8970" width="10.42578125" customWidth="1"/>
    <col min="9218" max="9218" width="15.5703125" customWidth="1"/>
    <col min="9226" max="9226" width="10.42578125" customWidth="1"/>
    <col min="9474" max="9474" width="15.5703125" customWidth="1"/>
    <col min="9482" max="9482" width="10.42578125" customWidth="1"/>
    <col min="9730" max="9730" width="15.5703125" customWidth="1"/>
    <col min="9738" max="9738" width="10.42578125" customWidth="1"/>
    <col min="9986" max="9986" width="15.5703125" customWidth="1"/>
    <col min="9994" max="9994" width="10.42578125" customWidth="1"/>
    <col min="10242" max="10242" width="15.5703125" customWidth="1"/>
    <col min="10250" max="10250" width="10.42578125" customWidth="1"/>
    <col min="10498" max="10498" width="15.5703125" customWidth="1"/>
    <col min="10506" max="10506" width="10.42578125" customWidth="1"/>
    <col min="10754" max="10754" width="15.5703125" customWidth="1"/>
    <col min="10762" max="10762" width="10.42578125" customWidth="1"/>
    <col min="11010" max="11010" width="15.5703125" customWidth="1"/>
    <col min="11018" max="11018" width="10.42578125" customWidth="1"/>
    <col min="11266" max="11266" width="15.5703125" customWidth="1"/>
    <col min="11274" max="11274" width="10.42578125" customWidth="1"/>
    <col min="11522" max="11522" width="15.5703125" customWidth="1"/>
    <col min="11530" max="11530" width="10.42578125" customWidth="1"/>
    <col min="11778" max="11778" width="15.5703125" customWidth="1"/>
    <col min="11786" max="11786" width="10.42578125" customWidth="1"/>
    <col min="12034" max="12034" width="15.5703125" customWidth="1"/>
    <col min="12042" max="12042" width="10.42578125" customWidth="1"/>
    <col min="12290" max="12290" width="15.5703125" customWidth="1"/>
    <col min="12298" max="12298" width="10.42578125" customWidth="1"/>
    <col min="12546" max="12546" width="15.5703125" customWidth="1"/>
    <col min="12554" max="12554" width="10.42578125" customWidth="1"/>
    <col min="12802" max="12802" width="15.5703125" customWidth="1"/>
    <col min="12810" max="12810" width="10.42578125" customWidth="1"/>
    <col min="13058" max="13058" width="15.5703125" customWidth="1"/>
    <col min="13066" max="13066" width="10.42578125" customWidth="1"/>
    <col min="13314" max="13314" width="15.5703125" customWidth="1"/>
    <col min="13322" max="13322" width="10.42578125" customWidth="1"/>
    <col min="13570" max="13570" width="15.5703125" customWidth="1"/>
    <col min="13578" max="13578" width="10.42578125" customWidth="1"/>
    <col min="13826" max="13826" width="15.5703125" customWidth="1"/>
    <col min="13834" max="13834" width="10.42578125" customWidth="1"/>
    <col min="14082" max="14082" width="15.5703125" customWidth="1"/>
    <col min="14090" max="14090" width="10.42578125" customWidth="1"/>
    <col min="14338" max="14338" width="15.5703125" customWidth="1"/>
    <col min="14346" max="14346" width="10.42578125" customWidth="1"/>
    <col min="14594" max="14594" width="15.5703125" customWidth="1"/>
    <col min="14602" max="14602" width="10.42578125" customWidth="1"/>
    <col min="14850" max="14850" width="15.5703125" customWidth="1"/>
    <col min="14858" max="14858" width="10.42578125" customWidth="1"/>
    <col min="15106" max="15106" width="15.5703125" customWidth="1"/>
    <col min="15114" max="15114" width="10.42578125" customWidth="1"/>
    <col min="15362" max="15362" width="15.5703125" customWidth="1"/>
    <col min="15370" max="15370" width="10.42578125" customWidth="1"/>
    <col min="15618" max="15618" width="15.5703125" customWidth="1"/>
    <col min="15626" max="15626" width="10.42578125" customWidth="1"/>
    <col min="15874" max="15874" width="15.5703125" customWidth="1"/>
    <col min="15882" max="15882" width="10.42578125" customWidth="1"/>
    <col min="16130" max="16130" width="15.5703125" customWidth="1"/>
    <col min="16138" max="16138" width="10.42578125" customWidth="1"/>
  </cols>
  <sheetData>
    <row r="1" spans="1:33" ht="18" x14ac:dyDescent="0.25">
      <c r="A1" s="2" t="s">
        <v>274</v>
      </c>
      <c r="J1" s="51" t="s">
        <v>394</v>
      </c>
      <c r="AA1"/>
    </row>
    <row r="2" spans="1:33" x14ac:dyDescent="0.25">
      <c r="AB2" s="823" t="s">
        <v>346</v>
      </c>
      <c r="AC2" s="823"/>
      <c r="AD2" s="823" t="s">
        <v>347</v>
      </c>
      <c r="AE2" s="823"/>
      <c r="AF2" s="823" t="s">
        <v>348</v>
      </c>
      <c r="AG2" s="823"/>
    </row>
    <row r="3" spans="1:33" ht="15.75" thickBot="1" x14ac:dyDescent="0.3">
      <c r="B3" t="s">
        <v>349</v>
      </c>
      <c r="C3" s="1" t="s">
        <v>350</v>
      </c>
      <c r="D3" s="1" t="s">
        <v>351</v>
      </c>
      <c r="E3" s="1" t="s">
        <v>352</v>
      </c>
      <c r="F3" s="1" t="s">
        <v>353</v>
      </c>
      <c r="AA3" s="207" t="s">
        <v>354</v>
      </c>
      <c r="AB3" s="1" t="s">
        <v>355</v>
      </c>
      <c r="AC3" s="1" t="s">
        <v>356</v>
      </c>
      <c r="AD3" s="1" t="s">
        <v>355</v>
      </c>
      <c r="AE3" s="1" t="s">
        <v>357</v>
      </c>
      <c r="AF3" s="1" t="s">
        <v>356</v>
      </c>
      <c r="AG3" s="1" t="s">
        <v>357</v>
      </c>
    </row>
    <row r="4" spans="1:33" x14ac:dyDescent="0.25">
      <c r="B4" s="208" t="s">
        <v>358</v>
      </c>
      <c r="C4" s="236">
        <v>39</v>
      </c>
      <c r="D4" s="236">
        <v>28</v>
      </c>
      <c r="E4" s="236">
        <v>60</v>
      </c>
      <c r="F4" s="236">
        <v>120</v>
      </c>
      <c r="G4" t="s">
        <v>359</v>
      </c>
      <c r="AA4" s="207" t="str">
        <f>B4</f>
        <v>Inspection Box</v>
      </c>
      <c r="AB4" s="209">
        <v>0</v>
      </c>
      <c r="AC4" s="112">
        <v>0</v>
      </c>
      <c r="AD4" s="210">
        <v>0</v>
      </c>
      <c r="AE4" s="210">
        <v>0</v>
      </c>
      <c r="AF4" s="112">
        <v>0</v>
      </c>
      <c r="AG4" s="211">
        <v>0</v>
      </c>
    </row>
    <row r="5" spans="1:33" x14ac:dyDescent="0.25">
      <c r="AB5" s="151">
        <f>C4</f>
        <v>39</v>
      </c>
      <c r="AC5" s="4">
        <v>0</v>
      </c>
      <c r="AD5" s="212">
        <f>C4</f>
        <v>39</v>
      </c>
      <c r="AE5" s="212">
        <v>0</v>
      </c>
      <c r="AF5" s="4">
        <f>D4</f>
        <v>28</v>
      </c>
      <c r="AG5" s="153">
        <v>0</v>
      </c>
    </row>
    <row r="6" spans="1:33" ht="15.75" thickBot="1" x14ac:dyDescent="0.3">
      <c r="C6" s="824" t="s">
        <v>360</v>
      </c>
      <c r="D6" s="824"/>
      <c r="E6" s="824"/>
      <c r="F6" s="824" t="s">
        <v>361</v>
      </c>
      <c r="G6" s="824"/>
      <c r="H6" s="824"/>
      <c r="O6" t="s">
        <v>362</v>
      </c>
      <c r="AB6" s="151">
        <f>C4</f>
        <v>39</v>
      </c>
      <c r="AC6" s="4">
        <f>D4</f>
        <v>28</v>
      </c>
      <c r="AD6" s="212">
        <f>C4</f>
        <v>39</v>
      </c>
      <c r="AE6" s="212">
        <f>E4</f>
        <v>60</v>
      </c>
      <c r="AF6" s="4">
        <f>D4</f>
        <v>28</v>
      </c>
      <c r="AG6" s="153">
        <f>E4</f>
        <v>60</v>
      </c>
    </row>
    <row r="7" spans="1:33" ht="45.75" thickBot="1" x14ac:dyDescent="0.3">
      <c r="B7" t="s">
        <v>363</v>
      </c>
      <c r="C7" s="213" t="s">
        <v>355</v>
      </c>
      <c r="D7" s="214" t="s">
        <v>356</v>
      </c>
      <c r="E7" s="215" t="s">
        <v>357</v>
      </c>
      <c r="F7" s="213" t="s">
        <v>364</v>
      </c>
      <c r="G7" s="214" t="s">
        <v>365</v>
      </c>
      <c r="H7" s="215" t="s">
        <v>366</v>
      </c>
      <c r="I7" s="213" t="s">
        <v>353</v>
      </c>
      <c r="J7" s="216" t="s">
        <v>367</v>
      </c>
      <c r="O7" s="217" t="s">
        <v>368</v>
      </c>
      <c r="P7" s="218" t="s">
        <v>369</v>
      </c>
      <c r="Q7" s="219" t="s">
        <v>370</v>
      </c>
      <c r="AB7" s="151">
        <v>0</v>
      </c>
      <c r="AC7" s="4">
        <f>D4</f>
        <v>28</v>
      </c>
      <c r="AD7" s="212">
        <v>0</v>
      </c>
      <c r="AE7" s="212">
        <f>E4</f>
        <v>60</v>
      </c>
      <c r="AF7" s="4">
        <v>0</v>
      </c>
      <c r="AG7" s="153">
        <f>E4</f>
        <v>60</v>
      </c>
    </row>
    <row r="8" spans="1:33" ht="15.75" thickBot="1" x14ac:dyDescent="0.3">
      <c r="B8" s="237" t="s">
        <v>371</v>
      </c>
      <c r="C8" s="238">
        <v>0</v>
      </c>
      <c r="D8" s="236">
        <v>0</v>
      </c>
      <c r="E8" s="239">
        <v>0</v>
      </c>
      <c r="F8" s="238">
        <v>39</v>
      </c>
      <c r="G8" s="236">
        <v>28</v>
      </c>
      <c r="H8" s="239">
        <v>13</v>
      </c>
      <c r="I8" s="240">
        <v>25</v>
      </c>
      <c r="J8" s="220">
        <f>I8/$I$20</f>
        <v>0.20833333333333334</v>
      </c>
      <c r="O8" s="221">
        <f>(F8/2)+C8</f>
        <v>19.5</v>
      </c>
      <c r="P8" s="71">
        <f t="shared" ref="P8:Q19" si="0">(G8/2)+D8</f>
        <v>14</v>
      </c>
      <c r="Q8" s="222">
        <f t="shared" si="0"/>
        <v>6.5</v>
      </c>
      <c r="AB8" s="194">
        <v>0</v>
      </c>
      <c r="AC8" s="195">
        <v>0</v>
      </c>
      <c r="AD8" s="223">
        <v>0</v>
      </c>
      <c r="AE8" s="223">
        <v>0</v>
      </c>
      <c r="AF8" s="195">
        <v>0</v>
      </c>
      <c r="AG8" s="196">
        <v>0</v>
      </c>
    </row>
    <row r="9" spans="1:33" x14ac:dyDescent="0.25">
      <c r="B9" s="237" t="s">
        <v>372</v>
      </c>
      <c r="C9" s="238">
        <v>7.5</v>
      </c>
      <c r="D9" s="236">
        <v>5</v>
      </c>
      <c r="E9" s="239">
        <v>10</v>
      </c>
      <c r="F9" s="238">
        <v>24</v>
      </c>
      <c r="G9" s="236">
        <v>18</v>
      </c>
      <c r="H9" s="239">
        <v>4</v>
      </c>
      <c r="I9" s="240">
        <v>10</v>
      </c>
      <c r="J9" s="220">
        <f t="shared" ref="J9:J19" si="1">I9/$I$20</f>
        <v>8.3333333333333329E-2</v>
      </c>
      <c r="O9" s="224">
        <f t="shared" ref="O9:O19" si="2">(F9/2)+C9</f>
        <v>19.5</v>
      </c>
      <c r="P9" s="3">
        <f t="shared" si="0"/>
        <v>14</v>
      </c>
      <c r="Q9" s="225">
        <f t="shared" si="0"/>
        <v>12</v>
      </c>
      <c r="AA9" s="207" t="str">
        <f>B8</f>
        <v>Drivetrain</v>
      </c>
      <c r="AB9" s="209">
        <f>INDEX(X,MATCH(AA9,System_Name,0))</f>
        <v>0</v>
      </c>
      <c r="AC9" s="112">
        <f>INDEX(Y,MATCH(AA9,System_Name,0))</f>
        <v>0</v>
      </c>
      <c r="AD9" s="210">
        <f>INDEX(X,MATCH(AA9,System_Name,0))</f>
        <v>0</v>
      </c>
      <c r="AE9" s="210">
        <f>INDEX(Z,MATCH(AA9,System_Name,0))</f>
        <v>0</v>
      </c>
      <c r="AF9" s="112">
        <f>INDEX(Y,MATCH(AA9,System_Name,0))</f>
        <v>0</v>
      </c>
      <c r="AG9" s="211">
        <f>INDEX(Z,MATCH(AA9,System_Name,0))</f>
        <v>0</v>
      </c>
    </row>
    <row r="10" spans="1:33" x14ac:dyDescent="0.25">
      <c r="B10" s="237" t="s">
        <v>373</v>
      </c>
      <c r="C10" s="238">
        <v>10.5</v>
      </c>
      <c r="D10" s="236">
        <v>0</v>
      </c>
      <c r="E10" s="239">
        <v>14</v>
      </c>
      <c r="F10" s="238">
        <v>18</v>
      </c>
      <c r="G10" s="236">
        <v>28</v>
      </c>
      <c r="H10" s="239">
        <v>36</v>
      </c>
      <c r="I10" s="240">
        <v>20</v>
      </c>
      <c r="J10" s="220">
        <f t="shared" si="1"/>
        <v>0.16666666666666666</v>
      </c>
      <c r="O10" s="224">
        <f t="shared" si="2"/>
        <v>19.5</v>
      </c>
      <c r="P10" s="3">
        <f t="shared" si="0"/>
        <v>14</v>
      </c>
      <c r="Q10" s="225">
        <f t="shared" si="0"/>
        <v>32</v>
      </c>
      <c r="AB10" s="151">
        <f>INDEX(X,MATCH(AA9,System_Name,0))+INDEX(dX,MATCH(AA9,System_Name,0))</f>
        <v>39</v>
      </c>
      <c r="AC10" s="4">
        <f>INDEX(Y,MATCH(AA9,System_Name,0))</f>
        <v>0</v>
      </c>
      <c r="AD10" s="212">
        <f>INDEX(X,MATCH(AA9,System_Name,0))+INDEX(dX,MATCH(AA9,System_Name,0))</f>
        <v>39</v>
      </c>
      <c r="AE10" s="212">
        <f>INDEX(Z,MATCH(AA9,System_Name,0))</f>
        <v>0</v>
      </c>
      <c r="AF10" s="4">
        <f>INDEX(Y,MATCH(AA9,System_Name,0))+INDEX(dY,MATCH(AA9,System_Name,0))</f>
        <v>28</v>
      </c>
      <c r="AG10" s="153">
        <f>INDEX(Z,MATCH(AA9,System_Name,0))</f>
        <v>0</v>
      </c>
    </row>
    <row r="11" spans="1:33" x14ac:dyDescent="0.25">
      <c r="B11" s="237" t="s">
        <v>374</v>
      </c>
      <c r="C11" s="238">
        <v>28.5</v>
      </c>
      <c r="D11" s="236">
        <v>11</v>
      </c>
      <c r="E11" s="239">
        <v>26</v>
      </c>
      <c r="F11" s="238">
        <v>12</v>
      </c>
      <c r="G11" s="236">
        <v>6</v>
      </c>
      <c r="H11" s="239">
        <v>24</v>
      </c>
      <c r="I11" s="240">
        <v>20</v>
      </c>
      <c r="J11" s="220">
        <f t="shared" si="1"/>
        <v>0.16666666666666666</v>
      </c>
      <c r="O11" s="224">
        <f t="shared" si="2"/>
        <v>34.5</v>
      </c>
      <c r="P11" s="3">
        <f t="shared" si="0"/>
        <v>14</v>
      </c>
      <c r="Q11" s="225">
        <f t="shared" si="0"/>
        <v>38</v>
      </c>
      <c r="AB11" s="151">
        <f>INDEX(X,MATCH(AA9,System_Name,0))+INDEX(dX,MATCH(AA9,System_Name,0))</f>
        <v>39</v>
      </c>
      <c r="AC11" s="4">
        <f>INDEX(Y,MATCH(AA9,System_Name,0))+INDEX(dY,MATCH(AA9,System_Name,0))</f>
        <v>28</v>
      </c>
      <c r="AD11" s="212">
        <f>INDEX(X,MATCH(AA9,System_Name,0))+INDEX(dX,MATCH(AA9,System_Name,0))</f>
        <v>39</v>
      </c>
      <c r="AE11" s="212">
        <f>INDEX(Z,MATCH(AA9,System_Name,0))+INDEX(dZ,MATCH(AA9,System_Name,0))</f>
        <v>13</v>
      </c>
      <c r="AF11" s="4">
        <f>INDEX(Y,MATCH(AA9,System_Name,0))+INDEX(dY,MATCH(AA9,System_Name,0))</f>
        <v>28</v>
      </c>
      <c r="AG11" s="153">
        <f>INDEX(Z,MATCH(AA9,System_Name,0))+INDEX(dZ,MATCH(AA9,System_Name,0))</f>
        <v>13</v>
      </c>
    </row>
    <row r="12" spans="1:33" x14ac:dyDescent="0.25">
      <c r="B12" s="237" t="s">
        <v>375</v>
      </c>
      <c r="C12" s="238">
        <v>0</v>
      </c>
      <c r="D12" s="236">
        <v>24</v>
      </c>
      <c r="E12" s="239">
        <v>14</v>
      </c>
      <c r="F12" s="238">
        <v>39</v>
      </c>
      <c r="G12" s="236">
        <v>4</v>
      </c>
      <c r="H12" s="239">
        <v>36</v>
      </c>
      <c r="I12" s="240">
        <v>20</v>
      </c>
      <c r="J12" s="220">
        <f t="shared" si="1"/>
        <v>0.16666666666666666</v>
      </c>
      <c r="O12" s="224">
        <f t="shared" si="2"/>
        <v>19.5</v>
      </c>
      <c r="P12" s="3">
        <f t="shared" si="0"/>
        <v>26</v>
      </c>
      <c r="Q12" s="225">
        <f t="shared" si="0"/>
        <v>32</v>
      </c>
      <c r="AB12" s="151">
        <f>INDEX(X,MATCH(AA9,System_Name,0))</f>
        <v>0</v>
      </c>
      <c r="AC12" s="4">
        <f>INDEX(Y,MATCH(AA9,System_Name,0))+INDEX(dY,MATCH(AA9,System_Name,0))</f>
        <v>28</v>
      </c>
      <c r="AD12" s="212">
        <f>INDEX(X,MATCH(AA9,System_Name,0))</f>
        <v>0</v>
      </c>
      <c r="AE12" s="212">
        <f>INDEX(Z,MATCH(AA9,System_Name,0))+INDEX(dZ,MATCH(AA9,System_Name,0))</f>
        <v>13</v>
      </c>
      <c r="AF12" s="4">
        <f>INDEX(Y,MATCH(AA9,System_Name,0))</f>
        <v>0</v>
      </c>
      <c r="AG12" s="153">
        <f>INDEX(Z,MATCH(AA9,System_Name,0))+INDEX(dZ,MATCH(AA9,System_Name,0))</f>
        <v>13</v>
      </c>
    </row>
    <row r="13" spans="1:33" ht="15.75" thickBot="1" x14ac:dyDescent="0.3">
      <c r="B13" s="237" t="s">
        <v>376</v>
      </c>
      <c r="C13" s="238">
        <v>0</v>
      </c>
      <c r="D13" s="236">
        <v>0</v>
      </c>
      <c r="E13" s="239">
        <v>14</v>
      </c>
      <c r="F13" s="238">
        <v>39</v>
      </c>
      <c r="G13" s="236">
        <v>4</v>
      </c>
      <c r="H13" s="239">
        <v>36</v>
      </c>
      <c r="I13" s="240">
        <v>20</v>
      </c>
      <c r="J13" s="220">
        <f t="shared" si="1"/>
        <v>0.16666666666666666</v>
      </c>
      <c r="O13" s="224">
        <f t="shared" si="2"/>
        <v>19.5</v>
      </c>
      <c r="P13" s="3">
        <f t="shared" si="0"/>
        <v>2</v>
      </c>
      <c r="Q13" s="225">
        <f t="shared" si="0"/>
        <v>32</v>
      </c>
      <c r="AB13" s="194">
        <f>INDEX(X,MATCH(AA9,System_Name,0))</f>
        <v>0</v>
      </c>
      <c r="AC13" s="195">
        <f>INDEX(Y,MATCH(AA9,System_Name,0))</f>
        <v>0</v>
      </c>
      <c r="AD13" s="223">
        <f>INDEX(X,MATCH(AA9,System_Name,0))</f>
        <v>0</v>
      </c>
      <c r="AE13" s="223">
        <f>INDEX(Z,MATCH(AA9,System_Name,0))</f>
        <v>0</v>
      </c>
      <c r="AF13" s="195">
        <f>INDEX(Y,MATCH(AA9,System_Name,0))</f>
        <v>0</v>
      </c>
      <c r="AG13" s="196">
        <f>INDEX(Z,MATCH(AA9,System_Name,0))</f>
        <v>0</v>
      </c>
    </row>
    <row r="14" spans="1:33" x14ac:dyDescent="0.25">
      <c r="B14" s="237" t="s">
        <v>377</v>
      </c>
      <c r="C14" s="238">
        <v>33</v>
      </c>
      <c r="D14" s="236">
        <v>2</v>
      </c>
      <c r="E14" s="239">
        <v>36</v>
      </c>
      <c r="F14" s="238">
        <v>6</v>
      </c>
      <c r="G14" s="236">
        <v>24</v>
      </c>
      <c r="H14" s="239">
        <v>12</v>
      </c>
      <c r="I14" s="240">
        <v>5</v>
      </c>
      <c r="J14" s="220">
        <f t="shared" si="1"/>
        <v>4.1666666666666664E-2</v>
      </c>
      <c r="O14" s="224">
        <f t="shared" si="2"/>
        <v>36</v>
      </c>
      <c r="P14" s="3">
        <f t="shared" si="0"/>
        <v>14</v>
      </c>
      <c r="Q14" s="225">
        <f t="shared" si="0"/>
        <v>42</v>
      </c>
      <c r="AA14" s="207" t="str">
        <f>B9</f>
        <v>Electronics Board</v>
      </c>
      <c r="AB14" s="209">
        <f>INDEX(X,MATCH(AA14,System_Name,0))</f>
        <v>7.5</v>
      </c>
      <c r="AC14" s="112">
        <f>INDEX(Y,MATCH(AA14,System_Name,0))</f>
        <v>5</v>
      </c>
      <c r="AD14" s="210">
        <f>INDEX(X,MATCH(AA14,System_Name,0))</f>
        <v>7.5</v>
      </c>
      <c r="AE14" s="210">
        <f>INDEX(Z,MATCH(AA14,System_Name,0))</f>
        <v>10</v>
      </c>
      <c r="AF14" s="112">
        <f>INDEX(Y,MATCH(AA14,System_Name,0))</f>
        <v>5</v>
      </c>
      <c r="AG14" s="211">
        <f>INDEX(Z,MATCH(AA14,System_Name,0))</f>
        <v>10</v>
      </c>
    </row>
    <row r="15" spans="1:33" x14ac:dyDescent="0.25">
      <c r="B15" s="237" t="s">
        <v>378</v>
      </c>
      <c r="C15" s="238"/>
      <c r="D15" s="236"/>
      <c r="E15" s="239"/>
      <c r="F15" s="238"/>
      <c r="G15" s="236"/>
      <c r="H15" s="239"/>
      <c r="I15" s="240">
        <v>0</v>
      </c>
      <c r="J15" s="220">
        <f t="shared" si="1"/>
        <v>0</v>
      </c>
      <c r="O15" s="224">
        <f t="shared" si="2"/>
        <v>0</v>
      </c>
      <c r="P15" s="3">
        <f t="shared" si="0"/>
        <v>0</v>
      </c>
      <c r="Q15" s="225">
        <f t="shared" si="0"/>
        <v>0</v>
      </c>
      <c r="AB15" s="151">
        <f>INDEX(X,MATCH(AA14,System_Name,0))+INDEX(dX,MATCH(AA14,System_Name,0))</f>
        <v>31.5</v>
      </c>
      <c r="AC15" s="4">
        <f>INDEX(Y,MATCH(AA14,System_Name,0))</f>
        <v>5</v>
      </c>
      <c r="AD15" s="212">
        <f>INDEX(X,MATCH(AA14,System_Name,0))+INDEX(dX,MATCH(AA14,System_Name,0))</f>
        <v>31.5</v>
      </c>
      <c r="AE15" s="212">
        <f>INDEX(Z,MATCH(AA14,System_Name,0))</f>
        <v>10</v>
      </c>
      <c r="AF15" s="4">
        <f>INDEX(Y,MATCH(AA14,System_Name,0))+INDEX(dY,MATCH(AA14,System_Name,0))</f>
        <v>23</v>
      </c>
      <c r="AG15" s="153">
        <f>INDEX(Z,MATCH(AA14,System_Name,0))</f>
        <v>10</v>
      </c>
    </row>
    <row r="16" spans="1:33" x14ac:dyDescent="0.25">
      <c r="B16" s="237" t="s">
        <v>379</v>
      </c>
      <c r="C16" s="238"/>
      <c r="D16" s="236"/>
      <c r="E16" s="239"/>
      <c r="F16" s="238"/>
      <c r="G16" s="236"/>
      <c r="H16" s="239"/>
      <c r="I16" s="240">
        <v>0</v>
      </c>
      <c r="J16" s="220">
        <f t="shared" si="1"/>
        <v>0</v>
      </c>
      <c r="O16" s="224">
        <f t="shared" si="2"/>
        <v>0</v>
      </c>
      <c r="P16" s="3">
        <f t="shared" si="0"/>
        <v>0</v>
      </c>
      <c r="Q16" s="225">
        <f t="shared" si="0"/>
        <v>0</v>
      </c>
      <c r="AB16" s="151">
        <f>INDEX(X,MATCH(AA14,System_Name,0))+INDEX(dX,MATCH(AA14,System_Name,0))</f>
        <v>31.5</v>
      </c>
      <c r="AC16" s="4">
        <f>INDEX(Y,MATCH(AA14,System_Name,0))+INDEX(dY,MATCH(AA14,System_Name,0))</f>
        <v>23</v>
      </c>
      <c r="AD16" s="212">
        <f>INDEX(X,MATCH(AA14,System_Name,0))+INDEX(dX,MATCH(AA14,System_Name,0))</f>
        <v>31.5</v>
      </c>
      <c r="AE16" s="212">
        <f>INDEX(Z,MATCH(AA14,System_Name,0))+INDEX(dZ,MATCH(AA14,System_Name,0))</f>
        <v>14</v>
      </c>
      <c r="AF16" s="4">
        <f>INDEX(Y,MATCH(AA14,System_Name,0))+INDEX(dY,MATCH(AA14,System_Name,0))</f>
        <v>23</v>
      </c>
      <c r="AG16" s="153">
        <f>INDEX(Z,MATCH(AA14,System_Name,0))+INDEX(dZ,MATCH(AA14,System_Name,0))</f>
        <v>14</v>
      </c>
    </row>
    <row r="17" spans="2:33" x14ac:dyDescent="0.25">
      <c r="B17" s="237" t="s">
        <v>380</v>
      </c>
      <c r="C17" s="238"/>
      <c r="D17" s="236"/>
      <c r="E17" s="239"/>
      <c r="F17" s="238"/>
      <c r="G17" s="236"/>
      <c r="H17" s="239"/>
      <c r="I17" s="240">
        <v>0</v>
      </c>
      <c r="J17" s="220">
        <f t="shared" si="1"/>
        <v>0</v>
      </c>
      <c r="O17" s="224">
        <f t="shared" si="2"/>
        <v>0</v>
      </c>
      <c r="P17" s="3">
        <f t="shared" si="0"/>
        <v>0</v>
      </c>
      <c r="Q17" s="225">
        <f t="shared" si="0"/>
        <v>0</v>
      </c>
      <c r="AB17" s="151">
        <f>INDEX(X,MATCH(AA14,System_Name,0))</f>
        <v>7.5</v>
      </c>
      <c r="AC17" s="4">
        <f>INDEX(Y,MATCH(AA14,System_Name,0))+INDEX(dY,MATCH(AA14,System_Name,0))</f>
        <v>23</v>
      </c>
      <c r="AD17" s="212">
        <f>INDEX(X,MATCH(AA14,System_Name,0))</f>
        <v>7.5</v>
      </c>
      <c r="AE17" s="212">
        <f>INDEX(Z,MATCH(AA14,System_Name,0))+INDEX(dZ,MATCH(AA14,System_Name,0))</f>
        <v>14</v>
      </c>
      <c r="AF17" s="4">
        <f>INDEX(Y,MATCH(AA14,System_Name,0))</f>
        <v>5</v>
      </c>
      <c r="AG17" s="153">
        <f>INDEX(Z,MATCH(AA14,System_Name,0))+INDEX(dZ,MATCH(AA14,System_Name,0))</f>
        <v>14</v>
      </c>
    </row>
    <row r="18" spans="2:33" ht="15.75" thickBot="1" x14ac:dyDescent="0.3">
      <c r="B18" s="237" t="s">
        <v>381</v>
      </c>
      <c r="C18" s="238"/>
      <c r="D18" s="236"/>
      <c r="E18" s="239"/>
      <c r="F18" s="238"/>
      <c r="G18" s="236"/>
      <c r="H18" s="239"/>
      <c r="I18" s="240">
        <v>0</v>
      </c>
      <c r="J18" s="220">
        <f t="shared" si="1"/>
        <v>0</v>
      </c>
      <c r="O18" s="224">
        <f t="shared" si="2"/>
        <v>0</v>
      </c>
      <c r="P18" s="3">
        <f t="shared" si="0"/>
        <v>0</v>
      </c>
      <c r="Q18" s="225">
        <f t="shared" si="0"/>
        <v>0</v>
      </c>
      <c r="AB18" s="194">
        <f>INDEX(X,MATCH(AA14,System_Name,0))</f>
        <v>7.5</v>
      </c>
      <c r="AC18" s="195">
        <f>INDEX(Y,MATCH(AA14,System_Name,0))</f>
        <v>5</v>
      </c>
      <c r="AD18" s="223">
        <f>INDEX(X,MATCH(AA14,System_Name,0))</f>
        <v>7.5</v>
      </c>
      <c r="AE18" s="223">
        <f>INDEX(Z,MATCH(AA14,System_Name,0))</f>
        <v>10</v>
      </c>
      <c r="AF18" s="195">
        <f>INDEX(Y,MATCH(AA14,System_Name,0))</f>
        <v>5</v>
      </c>
      <c r="AG18" s="196">
        <f>INDEX(Z,MATCH(AA14,System_Name,0))</f>
        <v>10</v>
      </c>
    </row>
    <row r="19" spans="2:33" ht="15.75" thickBot="1" x14ac:dyDescent="0.3">
      <c r="B19" s="237" t="s">
        <v>382</v>
      </c>
      <c r="C19" s="241"/>
      <c r="D19" s="242"/>
      <c r="E19" s="243"/>
      <c r="F19" s="241"/>
      <c r="G19" s="242"/>
      <c r="H19" s="243"/>
      <c r="I19" s="244"/>
      <c r="J19" s="226">
        <f t="shared" si="1"/>
        <v>0</v>
      </c>
      <c r="O19" s="227">
        <f t="shared" si="2"/>
        <v>0</v>
      </c>
      <c r="P19" s="72">
        <f t="shared" si="0"/>
        <v>0</v>
      </c>
      <c r="Q19" s="228">
        <f t="shared" si="0"/>
        <v>0</v>
      </c>
      <c r="AA19" s="207" t="str">
        <f>B10</f>
        <v>Mast</v>
      </c>
      <c r="AB19" s="209">
        <f>INDEX(X,MATCH(AA19,System_Name,0))</f>
        <v>10.5</v>
      </c>
      <c r="AC19" s="112">
        <f>INDEX(Y,MATCH(AA19,System_Name,0))</f>
        <v>0</v>
      </c>
      <c r="AD19" s="210">
        <f>INDEX(X,MATCH(AA19,System_Name,0))</f>
        <v>10.5</v>
      </c>
      <c r="AE19" s="210">
        <f>INDEX(Z,MATCH(AA19,System_Name,0))</f>
        <v>14</v>
      </c>
      <c r="AF19" s="112">
        <f>INDEX(Y,MATCH(AA19,System_Name,0))</f>
        <v>0</v>
      </c>
      <c r="AG19" s="211">
        <f>INDEX(Z,MATCH(AA19,System_Name,0))</f>
        <v>14</v>
      </c>
    </row>
    <row r="20" spans="2:33" x14ac:dyDescent="0.25">
      <c r="H20" s="207" t="s">
        <v>383</v>
      </c>
      <c r="I20" s="3">
        <f>SUM(I8:I19)</f>
        <v>120</v>
      </c>
      <c r="N20" s="207" t="s">
        <v>384</v>
      </c>
      <c r="O20">
        <f t="array" ref="O20">SUM(Weight*O8:O19)/SUM(Weight)</f>
        <v>22.6875</v>
      </c>
      <c r="P20">
        <f t="array" ref="P20">SUM(Weight*P8:P19)/SUM(Weight)</f>
        <v>14</v>
      </c>
      <c r="Q20">
        <f t="array" ref="Q20">SUM(Weight*Q8:Q19)/SUM(Weight)</f>
        <v>26.4375</v>
      </c>
      <c r="AB20" s="151">
        <f>INDEX(X,MATCH(AA19,System_Name,0))+INDEX(dX,MATCH(AA19,System_Name,0))</f>
        <v>28.5</v>
      </c>
      <c r="AC20" s="4">
        <f>INDEX(Y,MATCH(AA19,System_Name,0))</f>
        <v>0</v>
      </c>
      <c r="AD20" s="212">
        <f>INDEX(X,MATCH(AA19,System_Name,0))+INDEX(dX,MATCH(AA19,System_Name,0))</f>
        <v>28.5</v>
      </c>
      <c r="AE20" s="212">
        <f>INDEX(Z,MATCH(AA19,System_Name,0))</f>
        <v>14</v>
      </c>
      <c r="AF20" s="4">
        <f>INDEX(Y,MATCH(AA19,System_Name,0))+INDEX(dY,MATCH(AA19,System_Name,0))</f>
        <v>28</v>
      </c>
      <c r="AG20" s="153">
        <f>INDEX(Z,MATCH(AA19,System_Name,0))</f>
        <v>14</v>
      </c>
    </row>
    <row r="21" spans="2:33" x14ac:dyDescent="0.25">
      <c r="N21" s="207" t="s">
        <v>385</v>
      </c>
      <c r="O21" s="229">
        <f t="array" ref="O21">MIN(X+dX)</f>
        <v>0</v>
      </c>
      <c r="P21" s="230">
        <f t="array" ref="P21">MIN(Y+dY)</f>
        <v>0</v>
      </c>
      <c r="Q21" s="231">
        <f t="array" ref="Q21">MIN(Z+dZ)</f>
        <v>0</v>
      </c>
      <c r="AB21" s="151">
        <f>INDEX(X,MATCH(AA19,System_Name,0))+INDEX(dX,MATCH(AA19,System_Name,0))</f>
        <v>28.5</v>
      </c>
      <c r="AC21" s="4">
        <f>INDEX(Y,MATCH(AA19,System_Name,0))+INDEX(dY,MATCH(AA19,System_Name,0))</f>
        <v>28</v>
      </c>
      <c r="AD21" s="212">
        <f>INDEX(X,MATCH(AA19,System_Name,0))+INDEX(dX,MATCH(AA19,System_Name,0))</f>
        <v>28.5</v>
      </c>
      <c r="AE21" s="212">
        <f>INDEX(Z,MATCH(AA19,System_Name,0))+INDEX(dZ,MATCH(AA19,System_Name,0))</f>
        <v>50</v>
      </c>
      <c r="AF21" s="4">
        <f>INDEX(Y,MATCH(AA19,System_Name,0))+INDEX(dY,MATCH(AA19,System_Name,0))</f>
        <v>28</v>
      </c>
      <c r="AG21" s="153">
        <f>INDEX(Z,MATCH(AA19,System_Name,0))+INDEX(dZ,MATCH(AA19,System_Name,0))</f>
        <v>50</v>
      </c>
    </row>
    <row r="22" spans="2:33" x14ac:dyDescent="0.25">
      <c r="O22" s="232">
        <f t="array" ref="O22">MAX(X+dX)</f>
        <v>40.5</v>
      </c>
      <c r="P22" s="233">
        <f t="array" ref="P22">MAX(Y+dY)</f>
        <v>28</v>
      </c>
      <c r="Q22" s="234">
        <f t="array" ref="Q22">MAX(Z+dZ)</f>
        <v>50</v>
      </c>
      <c r="AB22" s="151">
        <f>INDEX(X,MATCH(AA19,System_Name,0))</f>
        <v>10.5</v>
      </c>
      <c r="AC22" s="4">
        <f>INDEX(Y,MATCH(AA19,System_Name,0))+INDEX(dY,MATCH(AA19,System_Name,0))</f>
        <v>28</v>
      </c>
      <c r="AD22" s="212">
        <f>INDEX(X,MATCH(AA19,System_Name,0))</f>
        <v>10.5</v>
      </c>
      <c r="AE22" s="212">
        <f>INDEX(Z,MATCH(AA19,System_Name,0))+INDEX(dZ,MATCH(AA19,System_Name,0))</f>
        <v>50</v>
      </c>
      <c r="AF22" s="4">
        <f>INDEX(Y,MATCH(AA19,System_Name,0))</f>
        <v>0</v>
      </c>
      <c r="AG22" s="153">
        <f>INDEX(Z,MATCH(AA19,System_Name,0))+INDEX(dZ,MATCH(AA19,System_Name,0))</f>
        <v>50</v>
      </c>
    </row>
    <row r="23" spans="2:33" ht="15.75" thickBot="1" x14ac:dyDescent="0.3">
      <c r="AB23" s="194">
        <f>INDEX(X,MATCH(AA19,System_Name,0))</f>
        <v>10.5</v>
      </c>
      <c r="AC23" s="195">
        <f>INDEX(Y,MATCH(AA19,System_Name,0))</f>
        <v>0</v>
      </c>
      <c r="AD23" s="223">
        <f>INDEX(X,MATCH(AA19,System_Name,0))</f>
        <v>10.5</v>
      </c>
      <c r="AE23" s="223">
        <f>INDEX(Z,MATCH(AA19,System_Name,0))</f>
        <v>14</v>
      </c>
      <c r="AF23" s="195">
        <f>INDEX(Y,MATCH(AA19,System_Name,0))</f>
        <v>0</v>
      </c>
      <c r="AG23" s="196">
        <f>INDEX(Z,MATCH(AA19,System_Name,0))</f>
        <v>14</v>
      </c>
    </row>
    <row r="24" spans="2:33" x14ac:dyDescent="0.25">
      <c r="AA24" s="207" t="str">
        <f>B11</f>
        <v>Arm</v>
      </c>
      <c r="AB24" s="209">
        <f>INDEX(X,MATCH(AA24,System_Name,0))</f>
        <v>28.5</v>
      </c>
      <c r="AC24" s="112">
        <f>INDEX(Y,MATCH(AA24,System_Name,0))</f>
        <v>11</v>
      </c>
      <c r="AD24" s="210">
        <f>INDEX(X,MATCH(AA24,System_Name,0))</f>
        <v>28.5</v>
      </c>
      <c r="AE24" s="210">
        <f>INDEX(Z,MATCH(AA24,System_Name,0))</f>
        <v>26</v>
      </c>
      <c r="AF24" s="112">
        <f>INDEX(Y,MATCH(AA24,System_Name,0))</f>
        <v>11</v>
      </c>
      <c r="AG24" s="211">
        <f>INDEX(Z,MATCH(AA24,System_Name,0))</f>
        <v>26</v>
      </c>
    </row>
    <row r="25" spans="2:33" x14ac:dyDescent="0.25">
      <c r="N25" t="s">
        <v>386</v>
      </c>
      <c r="AB25" s="151">
        <f>INDEX(X,MATCH(AA24,System_Name,0))+INDEX(dX,MATCH(AA24,System_Name,0))</f>
        <v>40.5</v>
      </c>
      <c r="AC25" s="4">
        <f>INDEX(Y,MATCH(AA24,System_Name,0))</f>
        <v>11</v>
      </c>
      <c r="AD25" s="212">
        <f>INDEX(X,MATCH(AA24,System_Name,0))+INDEX(dX,MATCH(AA24,System_Name,0))</f>
        <v>40.5</v>
      </c>
      <c r="AE25" s="212">
        <f>INDEX(Z,MATCH(AA24,System_Name,0))</f>
        <v>26</v>
      </c>
      <c r="AF25" s="4">
        <f>INDEX(Y,MATCH(AA24,System_Name,0))+INDEX(dY,MATCH(AA24,System_Name,0))</f>
        <v>17</v>
      </c>
      <c r="AG25" s="153">
        <f>INDEX(Z,MATCH(AA24,System_Name,0))</f>
        <v>26</v>
      </c>
    </row>
    <row r="26" spans="2:33" x14ac:dyDescent="0.25">
      <c r="N26" s="207" t="s">
        <v>387</v>
      </c>
      <c r="O26">
        <f>90-DEGREES(ATAN(Q20/(O22-O20)))</f>
        <v>33.970468776019523</v>
      </c>
      <c r="P26" t="s">
        <v>3</v>
      </c>
      <c r="AB26" s="151">
        <f>INDEX(X,MATCH(AA24,System_Name,0))+INDEX(dX,MATCH(AA24,System_Name,0))</f>
        <v>40.5</v>
      </c>
      <c r="AC26" s="4">
        <f>INDEX(Y,MATCH(AA24,System_Name,0))+INDEX(dY,MATCH(AA24,System_Name,0))</f>
        <v>17</v>
      </c>
      <c r="AD26" s="212">
        <f>INDEX(X,MATCH(AA24,System_Name,0))+INDEX(dX,MATCH(AA24,System_Name,0))</f>
        <v>40.5</v>
      </c>
      <c r="AE26" s="212">
        <f>INDEX(Z,MATCH(AA24,System_Name,0))+INDEX(dZ,MATCH(AA24,System_Name,0))</f>
        <v>50</v>
      </c>
      <c r="AF26" s="4">
        <f>INDEX(Y,MATCH(AA24,System_Name,0))+INDEX(dY,MATCH(AA24,System_Name,0))</f>
        <v>17</v>
      </c>
      <c r="AG26" s="153">
        <f>INDEX(Z,MATCH(AA24,System_Name,0))+INDEX(dZ,MATCH(AA24,System_Name,0))</f>
        <v>50</v>
      </c>
    </row>
    <row r="27" spans="2:33" x14ac:dyDescent="0.25">
      <c r="N27" s="207" t="s">
        <v>388</v>
      </c>
      <c r="O27">
        <f>90-DEGREES(ATAN(Q20/(O20-O21)))</f>
        <v>40.634742264972068</v>
      </c>
      <c r="P27" t="s">
        <v>3</v>
      </c>
      <c r="AB27" s="151">
        <f>INDEX(X,MATCH(AA24,System_Name,0))</f>
        <v>28.5</v>
      </c>
      <c r="AC27" s="4">
        <f>INDEX(Y,MATCH(AA24,System_Name,0))+INDEX(dY,MATCH(AA24,System_Name,0))</f>
        <v>17</v>
      </c>
      <c r="AD27" s="212">
        <f>INDEX(X,MATCH(AA24,System_Name,0))</f>
        <v>28.5</v>
      </c>
      <c r="AE27" s="212">
        <f>INDEX(Z,MATCH(AA24,System_Name,0))+INDEX(dZ,MATCH(AA24,System_Name,0))</f>
        <v>50</v>
      </c>
      <c r="AF27" s="4">
        <f>INDEX(Y,MATCH(AA24,System_Name,0))</f>
        <v>11</v>
      </c>
      <c r="AG27" s="153">
        <f>INDEX(Z,MATCH(AA24,System_Name,0))+INDEX(dZ,MATCH(AA24,System_Name,0))</f>
        <v>50</v>
      </c>
    </row>
    <row r="28" spans="2:33" ht="15.75" thickBot="1" x14ac:dyDescent="0.3">
      <c r="N28" s="207" t="s">
        <v>389</v>
      </c>
      <c r="O28">
        <f>90-DEGREES(ATAN(Q20/(P20-P21)))</f>
        <v>27.903494098101724</v>
      </c>
      <c r="P28" t="s">
        <v>3</v>
      </c>
      <c r="AB28" s="194">
        <f>INDEX(X,MATCH(AA24,System_Name,0))</f>
        <v>28.5</v>
      </c>
      <c r="AC28" s="195">
        <f>INDEX(Y,MATCH(AA24,System_Name,0))</f>
        <v>11</v>
      </c>
      <c r="AD28" s="223">
        <f>INDEX(X,MATCH(AA24,System_Name,0))</f>
        <v>28.5</v>
      </c>
      <c r="AE28" s="223">
        <f>INDEX(Z,MATCH(AA24,System_Name,0))</f>
        <v>26</v>
      </c>
      <c r="AF28" s="195">
        <f>INDEX(Y,MATCH(AA24,System_Name,0))</f>
        <v>11</v>
      </c>
      <c r="AG28" s="196">
        <f>INDEX(Z,MATCH(AA24,System_Name,0))</f>
        <v>26</v>
      </c>
    </row>
    <row r="29" spans="2:33" x14ac:dyDescent="0.25">
      <c r="N29" s="207" t="s">
        <v>390</v>
      </c>
      <c r="O29">
        <f>90-DEGREES(ATAN(Q20/(P22-P20)))</f>
        <v>27.903494098101724</v>
      </c>
      <c r="P29" t="s">
        <v>3</v>
      </c>
      <c r="AA29" s="207" t="str">
        <f>B12</f>
        <v>LH Ramp</v>
      </c>
      <c r="AB29" s="209">
        <f>INDEX(X,MATCH(AA29,System_Name,0))</f>
        <v>0</v>
      </c>
      <c r="AC29" s="112">
        <f>INDEX(Y,MATCH(AA29,System_Name,0))</f>
        <v>24</v>
      </c>
      <c r="AD29" s="210">
        <f>INDEX(X,MATCH(AA29,System_Name,0))</f>
        <v>0</v>
      </c>
      <c r="AE29" s="210">
        <f>INDEX(Z,MATCH(AA29,System_Name,0))</f>
        <v>14</v>
      </c>
      <c r="AF29" s="112">
        <f>INDEX(Y,MATCH(AA29,System_Name,0))</f>
        <v>24</v>
      </c>
      <c r="AG29" s="211">
        <f>INDEX(Z,MATCH(AA29,System_Name,0))</f>
        <v>14</v>
      </c>
    </row>
    <row r="30" spans="2:33" x14ac:dyDescent="0.25">
      <c r="AB30" s="151">
        <f>INDEX(X,MATCH(AA29,System_Name,0))+INDEX(dX,MATCH(AA29,System_Name,0))</f>
        <v>39</v>
      </c>
      <c r="AC30" s="4">
        <f>INDEX(Y,MATCH(AA29,System_Name,0))</f>
        <v>24</v>
      </c>
      <c r="AD30" s="212">
        <f>INDEX(X,MATCH(AA29,System_Name,0))+INDEX(dX,MATCH(AA29,System_Name,0))</f>
        <v>39</v>
      </c>
      <c r="AE30" s="212">
        <f>INDEX(Z,MATCH(AA29,System_Name,0))</f>
        <v>14</v>
      </c>
      <c r="AF30" s="4">
        <f>INDEX(Y,MATCH(AA29,System_Name,0))+INDEX(dY,MATCH(AA29,System_Name,0))</f>
        <v>28</v>
      </c>
      <c r="AG30" s="153">
        <f>INDEX(Z,MATCH(AA29,System_Name,0))</f>
        <v>14</v>
      </c>
    </row>
    <row r="31" spans="2:33" x14ac:dyDescent="0.25">
      <c r="N31" s="207" t="s">
        <v>391</v>
      </c>
      <c r="O31" t="s">
        <v>86</v>
      </c>
      <c r="P31" t="s">
        <v>392</v>
      </c>
      <c r="Q31" t="s">
        <v>393</v>
      </c>
      <c r="AB31" s="151">
        <f>INDEX(X,MATCH(AA29,System_Name,0))+INDEX(dX,MATCH(AA29,System_Name,0))</f>
        <v>39</v>
      </c>
      <c r="AC31" s="4">
        <f>INDEX(Y,MATCH(AA29,System_Name,0))+INDEX(dY,MATCH(AA29,System_Name,0))</f>
        <v>28</v>
      </c>
      <c r="AD31" s="212">
        <f>INDEX(X,MATCH(AA29,System_Name,0))+INDEX(dX,MATCH(AA29,System_Name,0))</f>
        <v>39</v>
      </c>
      <c r="AE31" s="212">
        <f>INDEX(Z,MATCH(AA29,System_Name,0))+INDEX(dZ,MATCH(AA29,System_Name,0))</f>
        <v>50</v>
      </c>
      <c r="AF31" s="4">
        <f>INDEX(Y,MATCH(AA29,System_Name,0))+INDEX(dY,MATCH(AA29,System_Name,0))</f>
        <v>28</v>
      </c>
      <c r="AG31" s="153">
        <f>INDEX(Z,MATCH(AA29,System_Name,0))+INDEX(dZ,MATCH(AA29,System_Name,0))</f>
        <v>50</v>
      </c>
    </row>
    <row r="32" spans="2:33" x14ac:dyDescent="0.25">
      <c r="N32" s="207" t="str">
        <f>B4</f>
        <v>Inspection Box</v>
      </c>
      <c r="O32" t="str">
        <f>IF((O22-O21)&lt;=C4,"Pass","Fail")</f>
        <v>Fail</v>
      </c>
      <c r="P32" t="str">
        <f>IF((P22-P21)&lt;=D4,"Pass","Fail")</f>
        <v>Pass</v>
      </c>
      <c r="Q32" t="str">
        <f>IF((Q22-Q21)&lt;=E4,"Pass","Fail")</f>
        <v>Pass</v>
      </c>
      <c r="AB32" s="151">
        <f>INDEX(X,MATCH(AA29,System_Name,0))</f>
        <v>0</v>
      </c>
      <c r="AC32" s="4">
        <f>INDEX(Y,MATCH(AA29,System_Name,0))+INDEX(dY,MATCH(AA29,System_Name,0))</f>
        <v>28</v>
      </c>
      <c r="AD32" s="212">
        <f>INDEX(X,MATCH(AA29,System_Name,0))</f>
        <v>0</v>
      </c>
      <c r="AE32" s="212">
        <f>INDEX(Z,MATCH(AA29,System_Name,0))+INDEX(dZ,MATCH(AA29,System_Name,0))</f>
        <v>50</v>
      </c>
      <c r="AF32" s="4">
        <f>INDEX(Y,MATCH(AA29,System_Name,0))</f>
        <v>24</v>
      </c>
      <c r="AG32" s="153">
        <f>INDEX(Z,MATCH(AA29,System_Name,0))+INDEX(dZ,MATCH(AA29,System_Name,0))</f>
        <v>50</v>
      </c>
    </row>
    <row r="33" spans="15:33" ht="15.75" thickBot="1" x14ac:dyDescent="0.3">
      <c r="O33" s="207"/>
      <c r="AB33" s="194">
        <f>INDEX(X,MATCH(AA29,System_Name,0))</f>
        <v>0</v>
      </c>
      <c r="AC33" s="195">
        <f>INDEX(Y,MATCH(AA29,System_Name,0))</f>
        <v>24</v>
      </c>
      <c r="AD33" s="223">
        <f>INDEX(X,MATCH(AA29,System_Name,0))</f>
        <v>0</v>
      </c>
      <c r="AE33" s="223">
        <f>INDEX(Z,MATCH(AA29,System_Name,0))</f>
        <v>14</v>
      </c>
      <c r="AF33" s="195">
        <f>INDEX(Y,MATCH(AA29,System_Name,0))</f>
        <v>24</v>
      </c>
      <c r="AG33" s="196">
        <f>INDEX(Z,MATCH(AA29,System_Name,0))</f>
        <v>14</v>
      </c>
    </row>
    <row r="34" spans="15:33" x14ac:dyDescent="0.25">
      <c r="O34" s="207"/>
      <c r="AA34" s="207" t="str">
        <f>B13</f>
        <v>RH Ramp</v>
      </c>
      <c r="AB34" s="209">
        <f>INDEX(X,MATCH(AA34,System_Name,0))</f>
        <v>0</v>
      </c>
      <c r="AC34" s="112">
        <f>INDEX(Y,MATCH(AA34,System_Name,0))</f>
        <v>0</v>
      </c>
      <c r="AD34" s="210">
        <f>INDEX(X,MATCH(AA34,System_Name,0))</f>
        <v>0</v>
      </c>
      <c r="AE34" s="210">
        <f>INDEX(Z,MATCH(AA34,System_Name,0))</f>
        <v>14</v>
      </c>
      <c r="AF34" s="112">
        <f>INDEX(Y,MATCH(AA34,System_Name,0))</f>
        <v>0</v>
      </c>
      <c r="AG34" s="211">
        <f>INDEX(Z,MATCH(AA34,System_Name,0))</f>
        <v>14</v>
      </c>
    </row>
    <row r="35" spans="15:33" x14ac:dyDescent="0.25">
      <c r="AB35" s="151">
        <f>INDEX(X,MATCH(AA34,System_Name,0))+INDEX(dX,MATCH(AA34,System_Name,0))</f>
        <v>39</v>
      </c>
      <c r="AC35" s="4">
        <f>INDEX(Y,MATCH(AA34,System_Name,0))</f>
        <v>0</v>
      </c>
      <c r="AD35" s="212">
        <f>INDEX(X,MATCH(AA34,System_Name,0))+INDEX(dX,MATCH(AA34,System_Name,0))</f>
        <v>39</v>
      </c>
      <c r="AE35" s="212">
        <f>INDEX(Z,MATCH(AA34,System_Name,0))</f>
        <v>14</v>
      </c>
      <c r="AF35" s="4">
        <f>INDEX(Y,MATCH(AA34,System_Name,0))+INDEX(dY,MATCH(AA34,System_Name,0))</f>
        <v>4</v>
      </c>
      <c r="AG35" s="153">
        <f>INDEX(Z,MATCH(AA34,System_Name,0))</f>
        <v>14</v>
      </c>
    </row>
    <row r="36" spans="15:33" x14ac:dyDescent="0.25">
      <c r="AB36" s="151">
        <f>INDEX(X,MATCH(AA34,System_Name,0))+INDEX(dX,MATCH(AA34,System_Name,0))</f>
        <v>39</v>
      </c>
      <c r="AC36" s="4">
        <f>INDEX(Y,MATCH(AA34,System_Name,0))+INDEX(dY,MATCH(AA34,System_Name,0))</f>
        <v>4</v>
      </c>
      <c r="AD36" s="212">
        <f>INDEX(X,MATCH(AA34,System_Name,0))+INDEX(dX,MATCH(AA34,System_Name,0))</f>
        <v>39</v>
      </c>
      <c r="AE36" s="212">
        <f>INDEX(Z,MATCH(AA34,System_Name,0))+INDEX(dZ,MATCH(AA34,System_Name,0))</f>
        <v>50</v>
      </c>
      <c r="AF36" s="4">
        <f>INDEX(Y,MATCH(AA34,System_Name,0))+INDEX(dY,MATCH(AA34,System_Name,0))</f>
        <v>4</v>
      </c>
      <c r="AG36" s="153">
        <f>INDEX(Z,MATCH(AA34,System_Name,0))+INDEX(dZ,MATCH(AA34,System_Name,0))</f>
        <v>50</v>
      </c>
    </row>
    <row r="37" spans="15:33" x14ac:dyDescent="0.25">
      <c r="AB37" s="151">
        <f>INDEX(X,MATCH(AA34,System_Name,0))</f>
        <v>0</v>
      </c>
      <c r="AC37" s="4">
        <f>INDEX(Y,MATCH(AA34,System_Name,0))+INDEX(dY,MATCH(AA34,System_Name,0))</f>
        <v>4</v>
      </c>
      <c r="AD37" s="212">
        <f>INDEX(X,MATCH(AA34,System_Name,0))</f>
        <v>0</v>
      </c>
      <c r="AE37" s="212">
        <f>INDEX(Z,MATCH(AA34,System_Name,0))+INDEX(dZ,MATCH(AA34,System_Name,0))</f>
        <v>50</v>
      </c>
      <c r="AF37" s="4">
        <f>INDEX(Y,MATCH(AA34,System_Name,0))</f>
        <v>0</v>
      </c>
      <c r="AG37" s="153">
        <f>INDEX(Z,MATCH(AA34,System_Name,0))+INDEX(dZ,MATCH(AA34,System_Name,0))</f>
        <v>50</v>
      </c>
    </row>
    <row r="38" spans="15:33" ht="15.75" thickBot="1" x14ac:dyDescent="0.3">
      <c r="AB38" s="194">
        <f>INDEX(X,MATCH(AA34,System_Name,0))</f>
        <v>0</v>
      </c>
      <c r="AC38" s="195">
        <f>INDEX(Y,MATCH(AA34,System_Name,0))</f>
        <v>0</v>
      </c>
      <c r="AD38" s="223">
        <f>INDEX(X,MATCH(AA34,System_Name,0))</f>
        <v>0</v>
      </c>
      <c r="AE38" s="223">
        <f>INDEX(Z,MATCH(AA34,System_Name,0))</f>
        <v>14</v>
      </c>
      <c r="AF38" s="195">
        <f>INDEX(Y,MATCH(AA34,System_Name,0))</f>
        <v>0</v>
      </c>
      <c r="AG38" s="196">
        <f>INDEX(Z,MATCH(AA34,System_Name,0))</f>
        <v>14</v>
      </c>
    </row>
    <row r="39" spans="15:33" x14ac:dyDescent="0.25">
      <c r="AA39" s="207" t="str">
        <f>B14</f>
        <v>Manipulator</v>
      </c>
      <c r="AB39" s="209">
        <f>INDEX(X,MATCH(AA39,System_Name,0))</f>
        <v>33</v>
      </c>
      <c r="AC39" s="112">
        <f>INDEX(Y,MATCH(AA39,System_Name,0))</f>
        <v>2</v>
      </c>
      <c r="AD39" s="210">
        <f>INDEX(X,MATCH(AA39,System_Name,0))</f>
        <v>33</v>
      </c>
      <c r="AE39" s="210">
        <f>INDEX(Z,MATCH(AA39,System_Name,0))</f>
        <v>36</v>
      </c>
      <c r="AF39" s="112">
        <f>INDEX(Y,MATCH(AA39,System_Name,0))</f>
        <v>2</v>
      </c>
      <c r="AG39" s="211">
        <f>INDEX(Z,MATCH(AA39,System_Name,0))</f>
        <v>36</v>
      </c>
    </row>
    <row r="40" spans="15:33" x14ac:dyDescent="0.25">
      <c r="AB40" s="151">
        <f>INDEX(X,MATCH(AA39,System_Name,0))+INDEX(dX,MATCH(AA39,System_Name,0))</f>
        <v>39</v>
      </c>
      <c r="AC40" s="4">
        <f>INDEX(Y,MATCH(AA39,System_Name,0))</f>
        <v>2</v>
      </c>
      <c r="AD40" s="212">
        <f>INDEX(X,MATCH(AA39,System_Name,0))+INDEX(dX,MATCH(AA39,System_Name,0))</f>
        <v>39</v>
      </c>
      <c r="AE40" s="212">
        <f>INDEX(Z,MATCH(AA39,System_Name,0))</f>
        <v>36</v>
      </c>
      <c r="AF40" s="4">
        <f>INDEX(Y,MATCH(AA39,System_Name,0))+INDEX(dY,MATCH(AA39,System_Name,0))</f>
        <v>26</v>
      </c>
      <c r="AG40" s="153">
        <f>INDEX(Z,MATCH(AA39,System_Name,0))</f>
        <v>36</v>
      </c>
    </row>
    <row r="41" spans="15:33" x14ac:dyDescent="0.25">
      <c r="V41" s="235"/>
      <c r="AB41" s="151">
        <f>INDEX(X,MATCH(AA39,System_Name,0))+INDEX(dX,MATCH(AA39,System_Name,0))</f>
        <v>39</v>
      </c>
      <c r="AC41" s="4">
        <f>INDEX(Y,MATCH(AA39,System_Name,0))+INDEX(dY,MATCH(AA39,System_Name,0))</f>
        <v>26</v>
      </c>
      <c r="AD41" s="212">
        <f>INDEX(X,MATCH(AA39,System_Name,0))+INDEX(dX,MATCH(AA39,System_Name,0))</f>
        <v>39</v>
      </c>
      <c r="AE41" s="212">
        <f>INDEX(Z,MATCH(AA39,System_Name,0))+INDEX(dZ,MATCH(AA39,System_Name,0))</f>
        <v>48</v>
      </c>
      <c r="AF41" s="4">
        <f>INDEX(Y,MATCH(AA39,System_Name,0))+INDEX(dY,MATCH(AA39,System_Name,0))</f>
        <v>26</v>
      </c>
      <c r="AG41" s="153">
        <f>INDEX(Z,MATCH(AA39,System_Name,0))+INDEX(dZ,MATCH(AA39,System_Name,0))</f>
        <v>48</v>
      </c>
    </row>
    <row r="42" spans="15:33" x14ac:dyDescent="0.25">
      <c r="AB42" s="151">
        <f>INDEX(X,MATCH(AA39,System_Name,0))</f>
        <v>33</v>
      </c>
      <c r="AC42" s="4">
        <f>INDEX(Y,MATCH(AA39,System_Name,0))+INDEX(dY,MATCH(AA39,System_Name,0))</f>
        <v>26</v>
      </c>
      <c r="AD42" s="212">
        <f>INDEX(X,MATCH(AA39,System_Name,0))</f>
        <v>33</v>
      </c>
      <c r="AE42" s="212">
        <f>INDEX(Z,MATCH(AA39,System_Name,0))+INDEX(dZ,MATCH(AA39,System_Name,0))</f>
        <v>48</v>
      </c>
      <c r="AF42" s="4">
        <f>INDEX(Y,MATCH(AA39,System_Name,0))</f>
        <v>2</v>
      </c>
      <c r="AG42" s="153">
        <f>INDEX(Z,MATCH(AA39,System_Name,0))+INDEX(dZ,MATCH(AA39,System_Name,0))</f>
        <v>48</v>
      </c>
    </row>
    <row r="43" spans="15:33" ht="15.75" thickBot="1" x14ac:dyDescent="0.3">
      <c r="AB43" s="194">
        <f>INDEX(X,MATCH(AA39,System_Name,0))</f>
        <v>33</v>
      </c>
      <c r="AC43" s="195">
        <f>INDEX(Y,MATCH(AA39,System_Name,0))</f>
        <v>2</v>
      </c>
      <c r="AD43" s="223">
        <f>INDEX(X,MATCH(AA39,System_Name,0))</f>
        <v>33</v>
      </c>
      <c r="AE43" s="223">
        <f>INDEX(Z,MATCH(AA39,System_Name,0))</f>
        <v>36</v>
      </c>
      <c r="AF43" s="195">
        <f>INDEX(Y,MATCH(AA39,System_Name,0))</f>
        <v>2</v>
      </c>
      <c r="AG43" s="196">
        <f>INDEX(Z,MATCH(AA39,System_Name,0))</f>
        <v>36</v>
      </c>
    </row>
    <row r="44" spans="15:33" x14ac:dyDescent="0.25">
      <c r="AA44" s="207" t="str">
        <f>B15</f>
        <v>System 6</v>
      </c>
      <c r="AB44" s="209">
        <f>INDEX(X,MATCH(AA44,System_Name,0))</f>
        <v>0</v>
      </c>
      <c r="AC44" s="112">
        <f>INDEX(Y,MATCH(AA44,System_Name,0))</f>
        <v>0</v>
      </c>
      <c r="AD44" s="210">
        <f>INDEX(X,MATCH(AA44,System_Name,0))</f>
        <v>0</v>
      </c>
      <c r="AE44" s="210">
        <f>INDEX(Z,MATCH(AA44,System_Name,0))</f>
        <v>0</v>
      </c>
      <c r="AF44" s="112">
        <f>INDEX(Y,MATCH(AA44,System_Name,0))</f>
        <v>0</v>
      </c>
      <c r="AG44" s="211">
        <f>INDEX(Z,MATCH(AA44,System_Name,0))</f>
        <v>0</v>
      </c>
    </row>
    <row r="45" spans="15:33" x14ac:dyDescent="0.25">
      <c r="AB45" s="151">
        <f>INDEX(X,MATCH(AA44,System_Name,0))+INDEX(dX,MATCH(AA44,System_Name,0))</f>
        <v>0</v>
      </c>
      <c r="AC45" s="4">
        <f>INDEX(Y,MATCH(AA44,System_Name,0))</f>
        <v>0</v>
      </c>
      <c r="AD45" s="212">
        <f>INDEX(X,MATCH(AA44,System_Name,0))+INDEX(dX,MATCH(AA44,System_Name,0))</f>
        <v>0</v>
      </c>
      <c r="AE45" s="212">
        <f>INDEX(Z,MATCH(AA44,System_Name,0))</f>
        <v>0</v>
      </c>
      <c r="AF45" s="4">
        <f>INDEX(Y,MATCH(AA44,System_Name,0))+INDEX(dY,MATCH(AA44,System_Name,0))</f>
        <v>0</v>
      </c>
      <c r="AG45" s="153">
        <f>INDEX(Z,MATCH(AA44,System_Name,0))</f>
        <v>0</v>
      </c>
    </row>
    <row r="46" spans="15:33" x14ac:dyDescent="0.25">
      <c r="AB46" s="151">
        <f>INDEX(X,MATCH(AA44,System_Name,0))+INDEX(dX,MATCH(AA44,System_Name,0))</f>
        <v>0</v>
      </c>
      <c r="AC46" s="4">
        <f>INDEX(Y,MATCH(AA44,System_Name,0))+INDEX(dY,MATCH(AA44,System_Name,0))</f>
        <v>0</v>
      </c>
      <c r="AD46" s="212">
        <f>INDEX(X,MATCH(AA44,System_Name,0))+INDEX(dX,MATCH(AA44,System_Name,0))</f>
        <v>0</v>
      </c>
      <c r="AE46" s="212">
        <f>INDEX(Z,MATCH(AA44,System_Name,0))+INDEX(dZ,MATCH(AA44,System_Name,0))</f>
        <v>0</v>
      </c>
      <c r="AF46" s="4">
        <f>INDEX(Y,MATCH(AA44,System_Name,0))+INDEX(dY,MATCH(AA44,System_Name,0))</f>
        <v>0</v>
      </c>
      <c r="AG46" s="153">
        <f>INDEX(Z,MATCH(AA44,System_Name,0))+INDEX(dZ,MATCH(AA44,System_Name,0))</f>
        <v>0</v>
      </c>
    </row>
    <row r="47" spans="15:33" x14ac:dyDescent="0.25">
      <c r="AB47" s="151">
        <f>INDEX(X,MATCH(AA44,System_Name,0))</f>
        <v>0</v>
      </c>
      <c r="AC47" s="4">
        <f>INDEX(Y,MATCH(AA44,System_Name,0))+INDEX(dY,MATCH(AA44,System_Name,0))</f>
        <v>0</v>
      </c>
      <c r="AD47" s="212">
        <f>INDEX(X,MATCH(AA44,System_Name,0))</f>
        <v>0</v>
      </c>
      <c r="AE47" s="212">
        <f>INDEX(Z,MATCH(AA44,System_Name,0))+INDEX(dZ,MATCH(AA44,System_Name,0))</f>
        <v>0</v>
      </c>
      <c r="AF47" s="4">
        <f>INDEX(Y,MATCH(AA44,System_Name,0))</f>
        <v>0</v>
      </c>
      <c r="AG47" s="153">
        <f>INDEX(Z,MATCH(AA44,System_Name,0))+INDEX(dZ,MATCH(AA44,System_Name,0))</f>
        <v>0</v>
      </c>
    </row>
    <row r="48" spans="15:33" ht="15.75" thickBot="1" x14ac:dyDescent="0.3">
      <c r="AB48" s="194">
        <f>INDEX(X,MATCH(AA44,System_Name,0))</f>
        <v>0</v>
      </c>
      <c r="AC48" s="195">
        <f>INDEX(Y,MATCH(AA44,System_Name,0))</f>
        <v>0</v>
      </c>
      <c r="AD48" s="223">
        <f>INDEX(X,MATCH(AA44,System_Name,0))</f>
        <v>0</v>
      </c>
      <c r="AE48" s="223">
        <f>INDEX(Z,MATCH(AA44,System_Name,0))</f>
        <v>0</v>
      </c>
      <c r="AF48" s="195">
        <f>INDEX(Y,MATCH(AA44,System_Name,0))</f>
        <v>0</v>
      </c>
      <c r="AG48" s="196">
        <f>INDEX(Z,MATCH(AA44,System_Name,0))</f>
        <v>0</v>
      </c>
    </row>
    <row r="49" spans="27:33" x14ac:dyDescent="0.25">
      <c r="AA49" s="207" t="str">
        <f>B16</f>
        <v>System 7</v>
      </c>
      <c r="AB49" s="209">
        <f>INDEX(X,MATCH(AA49,System_Name,0))</f>
        <v>0</v>
      </c>
      <c r="AC49" s="112">
        <f>INDEX(Y,MATCH(AA49,System_Name,0))</f>
        <v>0</v>
      </c>
      <c r="AD49" s="210">
        <f>INDEX(X,MATCH(AA49,System_Name,0))</f>
        <v>0</v>
      </c>
      <c r="AE49" s="210">
        <f>INDEX(Z,MATCH(AA49,System_Name,0))</f>
        <v>0</v>
      </c>
      <c r="AF49" s="112">
        <f>INDEX(Y,MATCH(AA49,System_Name,0))</f>
        <v>0</v>
      </c>
      <c r="AG49" s="211">
        <f>INDEX(Z,MATCH(AA49,System_Name,0))</f>
        <v>0</v>
      </c>
    </row>
    <row r="50" spans="27:33" x14ac:dyDescent="0.25">
      <c r="AB50" s="151">
        <f>INDEX(X,MATCH(AA49,System_Name,0))+INDEX(dX,MATCH(AA49,System_Name,0))</f>
        <v>0</v>
      </c>
      <c r="AC50" s="4">
        <f>INDEX(Y,MATCH(AA49,System_Name,0))</f>
        <v>0</v>
      </c>
      <c r="AD50" s="212">
        <f>INDEX(X,MATCH(AA49,System_Name,0))+INDEX(dX,MATCH(AA49,System_Name,0))</f>
        <v>0</v>
      </c>
      <c r="AE50" s="212">
        <f>INDEX(Z,MATCH(AA49,System_Name,0))</f>
        <v>0</v>
      </c>
      <c r="AF50" s="4">
        <f>INDEX(Y,MATCH(AA49,System_Name,0))+INDEX(dY,MATCH(AA49,System_Name,0))</f>
        <v>0</v>
      </c>
      <c r="AG50" s="153">
        <f>INDEX(Z,MATCH(AA49,System_Name,0))</f>
        <v>0</v>
      </c>
    </row>
    <row r="51" spans="27:33" x14ac:dyDescent="0.25">
      <c r="AB51" s="151">
        <f>INDEX(X,MATCH(AA49,System_Name,0))+INDEX(dX,MATCH(AA49,System_Name,0))</f>
        <v>0</v>
      </c>
      <c r="AC51" s="4">
        <f>INDEX(Y,MATCH(AA49,System_Name,0))+INDEX(dY,MATCH(AA49,System_Name,0))</f>
        <v>0</v>
      </c>
      <c r="AD51" s="212">
        <f>INDEX(X,MATCH(AA49,System_Name,0))+INDEX(dX,MATCH(AA49,System_Name,0))</f>
        <v>0</v>
      </c>
      <c r="AE51" s="212">
        <f>INDEX(Z,MATCH(AA49,System_Name,0))+INDEX(dZ,MATCH(AA49,System_Name,0))</f>
        <v>0</v>
      </c>
      <c r="AF51" s="4">
        <f>INDEX(Y,MATCH(AA49,System_Name,0))+INDEX(dY,MATCH(AA49,System_Name,0))</f>
        <v>0</v>
      </c>
      <c r="AG51" s="153">
        <f>INDEX(Z,MATCH(AA49,System_Name,0))+INDEX(dZ,MATCH(AA49,System_Name,0))</f>
        <v>0</v>
      </c>
    </row>
    <row r="52" spans="27:33" x14ac:dyDescent="0.25">
      <c r="AB52" s="151">
        <f>INDEX(X,MATCH(AA49,System_Name,0))</f>
        <v>0</v>
      </c>
      <c r="AC52" s="4">
        <f>INDEX(Y,MATCH(AA49,System_Name,0))+INDEX(dY,MATCH(AA49,System_Name,0))</f>
        <v>0</v>
      </c>
      <c r="AD52" s="212">
        <f>INDEX(X,MATCH(AA49,System_Name,0))</f>
        <v>0</v>
      </c>
      <c r="AE52" s="212">
        <f>INDEX(Z,MATCH(AA49,System_Name,0))+INDEX(dZ,MATCH(AA49,System_Name,0))</f>
        <v>0</v>
      </c>
      <c r="AF52" s="4">
        <f>INDEX(Y,MATCH(AA49,System_Name,0))</f>
        <v>0</v>
      </c>
      <c r="AG52" s="153">
        <f>INDEX(Z,MATCH(AA49,System_Name,0))+INDEX(dZ,MATCH(AA49,System_Name,0))</f>
        <v>0</v>
      </c>
    </row>
    <row r="53" spans="27:33" ht="15.75" thickBot="1" x14ac:dyDescent="0.3">
      <c r="AB53" s="194">
        <f>INDEX(X,MATCH(AA49,System_Name,0))</f>
        <v>0</v>
      </c>
      <c r="AC53" s="195">
        <f>INDEX(Y,MATCH(AA49,System_Name,0))</f>
        <v>0</v>
      </c>
      <c r="AD53" s="223">
        <f>INDEX(X,MATCH(AA49,System_Name,0))</f>
        <v>0</v>
      </c>
      <c r="AE53" s="223">
        <f>INDEX(Z,MATCH(AA49,System_Name,0))</f>
        <v>0</v>
      </c>
      <c r="AF53" s="195">
        <f>INDEX(Y,MATCH(AA49,System_Name,0))</f>
        <v>0</v>
      </c>
      <c r="AG53" s="196">
        <f>INDEX(Z,MATCH(AA49,System_Name,0))</f>
        <v>0</v>
      </c>
    </row>
    <row r="54" spans="27:33" x14ac:dyDescent="0.25">
      <c r="AA54" s="207" t="str">
        <f>B17</f>
        <v>System 8</v>
      </c>
      <c r="AB54" s="209">
        <f>INDEX(X,MATCH(AA54,System_Name,0))</f>
        <v>0</v>
      </c>
      <c r="AC54" s="112">
        <f>INDEX(Y,MATCH(AA54,System_Name,0))</f>
        <v>0</v>
      </c>
      <c r="AD54" s="210">
        <f>INDEX(X,MATCH(AA54,System_Name,0))</f>
        <v>0</v>
      </c>
      <c r="AE54" s="210">
        <f>INDEX(Z,MATCH(AA54,System_Name,0))</f>
        <v>0</v>
      </c>
      <c r="AF54" s="112">
        <f>INDEX(Y,MATCH(AA54,System_Name,0))</f>
        <v>0</v>
      </c>
      <c r="AG54" s="211">
        <f>INDEX(Z,MATCH(AA54,System_Name,0))</f>
        <v>0</v>
      </c>
    </row>
    <row r="55" spans="27:33" x14ac:dyDescent="0.25">
      <c r="AB55" s="151">
        <f>INDEX(X,MATCH(AA54,System_Name,0))+INDEX(dX,MATCH(AA54,System_Name,0))</f>
        <v>0</v>
      </c>
      <c r="AC55" s="4">
        <f>INDEX(Y,MATCH(AA54,System_Name,0))</f>
        <v>0</v>
      </c>
      <c r="AD55" s="212">
        <f>INDEX(X,MATCH(AA54,System_Name,0))+INDEX(dX,MATCH(AA54,System_Name,0))</f>
        <v>0</v>
      </c>
      <c r="AE55" s="212">
        <f>INDEX(Z,MATCH(AA54,System_Name,0))</f>
        <v>0</v>
      </c>
      <c r="AF55" s="4">
        <f>INDEX(Y,MATCH(AA54,System_Name,0))+INDEX(dY,MATCH(AA54,System_Name,0))</f>
        <v>0</v>
      </c>
      <c r="AG55" s="153">
        <f>INDEX(Z,MATCH(AA54,System_Name,0))</f>
        <v>0</v>
      </c>
    </row>
    <row r="56" spans="27:33" x14ac:dyDescent="0.25">
      <c r="AB56" s="151">
        <f>INDEX(X,MATCH(AA54,System_Name,0))+INDEX(dX,MATCH(AA54,System_Name,0))</f>
        <v>0</v>
      </c>
      <c r="AC56" s="4">
        <f>INDEX(Y,MATCH(AA54,System_Name,0))+INDEX(dY,MATCH(AA54,System_Name,0))</f>
        <v>0</v>
      </c>
      <c r="AD56" s="212">
        <f>INDEX(X,MATCH(AA54,System_Name,0))+INDEX(dX,MATCH(AA54,System_Name,0))</f>
        <v>0</v>
      </c>
      <c r="AE56" s="212">
        <f>INDEX(Z,MATCH(AA54,System_Name,0))+INDEX(dZ,MATCH(AA54,System_Name,0))</f>
        <v>0</v>
      </c>
      <c r="AF56" s="4">
        <f>INDEX(Y,MATCH(AA54,System_Name,0))+INDEX(dY,MATCH(AA54,System_Name,0))</f>
        <v>0</v>
      </c>
      <c r="AG56" s="153">
        <f>INDEX(Z,MATCH(AA54,System_Name,0))+INDEX(dZ,MATCH(AA54,System_Name,0))</f>
        <v>0</v>
      </c>
    </row>
    <row r="57" spans="27:33" x14ac:dyDescent="0.25">
      <c r="AB57" s="151">
        <f>INDEX(X,MATCH(AA54,System_Name,0))</f>
        <v>0</v>
      </c>
      <c r="AC57" s="4">
        <f>INDEX(Y,MATCH(AA54,System_Name,0))+INDEX(dY,MATCH(AA54,System_Name,0))</f>
        <v>0</v>
      </c>
      <c r="AD57" s="212">
        <f>INDEX(X,MATCH(AA54,System_Name,0))</f>
        <v>0</v>
      </c>
      <c r="AE57" s="212">
        <f>INDEX(Z,MATCH(AA54,System_Name,0))+INDEX(dZ,MATCH(AA54,System_Name,0))</f>
        <v>0</v>
      </c>
      <c r="AF57" s="4">
        <f>INDEX(Y,MATCH(AA54,System_Name,0))</f>
        <v>0</v>
      </c>
      <c r="AG57" s="153">
        <f>INDEX(Z,MATCH(AA54,System_Name,0))+INDEX(dZ,MATCH(AA54,System_Name,0))</f>
        <v>0</v>
      </c>
    </row>
    <row r="58" spans="27:33" ht="15.75" thickBot="1" x14ac:dyDescent="0.3">
      <c r="AB58" s="194">
        <f>INDEX(X,MATCH(AA54,System_Name,0))</f>
        <v>0</v>
      </c>
      <c r="AC58" s="195">
        <f>INDEX(Y,MATCH(AA54,System_Name,0))</f>
        <v>0</v>
      </c>
      <c r="AD58" s="223">
        <f>INDEX(X,MATCH(AA54,System_Name,0))</f>
        <v>0</v>
      </c>
      <c r="AE58" s="223">
        <f>INDEX(Z,MATCH(AA54,System_Name,0))</f>
        <v>0</v>
      </c>
      <c r="AF58" s="195">
        <f>INDEX(Y,MATCH(AA54,System_Name,0))</f>
        <v>0</v>
      </c>
      <c r="AG58" s="196">
        <f>INDEX(Z,MATCH(AA54,System_Name,0))</f>
        <v>0</v>
      </c>
    </row>
    <row r="59" spans="27:33" x14ac:dyDescent="0.25">
      <c r="AA59" s="207" t="str">
        <f>B18</f>
        <v>System 9</v>
      </c>
      <c r="AB59" s="209">
        <f>INDEX(X,MATCH(AA59,System_Name,0))</f>
        <v>0</v>
      </c>
      <c r="AC59" s="112">
        <f>INDEX(Y,MATCH(AA59,System_Name,0))</f>
        <v>0</v>
      </c>
      <c r="AD59" s="210">
        <f>INDEX(X,MATCH(AA59,System_Name,0))</f>
        <v>0</v>
      </c>
      <c r="AE59" s="210">
        <f>INDEX(Z,MATCH(AA59,System_Name,0))</f>
        <v>0</v>
      </c>
      <c r="AF59" s="112">
        <f>INDEX(Y,MATCH(AA59,System_Name,0))</f>
        <v>0</v>
      </c>
      <c r="AG59" s="211">
        <f>INDEX(Z,MATCH(AA59,System_Name,0))</f>
        <v>0</v>
      </c>
    </row>
    <row r="60" spans="27:33" x14ac:dyDescent="0.25">
      <c r="AB60" s="151">
        <f>INDEX(X,MATCH(AA59,System_Name,0))+INDEX(dX,MATCH(AA59,System_Name,0))</f>
        <v>0</v>
      </c>
      <c r="AC60" s="4">
        <f>INDEX(Y,MATCH(AA59,System_Name,0))</f>
        <v>0</v>
      </c>
      <c r="AD60" s="212">
        <f>INDEX(X,MATCH(AA59,System_Name,0))+INDEX(dX,MATCH(AA59,System_Name,0))</f>
        <v>0</v>
      </c>
      <c r="AE60" s="212">
        <f>INDEX(Z,MATCH(AA59,System_Name,0))</f>
        <v>0</v>
      </c>
      <c r="AF60" s="4">
        <f>INDEX(Y,MATCH(AA59,System_Name,0))+INDEX(dY,MATCH(AA59,System_Name,0))</f>
        <v>0</v>
      </c>
      <c r="AG60" s="153">
        <f>INDEX(Z,MATCH(AA59,System_Name,0))</f>
        <v>0</v>
      </c>
    </row>
    <row r="61" spans="27:33" x14ac:dyDescent="0.25">
      <c r="AB61" s="151">
        <f>INDEX(X,MATCH(AA59,System_Name,0))+INDEX(dX,MATCH(AA59,System_Name,0))</f>
        <v>0</v>
      </c>
      <c r="AC61" s="4">
        <f>INDEX(Y,MATCH(AA59,System_Name,0))+INDEX(dY,MATCH(AA59,System_Name,0))</f>
        <v>0</v>
      </c>
      <c r="AD61" s="212">
        <f>INDEX(X,MATCH(AA59,System_Name,0))+INDEX(dX,MATCH(AA59,System_Name,0))</f>
        <v>0</v>
      </c>
      <c r="AE61" s="212">
        <f>INDEX(Z,MATCH(AA59,System_Name,0))+INDEX(dZ,MATCH(AA59,System_Name,0))</f>
        <v>0</v>
      </c>
      <c r="AF61" s="4">
        <f>INDEX(Y,MATCH(AA59,System_Name,0))+INDEX(dY,MATCH(AA59,System_Name,0))</f>
        <v>0</v>
      </c>
      <c r="AG61" s="153">
        <f>INDEX(Z,MATCH(AA59,System_Name,0))+INDEX(dZ,MATCH(AA59,System_Name,0))</f>
        <v>0</v>
      </c>
    </row>
    <row r="62" spans="27:33" x14ac:dyDescent="0.25">
      <c r="AB62" s="151">
        <f>INDEX(X,MATCH(AA59,System_Name,0))</f>
        <v>0</v>
      </c>
      <c r="AC62" s="4">
        <f>INDEX(Y,MATCH(AA59,System_Name,0))+INDEX(dY,MATCH(AA59,System_Name,0))</f>
        <v>0</v>
      </c>
      <c r="AD62" s="212">
        <f>INDEX(X,MATCH(AA59,System_Name,0))</f>
        <v>0</v>
      </c>
      <c r="AE62" s="212">
        <f>INDEX(Z,MATCH(AA59,System_Name,0))+INDEX(dZ,MATCH(AA59,System_Name,0))</f>
        <v>0</v>
      </c>
      <c r="AF62" s="4">
        <f>INDEX(Y,MATCH(AA59,System_Name,0))</f>
        <v>0</v>
      </c>
      <c r="AG62" s="153">
        <f>INDEX(Z,MATCH(AA59,System_Name,0))+INDEX(dZ,MATCH(AA59,System_Name,0))</f>
        <v>0</v>
      </c>
    </row>
    <row r="63" spans="27:33" ht="15.75" thickBot="1" x14ac:dyDescent="0.3">
      <c r="AB63" s="194">
        <f>INDEX(X,MATCH(AA59,System_Name,0))</f>
        <v>0</v>
      </c>
      <c r="AC63" s="195">
        <f>INDEX(Y,MATCH(AA59,System_Name,0))</f>
        <v>0</v>
      </c>
      <c r="AD63" s="223">
        <f>INDEX(X,MATCH(AA59,System_Name,0))</f>
        <v>0</v>
      </c>
      <c r="AE63" s="223">
        <f>INDEX(Z,MATCH(AA59,System_Name,0))</f>
        <v>0</v>
      </c>
      <c r="AF63" s="195">
        <f>INDEX(Y,MATCH(AA59,System_Name,0))</f>
        <v>0</v>
      </c>
      <c r="AG63" s="196">
        <f>INDEX(Z,MATCH(AA59,System_Name,0))</f>
        <v>0</v>
      </c>
    </row>
    <row r="64" spans="27:33" x14ac:dyDescent="0.25">
      <c r="AA64" s="207" t="str">
        <f>B19</f>
        <v>System 10</v>
      </c>
      <c r="AB64" s="209">
        <f>INDEX(X,MATCH(AA64,System_Name,0))</f>
        <v>0</v>
      </c>
      <c r="AC64" s="112">
        <f>INDEX(Y,MATCH(AA64,System_Name,0))</f>
        <v>0</v>
      </c>
      <c r="AD64" s="210">
        <f>INDEX(X,MATCH(AA64,System_Name,0))</f>
        <v>0</v>
      </c>
      <c r="AE64" s="210">
        <f>INDEX(Z,MATCH(AA64,System_Name,0))</f>
        <v>0</v>
      </c>
      <c r="AF64" s="112">
        <f>INDEX(Y,MATCH(AA64,System_Name,0))</f>
        <v>0</v>
      </c>
      <c r="AG64" s="211">
        <f>INDEX(Z,MATCH(AA64,System_Name,0))</f>
        <v>0</v>
      </c>
    </row>
    <row r="65" spans="28:33" x14ac:dyDescent="0.25">
      <c r="AB65" s="151">
        <f>INDEX(X,MATCH(AA64,System_Name,0))+INDEX(dX,MATCH(AA64,System_Name,0))</f>
        <v>0</v>
      </c>
      <c r="AC65" s="4">
        <f>INDEX(Y,MATCH(AA64,System_Name,0))</f>
        <v>0</v>
      </c>
      <c r="AD65" s="212">
        <f>INDEX(X,MATCH(AA64,System_Name,0))+INDEX(dX,MATCH(AA64,System_Name,0))</f>
        <v>0</v>
      </c>
      <c r="AE65" s="212">
        <f>INDEX(Z,MATCH(AA64,System_Name,0))</f>
        <v>0</v>
      </c>
      <c r="AF65" s="4">
        <f>INDEX(Y,MATCH(AA64,System_Name,0))+INDEX(dY,MATCH(AA64,System_Name,0))</f>
        <v>0</v>
      </c>
      <c r="AG65" s="153">
        <f>INDEX(Z,MATCH(AA64,System_Name,0))</f>
        <v>0</v>
      </c>
    </row>
    <row r="66" spans="28:33" x14ac:dyDescent="0.25">
      <c r="AB66" s="151">
        <f>INDEX(X,MATCH(AA64,System_Name,0))+INDEX(dX,MATCH(AA64,System_Name,0))</f>
        <v>0</v>
      </c>
      <c r="AC66" s="4">
        <f>INDEX(Y,MATCH(AA64,System_Name,0))+INDEX(dY,MATCH(AA64,System_Name,0))</f>
        <v>0</v>
      </c>
      <c r="AD66" s="212">
        <f>INDEX(X,MATCH(AA64,System_Name,0))+INDEX(dX,MATCH(AA64,System_Name,0))</f>
        <v>0</v>
      </c>
      <c r="AE66" s="212">
        <f>INDEX(Z,MATCH(AA64,System_Name,0))+INDEX(dZ,MATCH(AA64,System_Name,0))</f>
        <v>0</v>
      </c>
      <c r="AF66" s="4">
        <f>INDEX(Y,MATCH(AA64,System_Name,0))+INDEX(dY,MATCH(AA64,System_Name,0))</f>
        <v>0</v>
      </c>
      <c r="AG66" s="153">
        <f>INDEX(Z,MATCH(AA64,System_Name,0))+INDEX(dZ,MATCH(AA64,System_Name,0))</f>
        <v>0</v>
      </c>
    </row>
    <row r="67" spans="28:33" x14ac:dyDescent="0.25">
      <c r="AB67" s="151">
        <f>INDEX(X,MATCH(AA64,System_Name,0))</f>
        <v>0</v>
      </c>
      <c r="AC67" s="4">
        <f>INDEX(Y,MATCH(AA64,System_Name,0))+INDEX(dY,MATCH(AA64,System_Name,0))</f>
        <v>0</v>
      </c>
      <c r="AD67" s="212">
        <f>INDEX(X,MATCH(AA64,System_Name,0))</f>
        <v>0</v>
      </c>
      <c r="AE67" s="212">
        <f>INDEX(Z,MATCH(AA64,System_Name,0))+INDEX(dZ,MATCH(AA64,System_Name,0))</f>
        <v>0</v>
      </c>
      <c r="AF67" s="4">
        <f>INDEX(Y,MATCH(AA64,System_Name,0))</f>
        <v>0</v>
      </c>
      <c r="AG67" s="153">
        <f>INDEX(Z,MATCH(AA64,System_Name,0))+INDEX(dZ,MATCH(AA64,System_Name,0))</f>
        <v>0</v>
      </c>
    </row>
    <row r="68" spans="28:33" ht="15.75" thickBot="1" x14ac:dyDescent="0.3">
      <c r="AB68" s="194">
        <f>INDEX(X,MATCH(AA64,System_Name,0))</f>
        <v>0</v>
      </c>
      <c r="AC68" s="195">
        <f>INDEX(Y,MATCH(AA64,System_Name,0))</f>
        <v>0</v>
      </c>
      <c r="AD68" s="223">
        <f>INDEX(X,MATCH(AA64,System_Name,0))</f>
        <v>0</v>
      </c>
      <c r="AE68" s="223">
        <f>INDEX(Z,MATCH(AA64,System_Name,0))</f>
        <v>0</v>
      </c>
      <c r="AF68" s="195">
        <f>INDEX(Y,MATCH(AA64,System_Name,0))</f>
        <v>0</v>
      </c>
      <c r="AG68" s="196">
        <f>INDEX(Z,MATCH(AA64,System_Name,0))</f>
        <v>0</v>
      </c>
    </row>
  </sheetData>
  <mergeCells count="5">
    <mergeCell ref="AB2:AC2"/>
    <mergeCell ref="AD2:AE2"/>
    <mergeCell ref="AF2:AG2"/>
    <mergeCell ref="C6:E6"/>
    <mergeCell ref="F6:H6"/>
  </mergeCells>
  <conditionalFormatting sqref="O32:Q32">
    <cfRule type="cellIs" dxfId="3" priority="1" stopIfTrue="1" operator="equal">
      <formula>"Pass"</formula>
    </cfRule>
    <cfRule type="cellIs" dxfId="2" priority="2" stopIfTrue="1" operator="equal">
      <formula>"Fail"</formula>
    </cfRule>
  </conditionalFormatting>
  <conditionalFormatting sqref="I20">
    <cfRule type="cellIs" dxfId="1" priority="3" stopIfTrue="1" operator="lessThanOrEqual">
      <formula>$F$4</formula>
    </cfRule>
    <cfRule type="cellIs" dxfId="0" priority="4" stopIfTrue="1" operator="greaterThan">
      <formula>$F$4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10" r:id="rId3" name="Button 2">
              <controlPr defaultSize="0" print="0" autoFill="0" autoPict="0" macro="[0]!TOC">
                <anchor moveWithCells="1" sizeWithCells="1">
                  <from>
                    <xdr:col>7</xdr:col>
                    <xdr:colOff>19050</xdr:colOff>
                    <xdr:row>0</xdr:row>
                    <xdr:rowOff>0</xdr:rowOff>
                  </from>
                  <to>
                    <xdr:col>8</xdr:col>
                    <xdr:colOff>190500</xdr:colOff>
                    <xdr:row>0</xdr:row>
                    <xdr:rowOff>219075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AD43"/>
  <sheetViews>
    <sheetView showGridLines="0" workbookViewId="0">
      <pane ySplit="3" topLeftCell="A4" activePane="bottomLeft" state="frozen"/>
      <selection pane="bottomLeft" activeCell="J24" sqref="J24"/>
    </sheetView>
  </sheetViews>
  <sheetFormatPr defaultRowHeight="15" x14ac:dyDescent="0.25"/>
  <cols>
    <col min="1" max="1" width="5.140625" customWidth="1"/>
    <col min="2" max="2" width="5" customWidth="1"/>
    <col min="3" max="3" width="14.5703125" customWidth="1"/>
    <col min="4" max="4" width="15.85546875" customWidth="1"/>
    <col min="5" max="5" width="15.28515625" customWidth="1"/>
    <col min="6" max="6" width="17" bestFit="1" customWidth="1"/>
    <col min="7" max="7" width="15.7109375" bestFit="1" customWidth="1"/>
    <col min="8" max="8" width="15.140625" customWidth="1"/>
    <col min="9" max="9" width="6.5703125" customWidth="1"/>
    <col min="10" max="10" width="12.85546875" customWidth="1"/>
    <col min="11" max="11" width="25.7109375" customWidth="1"/>
    <col min="12" max="12" width="19.85546875" customWidth="1"/>
    <col min="13" max="13" width="12.140625" bestFit="1" customWidth="1"/>
    <col min="257" max="257" width="5.140625" customWidth="1"/>
    <col min="258" max="258" width="5" customWidth="1"/>
    <col min="259" max="259" width="14.5703125" customWidth="1"/>
    <col min="260" max="260" width="15.85546875" customWidth="1"/>
    <col min="261" max="261" width="15.28515625" customWidth="1"/>
    <col min="262" max="262" width="17" bestFit="1" customWidth="1"/>
    <col min="263" max="263" width="15.7109375" bestFit="1" customWidth="1"/>
    <col min="264" max="264" width="15.140625" customWidth="1"/>
    <col min="265" max="265" width="6.5703125" customWidth="1"/>
    <col min="266" max="266" width="12.85546875" customWidth="1"/>
    <col min="268" max="268" width="0" hidden="1" customWidth="1"/>
    <col min="513" max="513" width="5.140625" customWidth="1"/>
    <col min="514" max="514" width="5" customWidth="1"/>
    <col min="515" max="515" width="14.5703125" customWidth="1"/>
    <col min="516" max="516" width="15.85546875" customWidth="1"/>
    <col min="517" max="517" width="15.28515625" customWidth="1"/>
    <col min="518" max="518" width="17" bestFit="1" customWidth="1"/>
    <col min="519" max="519" width="15.7109375" bestFit="1" customWidth="1"/>
    <col min="520" max="520" width="15.140625" customWidth="1"/>
    <col min="521" max="521" width="6.5703125" customWidth="1"/>
    <col min="522" max="522" width="12.85546875" customWidth="1"/>
    <col min="524" max="524" width="0" hidden="1" customWidth="1"/>
    <col min="769" max="769" width="5.140625" customWidth="1"/>
    <col min="770" max="770" width="5" customWidth="1"/>
    <col min="771" max="771" width="14.5703125" customWidth="1"/>
    <col min="772" max="772" width="15.85546875" customWidth="1"/>
    <col min="773" max="773" width="15.28515625" customWidth="1"/>
    <col min="774" max="774" width="17" bestFit="1" customWidth="1"/>
    <col min="775" max="775" width="15.7109375" bestFit="1" customWidth="1"/>
    <col min="776" max="776" width="15.140625" customWidth="1"/>
    <col min="777" max="777" width="6.5703125" customWidth="1"/>
    <col min="778" max="778" width="12.85546875" customWidth="1"/>
    <col min="780" max="780" width="0" hidden="1" customWidth="1"/>
    <col min="1025" max="1025" width="5.140625" customWidth="1"/>
    <col min="1026" max="1026" width="5" customWidth="1"/>
    <col min="1027" max="1027" width="14.5703125" customWidth="1"/>
    <col min="1028" max="1028" width="15.85546875" customWidth="1"/>
    <col min="1029" max="1029" width="15.28515625" customWidth="1"/>
    <col min="1030" max="1030" width="17" bestFit="1" customWidth="1"/>
    <col min="1031" max="1031" width="15.7109375" bestFit="1" customWidth="1"/>
    <col min="1032" max="1032" width="15.140625" customWidth="1"/>
    <col min="1033" max="1033" width="6.5703125" customWidth="1"/>
    <col min="1034" max="1034" width="12.85546875" customWidth="1"/>
    <col min="1036" max="1036" width="0" hidden="1" customWidth="1"/>
    <col min="1281" max="1281" width="5.140625" customWidth="1"/>
    <col min="1282" max="1282" width="5" customWidth="1"/>
    <col min="1283" max="1283" width="14.5703125" customWidth="1"/>
    <col min="1284" max="1284" width="15.85546875" customWidth="1"/>
    <col min="1285" max="1285" width="15.28515625" customWidth="1"/>
    <col min="1286" max="1286" width="17" bestFit="1" customWidth="1"/>
    <col min="1287" max="1287" width="15.7109375" bestFit="1" customWidth="1"/>
    <col min="1288" max="1288" width="15.140625" customWidth="1"/>
    <col min="1289" max="1289" width="6.5703125" customWidth="1"/>
    <col min="1290" max="1290" width="12.85546875" customWidth="1"/>
    <col min="1292" max="1292" width="0" hidden="1" customWidth="1"/>
    <col min="1537" max="1537" width="5.140625" customWidth="1"/>
    <col min="1538" max="1538" width="5" customWidth="1"/>
    <col min="1539" max="1539" width="14.5703125" customWidth="1"/>
    <col min="1540" max="1540" width="15.85546875" customWidth="1"/>
    <col min="1541" max="1541" width="15.28515625" customWidth="1"/>
    <col min="1542" max="1542" width="17" bestFit="1" customWidth="1"/>
    <col min="1543" max="1543" width="15.7109375" bestFit="1" customWidth="1"/>
    <col min="1544" max="1544" width="15.140625" customWidth="1"/>
    <col min="1545" max="1545" width="6.5703125" customWidth="1"/>
    <col min="1546" max="1546" width="12.85546875" customWidth="1"/>
    <col min="1548" max="1548" width="0" hidden="1" customWidth="1"/>
    <col min="1793" max="1793" width="5.140625" customWidth="1"/>
    <col min="1794" max="1794" width="5" customWidth="1"/>
    <col min="1795" max="1795" width="14.5703125" customWidth="1"/>
    <col min="1796" max="1796" width="15.85546875" customWidth="1"/>
    <col min="1797" max="1797" width="15.28515625" customWidth="1"/>
    <col min="1798" max="1798" width="17" bestFit="1" customWidth="1"/>
    <col min="1799" max="1799" width="15.7109375" bestFit="1" customWidth="1"/>
    <col min="1800" max="1800" width="15.140625" customWidth="1"/>
    <col min="1801" max="1801" width="6.5703125" customWidth="1"/>
    <col min="1802" max="1802" width="12.85546875" customWidth="1"/>
    <col min="1804" max="1804" width="0" hidden="1" customWidth="1"/>
    <col min="2049" max="2049" width="5.140625" customWidth="1"/>
    <col min="2050" max="2050" width="5" customWidth="1"/>
    <col min="2051" max="2051" width="14.5703125" customWidth="1"/>
    <col min="2052" max="2052" width="15.85546875" customWidth="1"/>
    <col min="2053" max="2053" width="15.28515625" customWidth="1"/>
    <col min="2054" max="2054" width="17" bestFit="1" customWidth="1"/>
    <col min="2055" max="2055" width="15.7109375" bestFit="1" customWidth="1"/>
    <col min="2056" max="2056" width="15.140625" customWidth="1"/>
    <col min="2057" max="2057" width="6.5703125" customWidth="1"/>
    <col min="2058" max="2058" width="12.85546875" customWidth="1"/>
    <col min="2060" max="2060" width="0" hidden="1" customWidth="1"/>
    <col min="2305" max="2305" width="5.140625" customWidth="1"/>
    <col min="2306" max="2306" width="5" customWidth="1"/>
    <col min="2307" max="2307" width="14.5703125" customWidth="1"/>
    <col min="2308" max="2308" width="15.85546875" customWidth="1"/>
    <col min="2309" max="2309" width="15.28515625" customWidth="1"/>
    <col min="2310" max="2310" width="17" bestFit="1" customWidth="1"/>
    <col min="2311" max="2311" width="15.7109375" bestFit="1" customWidth="1"/>
    <col min="2312" max="2312" width="15.140625" customWidth="1"/>
    <col min="2313" max="2313" width="6.5703125" customWidth="1"/>
    <col min="2314" max="2314" width="12.85546875" customWidth="1"/>
    <col min="2316" max="2316" width="0" hidden="1" customWidth="1"/>
    <col min="2561" max="2561" width="5.140625" customWidth="1"/>
    <col min="2562" max="2562" width="5" customWidth="1"/>
    <col min="2563" max="2563" width="14.5703125" customWidth="1"/>
    <col min="2564" max="2564" width="15.85546875" customWidth="1"/>
    <col min="2565" max="2565" width="15.28515625" customWidth="1"/>
    <col min="2566" max="2566" width="17" bestFit="1" customWidth="1"/>
    <col min="2567" max="2567" width="15.7109375" bestFit="1" customWidth="1"/>
    <col min="2568" max="2568" width="15.140625" customWidth="1"/>
    <col min="2569" max="2569" width="6.5703125" customWidth="1"/>
    <col min="2570" max="2570" width="12.85546875" customWidth="1"/>
    <col min="2572" max="2572" width="0" hidden="1" customWidth="1"/>
    <col min="2817" max="2817" width="5.140625" customWidth="1"/>
    <col min="2818" max="2818" width="5" customWidth="1"/>
    <col min="2819" max="2819" width="14.5703125" customWidth="1"/>
    <col min="2820" max="2820" width="15.85546875" customWidth="1"/>
    <col min="2821" max="2821" width="15.28515625" customWidth="1"/>
    <col min="2822" max="2822" width="17" bestFit="1" customWidth="1"/>
    <col min="2823" max="2823" width="15.7109375" bestFit="1" customWidth="1"/>
    <col min="2824" max="2824" width="15.140625" customWidth="1"/>
    <col min="2825" max="2825" width="6.5703125" customWidth="1"/>
    <col min="2826" max="2826" width="12.85546875" customWidth="1"/>
    <col min="2828" max="2828" width="0" hidden="1" customWidth="1"/>
    <col min="3073" max="3073" width="5.140625" customWidth="1"/>
    <col min="3074" max="3074" width="5" customWidth="1"/>
    <col min="3075" max="3075" width="14.5703125" customWidth="1"/>
    <col min="3076" max="3076" width="15.85546875" customWidth="1"/>
    <col min="3077" max="3077" width="15.28515625" customWidth="1"/>
    <col min="3078" max="3078" width="17" bestFit="1" customWidth="1"/>
    <col min="3079" max="3079" width="15.7109375" bestFit="1" customWidth="1"/>
    <col min="3080" max="3080" width="15.140625" customWidth="1"/>
    <col min="3081" max="3081" width="6.5703125" customWidth="1"/>
    <col min="3082" max="3082" width="12.85546875" customWidth="1"/>
    <col min="3084" max="3084" width="0" hidden="1" customWidth="1"/>
    <col min="3329" max="3329" width="5.140625" customWidth="1"/>
    <col min="3330" max="3330" width="5" customWidth="1"/>
    <col min="3331" max="3331" width="14.5703125" customWidth="1"/>
    <col min="3332" max="3332" width="15.85546875" customWidth="1"/>
    <col min="3333" max="3333" width="15.28515625" customWidth="1"/>
    <col min="3334" max="3334" width="17" bestFit="1" customWidth="1"/>
    <col min="3335" max="3335" width="15.7109375" bestFit="1" customWidth="1"/>
    <col min="3336" max="3336" width="15.140625" customWidth="1"/>
    <col min="3337" max="3337" width="6.5703125" customWidth="1"/>
    <col min="3338" max="3338" width="12.85546875" customWidth="1"/>
    <col min="3340" max="3340" width="0" hidden="1" customWidth="1"/>
    <col min="3585" max="3585" width="5.140625" customWidth="1"/>
    <col min="3586" max="3586" width="5" customWidth="1"/>
    <col min="3587" max="3587" width="14.5703125" customWidth="1"/>
    <col min="3588" max="3588" width="15.85546875" customWidth="1"/>
    <col min="3589" max="3589" width="15.28515625" customWidth="1"/>
    <col min="3590" max="3590" width="17" bestFit="1" customWidth="1"/>
    <col min="3591" max="3591" width="15.7109375" bestFit="1" customWidth="1"/>
    <col min="3592" max="3592" width="15.140625" customWidth="1"/>
    <col min="3593" max="3593" width="6.5703125" customWidth="1"/>
    <col min="3594" max="3594" width="12.85546875" customWidth="1"/>
    <col min="3596" max="3596" width="0" hidden="1" customWidth="1"/>
    <col min="3841" max="3841" width="5.140625" customWidth="1"/>
    <col min="3842" max="3842" width="5" customWidth="1"/>
    <col min="3843" max="3843" width="14.5703125" customWidth="1"/>
    <col min="3844" max="3844" width="15.85546875" customWidth="1"/>
    <col min="3845" max="3845" width="15.28515625" customWidth="1"/>
    <col min="3846" max="3846" width="17" bestFit="1" customWidth="1"/>
    <col min="3847" max="3847" width="15.7109375" bestFit="1" customWidth="1"/>
    <col min="3848" max="3848" width="15.140625" customWidth="1"/>
    <col min="3849" max="3849" width="6.5703125" customWidth="1"/>
    <col min="3850" max="3850" width="12.85546875" customWidth="1"/>
    <col min="3852" max="3852" width="0" hidden="1" customWidth="1"/>
    <col min="4097" max="4097" width="5.140625" customWidth="1"/>
    <col min="4098" max="4098" width="5" customWidth="1"/>
    <col min="4099" max="4099" width="14.5703125" customWidth="1"/>
    <col min="4100" max="4100" width="15.85546875" customWidth="1"/>
    <col min="4101" max="4101" width="15.28515625" customWidth="1"/>
    <col min="4102" max="4102" width="17" bestFit="1" customWidth="1"/>
    <col min="4103" max="4103" width="15.7109375" bestFit="1" customWidth="1"/>
    <col min="4104" max="4104" width="15.140625" customWidth="1"/>
    <col min="4105" max="4105" width="6.5703125" customWidth="1"/>
    <col min="4106" max="4106" width="12.85546875" customWidth="1"/>
    <col min="4108" max="4108" width="0" hidden="1" customWidth="1"/>
    <col min="4353" max="4353" width="5.140625" customWidth="1"/>
    <col min="4354" max="4354" width="5" customWidth="1"/>
    <col min="4355" max="4355" width="14.5703125" customWidth="1"/>
    <col min="4356" max="4356" width="15.85546875" customWidth="1"/>
    <col min="4357" max="4357" width="15.28515625" customWidth="1"/>
    <col min="4358" max="4358" width="17" bestFit="1" customWidth="1"/>
    <col min="4359" max="4359" width="15.7109375" bestFit="1" customWidth="1"/>
    <col min="4360" max="4360" width="15.140625" customWidth="1"/>
    <col min="4361" max="4361" width="6.5703125" customWidth="1"/>
    <col min="4362" max="4362" width="12.85546875" customWidth="1"/>
    <col min="4364" max="4364" width="0" hidden="1" customWidth="1"/>
    <col min="4609" max="4609" width="5.140625" customWidth="1"/>
    <col min="4610" max="4610" width="5" customWidth="1"/>
    <col min="4611" max="4611" width="14.5703125" customWidth="1"/>
    <col min="4612" max="4612" width="15.85546875" customWidth="1"/>
    <col min="4613" max="4613" width="15.28515625" customWidth="1"/>
    <col min="4614" max="4614" width="17" bestFit="1" customWidth="1"/>
    <col min="4615" max="4615" width="15.7109375" bestFit="1" customWidth="1"/>
    <col min="4616" max="4616" width="15.140625" customWidth="1"/>
    <col min="4617" max="4617" width="6.5703125" customWidth="1"/>
    <col min="4618" max="4618" width="12.85546875" customWidth="1"/>
    <col min="4620" max="4620" width="0" hidden="1" customWidth="1"/>
    <col min="4865" max="4865" width="5.140625" customWidth="1"/>
    <col min="4866" max="4866" width="5" customWidth="1"/>
    <col min="4867" max="4867" width="14.5703125" customWidth="1"/>
    <col min="4868" max="4868" width="15.85546875" customWidth="1"/>
    <col min="4869" max="4869" width="15.28515625" customWidth="1"/>
    <col min="4870" max="4870" width="17" bestFit="1" customWidth="1"/>
    <col min="4871" max="4871" width="15.7109375" bestFit="1" customWidth="1"/>
    <col min="4872" max="4872" width="15.140625" customWidth="1"/>
    <col min="4873" max="4873" width="6.5703125" customWidth="1"/>
    <col min="4874" max="4874" width="12.85546875" customWidth="1"/>
    <col min="4876" max="4876" width="0" hidden="1" customWidth="1"/>
    <col min="5121" max="5121" width="5.140625" customWidth="1"/>
    <col min="5122" max="5122" width="5" customWidth="1"/>
    <col min="5123" max="5123" width="14.5703125" customWidth="1"/>
    <col min="5124" max="5124" width="15.85546875" customWidth="1"/>
    <col min="5125" max="5125" width="15.28515625" customWidth="1"/>
    <col min="5126" max="5126" width="17" bestFit="1" customWidth="1"/>
    <col min="5127" max="5127" width="15.7109375" bestFit="1" customWidth="1"/>
    <col min="5128" max="5128" width="15.140625" customWidth="1"/>
    <col min="5129" max="5129" width="6.5703125" customWidth="1"/>
    <col min="5130" max="5130" width="12.85546875" customWidth="1"/>
    <col min="5132" max="5132" width="0" hidden="1" customWidth="1"/>
    <col min="5377" max="5377" width="5.140625" customWidth="1"/>
    <col min="5378" max="5378" width="5" customWidth="1"/>
    <col min="5379" max="5379" width="14.5703125" customWidth="1"/>
    <col min="5380" max="5380" width="15.85546875" customWidth="1"/>
    <col min="5381" max="5381" width="15.28515625" customWidth="1"/>
    <col min="5382" max="5382" width="17" bestFit="1" customWidth="1"/>
    <col min="5383" max="5383" width="15.7109375" bestFit="1" customWidth="1"/>
    <col min="5384" max="5384" width="15.140625" customWidth="1"/>
    <col min="5385" max="5385" width="6.5703125" customWidth="1"/>
    <col min="5386" max="5386" width="12.85546875" customWidth="1"/>
    <col min="5388" max="5388" width="0" hidden="1" customWidth="1"/>
    <col min="5633" max="5633" width="5.140625" customWidth="1"/>
    <col min="5634" max="5634" width="5" customWidth="1"/>
    <col min="5635" max="5635" width="14.5703125" customWidth="1"/>
    <col min="5636" max="5636" width="15.85546875" customWidth="1"/>
    <col min="5637" max="5637" width="15.28515625" customWidth="1"/>
    <col min="5638" max="5638" width="17" bestFit="1" customWidth="1"/>
    <col min="5639" max="5639" width="15.7109375" bestFit="1" customWidth="1"/>
    <col min="5640" max="5640" width="15.140625" customWidth="1"/>
    <col min="5641" max="5641" width="6.5703125" customWidth="1"/>
    <col min="5642" max="5642" width="12.85546875" customWidth="1"/>
    <col min="5644" max="5644" width="0" hidden="1" customWidth="1"/>
    <col min="5889" max="5889" width="5.140625" customWidth="1"/>
    <col min="5890" max="5890" width="5" customWidth="1"/>
    <col min="5891" max="5891" width="14.5703125" customWidth="1"/>
    <col min="5892" max="5892" width="15.85546875" customWidth="1"/>
    <col min="5893" max="5893" width="15.28515625" customWidth="1"/>
    <col min="5894" max="5894" width="17" bestFit="1" customWidth="1"/>
    <col min="5895" max="5895" width="15.7109375" bestFit="1" customWidth="1"/>
    <col min="5896" max="5896" width="15.140625" customWidth="1"/>
    <col min="5897" max="5897" width="6.5703125" customWidth="1"/>
    <col min="5898" max="5898" width="12.85546875" customWidth="1"/>
    <col min="5900" max="5900" width="0" hidden="1" customWidth="1"/>
    <col min="6145" max="6145" width="5.140625" customWidth="1"/>
    <col min="6146" max="6146" width="5" customWidth="1"/>
    <col min="6147" max="6147" width="14.5703125" customWidth="1"/>
    <col min="6148" max="6148" width="15.85546875" customWidth="1"/>
    <col min="6149" max="6149" width="15.28515625" customWidth="1"/>
    <col min="6150" max="6150" width="17" bestFit="1" customWidth="1"/>
    <col min="6151" max="6151" width="15.7109375" bestFit="1" customWidth="1"/>
    <col min="6152" max="6152" width="15.140625" customWidth="1"/>
    <col min="6153" max="6153" width="6.5703125" customWidth="1"/>
    <col min="6154" max="6154" width="12.85546875" customWidth="1"/>
    <col min="6156" max="6156" width="0" hidden="1" customWidth="1"/>
    <col min="6401" max="6401" width="5.140625" customWidth="1"/>
    <col min="6402" max="6402" width="5" customWidth="1"/>
    <col min="6403" max="6403" width="14.5703125" customWidth="1"/>
    <col min="6404" max="6404" width="15.85546875" customWidth="1"/>
    <col min="6405" max="6405" width="15.28515625" customWidth="1"/>
    <col min="6406" max="6406" width="17" bestFit="1" customWidth="1"/>
    <col min="6407" max="6407" width="15.7109375" bestFit="1" customWidth="1"/>
    <col min="6408" max="6408" width="15.140625" customWidth="1"/>
    <col min="6409" max="6409" width="6.5703125" customWidth="1"/>
    <col min="6410" max="6410" width="12.85546875" customWidth="1"/>
    <col min="6412" max="6412" width="0" hidden="1" customWidth="1"/>
    <col min="6657" max="6657" width="5.140625" customWidth="1"/>
    <col min="6658" max="6658" width="5" customWidth="1"/>
    <col min="6659" max="6659" width="14.5703125" customWidth="1"/>
    <col min="6660" max="6660" width="15.85546875" customWidth="1"/>
    <col min="6661" max="6661" width="15.28515625" customWidth="1"/>
    <col min="6662" max="6662" width="17" bestFit="1" customWidth="1"/>
    <col min="6663" max="6663" width="15.7109375" bestFit="1" customWidth="1"/>
    <col min="6664" max="6664" width="15.140625" customWidth="1"/>
    <col min="6665" max="6665" width="6.5703125" customWidth="1"/>
    <col min="6666" max="6666" width="12.85546875" customWidth="1"/>
    <col min="6668" max="6668" width="0" hidden="1" customWidth="1"/>
    <col min="6913" max="6913" width="5.140625" customWidth="1"/>
    <col min="6914" max="6914" width="5" customWidth="1"/>
    <col min="6915" max="6915" width="14.5703125" customWidth="1"/>
    <col min="6916" max="6916" width="15.85546875" customWidth="1"/>
    <col min="6917" max="6917" width="15.28515625" customWidth="1"/>
    <col min="6918" max="6918" width="17" bestFit="1" customWidth="1"/>
    <col min="6919" max="6919" width="15.7109375" bestFit="1" customWidth="1"/>
    <col min="6920" max="6920" width="15.140625" customWidth="1"/>
    <col min="6921" max="6921" width="6.5703125" customWidth="1"/>
    <col min="6922" max="6922" width="12.85546875" customWidth="1"/>
    <col min="6924" max="6924" width="0" hidden="1" customWidth="1"/>
    <col min="7169" max="7169" width="5.140625" customWidth="1"/>
    <col min="7170" max="7170" width="5" customWidth="1"/>
    <col min="7171" max="7171" width="14.5703125" customWidth="1"/>
    <col min="7172" max="7172" width="15.85546875" customWidth="1"/>
    <col min="7173" max="7173" width="15.28515625" customWidth="1"/>
    <col min="7174" max="7174" width="17" bestFit="1" customWidth="1"/>
    <col min="7175" max="7175" width="15.7109375" bestFit="1" customWidth="1"/>
    <col min="7176" max="7176" width="15.140625" customWidth="1"/>
    <col min="7177" max="7177" width="6.5703125" customWidth="1"/>
    <col min="7178" max="7178" width="12.85546875" customWidth="1"/>
    <col min="7180" max="7180" width="0" hidden="1" customWidth="1"/>
    <col min="7425" max="7425" width="5.140625" customWidth="1"/>
    <col min="7426" max="7426" width="5" customWidth="1"/>
    <col min="7427" max="7427" width="14.5703125" customWidth="1"/>
    <col min="7428" max="7428" width="15.85546875" customWidth="1"/>
    <col min="7429" max="7429" width="15.28515625" customWidth="1"/>
    <col min="7430" max="7430" width="17" bestFit="1" customWidth="1"/>
    <col min="7431" max="7431" width="15.7109375" bestFit="1" customWidth="1"/>
    <col min="7432" max="7432" width="15.140625" customWidth="1"/>
    <col min="7433" max="7433" width="6.5703125" customWidth="1"/>
    <col min="7434" max="7434" width="12.85546875" customWidth="1"/>
    <col min="7436" max="7436" width="0" hidden="1" customWidth="1"/>
    <col min="7681" max="7681" width="5.140625" customWidth="1"/>
    <col min="7682" max="7682" width="5" customWidth="1"/>
    <col min="7683" max="7683" width="14.5703125" customWidth="1"/>
    <col min="7684" max="7684" width="15.85546875" customWidth="1"/>
    <col min="7685" max="7685" width="15.28515625" customWidth="1"/>
    <col min="7686" max="7686" width="17" bestFit="1" customWidth="1"/>
    <col min="7687" max="7687" width="15.7109375" bestFit="1" customWidth="1"/>
    <col min="7688" max="7688" width="15.140625" customWidth="1"/>
    <col min="7689" max="7689" width="6.5703125" customWidth="1"/>
    <col min="7690" max="7690" width="12.85546875" customWidth="1"/>
    <col min="7692" max="7692" width="0" hidden="1" customWidth="1"/>
    <col min="7937" max="7937" width="5.140625" customWidth="1"/>
    <col min="7938" max="7938" width="5" customWidth="1"/>
    <col min="7939" max="7939" width="14.5703125" customWidth="1"/>
    <col min="7940" max="7940" width="15.85546875" customWidth="1"/>
    <col min="7941" max="7941" width="15.28515625" customWidth="1"/>
    <col min="7942" max="7942" width="17" bestFit="1" customWidth="1"/>
    <col min="7943" max="7943" width="15.7109375" bestFit="1" customWidth="1"/>
    <col min="7944" max="7944" width="15.140625" customWidth="1"/>
    <col min="7945" max="7945" width="6.5703125" customWidth="1"/>
    <col min="7946" max="7946" width="12.85546875" customWidth="1"/>
    <col min="7948" max="7948" width="0" hidden="1" customWidth="1"/>
    <col min="8193" max="8193" width="5.140625" customWidth="1"/>
    <col min="8194" max="8194" width="5" customWidth="1"/>
    <col min="8195" max="8195" width="14.5703125" customWidth="1"/>
    <col min="8196" max="8196" width="15.85546875" customWidth="1"/>
    <col min="8197" max="8197" width="15.28515625" customWidth="1"/>
    <col min="8198" max="8198" width="17" bestFit="1" customWidth="1"/>
    <col min="8199" max="8199" width="15.7109375" bestFit="1" customWidth="1"/>
    <col min="8200" max="8200" width="15.140625" customWidth="1"/>
    <col min="8201" max="8201" width="6.5703125" customWidth="1"/>
    <col min="8202" max="8202" width="12.85546875" customWidth="1"/>
    <col min="8204" max="8204" width="0" hidden="1" customWidth="1"/>
    <col min="8449" max="8449" width="5.140625" customWidth="1"/>
    <col min="8450" max="8450" width="5" customWidth="1"/>
    <col min="8451" max="8451" width="14.5703125" customWidth="1"/>
    <col min="8452" max="8452" width="15.85546875" customWidth="1"/>
    <col min="8453" max="8453" width="15.28515625" customWidth="1"/>
    <col min="8454" max="8454" width="17" bestFit="1" customWidth="1"/>
    <col min="8455" max="8455" width="15.7109375" bestFit="1" customWidth="1"/>
    <col min="8456" max="8456" width="15.140625" customWidth="1"/>
    <col min="8457" max="8457" width="6.5703125" customWidth="1"/>
    <col min="8458" max="8458" width="12.85546875" customWidth="1"/>
    <col min="8460" max="8460" width="0" hidden="1" customWidth="1"/>
    <col min="8705" max="8705" width="5.140625" customWidth="1"/>
    <col min="8706" max="8706" width="5" customWidth="1"/>
    <col min="8707" max="8707" width="14.5703125" customWidth="1"/>
    <col min="8708" max="8708" width="15.85546875" customWidth="1"/>
    <col min="8709" max="8709" width="15.28515625" customWidth="1"/>
    <col min="8710" max="8710" width="17" bestFit="1" customWidth="1"/>
    <col min="8711" max="8711" width="15.7109375" bestFit="1" customWidth="1"/>
    <col min="8712" max="8712" width="15.140625" customWidth="1"/>
    <col min="8713" max="8713" width="6.5703125" customWidth="1"/>
    <col min="8714" max="8714" width="12.85546875" customWidth="1"/>
    <col min="8716" max="8716" width="0" hidden="1" customWidth="1"/>
    <col min="8961" max="8961" width="5.140625" customWidth="1"/>
    <col min="8962" max="8962" width="5" customWidth="1"/>
    <col min="8963" max="8963" width="14.5703125" customWidth="1"/>
    <col min="8964" max="8964" width="15.85546875" customWidth="1"/>
    <col min="8965" max="8965" width="15.28515625" customWidth="1"/>
    <col min="8966" max="8966" width="17" bestFit="1" customWidth="1"/>
    <col min="8967" max="8967" width="15.7109375" bestFit="1" customWidth="1"/>
    <col min="8968" max="8968" width="15.140625" customWidth="1"/>
    <col min="8969" max="8969" width="6.5703125" customWidth="1"/>
    <col min="8970" max="8970" width="12.85546875" customWidth="1"/>
    <col min="8972" max="8972" width="0" hidden="1" customWidth="1"/>
    <col min="9217" max="9217" width="5.140625" customWidth="1"/>
    <col min="9218" max="9218" width="5" customWidth="1"/>
    <col min="9219" max="9219" width="14.5703125" customWidth="1"/>
    <col min="9220" max="9220" width="15.85546875" customWidth="1"/>
    <col min="9221" max="9221" width="15.28515625" customWidth="1"/>
    <col min="9222" max="9222" width="17" bestFit="1" customWidth="1"/>
    <col min="9223" max="9223" width="15.7109375" bestFit="1" customWidth="1"/>
    <col min="9224" max="9224" width="15.140625" customWidth="1"/>
    <col min="9225" max="9225" width="6.5703125" customWidth="1"/>
    <col min="9226" max="9226" width="12.85546875" customWidth="1"/>
    <col min="9228" max="9228" width="0" hidden="1" customWidth="1"/>
    <col min="9473" max="9473" width="5.140625" customWidth="1"/>
    <col min="9474" max="9474" width="5" customWidth="1"/>
    <col min="9475" max="9475" width="14.5703125" customWidth="1"/>
    <col min="9476" max="9476" width="15.85546875" customWidth="1"/>
    <col min="9477" max="9477" width="15.28515625" customWidth="1"/>
    <col min="9478" max="9478" width="17" bestFit="1" customWidth="1"/>
    <col min="9479" max="9479" width="15.7109375" bestFit="1" customWidth="1"/>
    <col min="9480" max="9480" width="15.140625" customWidth="1"/>
    <col min="9481" max="9481" width="6.5703125" customWidth="1"/>
    <col min="9482" max="9482" width="12.85546875" customWidth="1"/>
    <col min="9484" max="9484" width="0" hidden="1" customWidth="1"/>
    <col min="9729" max="9729" width="5.140625" customWidth="1"/>
    <col min="9730" max="9730" width="5" customWidth="1"/>
    <col min="9731" max="9731" width="14.5703125" customWidth="1"/>
    <col min="9732" max="9732" width="15.85546875" customWidth="1"/>
    <col min="9733" max="9733" width="15.28515625" customWidth="1"/>
    <col min="9734" max="9734" width="17" bestFit="1" customWidth="1"/>
    <col min="9735" max="9735" width="15.7109375" bestFit="1" customWidth="1"/>
    <col min="9736" max="9736" width="15.140625" customWidth="1"/>
    <col min="9737" max="9737" width="6.5703125" customWidth="1"/>
    <col min="9738" max="9738" width="12.85546875" customWidth="1"/>
    <col min="9740" max="9740" width="0" hidden="1" customWidth="1"/>
    <col min="9985" max="9985" width="5.140625" customWidth="1"/>
    <col min="9986" max="9986" width="5" customWidth="1"/>
    <col min="9987" max="9987" width="14.5703125" customWidth="1"/>
    <col min="9988" max="9988" width="15.85546875" customWidth="1"/>
    <col min="9989" max="9989" width="15.28515625" customWidth="1"/>
    <col min="9990" max="9990" width="17" bestFit="1" customWidth="1"/>
    <col min="9991" max="9991" width="15.7109375" bestFit="1" customWidth="1"/>
    <col min="9992" max="9992" width="15.140625" customWidth="1"/>
    <col min="9993" max="9993" width="6.5703125" customWidth="1"/>
    <col min="9994" max="9994" width="12.85546875" customWidth="1"/>
    <col min="9996" max="9996" width="0" hidden="1" customWidth="1"/>
    <col min="10241" max="10241" width="5.140625" customWidth="1"/>
    <col min="10242" max="10242" width="5" customWidth="1"/>
    <col min="10243" max="10243" width="14.5703125" customWidth="1"/>
    <col min="10244" max="10244" width="15.85546875" customWidth="1"/>
    <col min="10245" max="10245" width="15.28515625" customWidth="1"/>
    <col min="10246" max="10246" width="17" bestFit="1" customWidth="1"/>
    <col min="10247" max="10247" width="15.7109375" bestFit="1" customWidth="1"/>
    <col min="10248" max="10248" width="15.140625" customWidth="1"/>
    <col min="10249" max="10249" width="6.5703125" customWidth="1"/>
    <col min="10250" max="10250" width="12.85546875" customWidth="1"/>
    <col min="10252" max="10252" width="0" hidden="1" customWidth="1"/>
    <col min="10497" max="10497" width="5.140625" customWidth="1"/>
    <col min="10498" max="10498" width="5" customWidth="1"/>
    <col min="10499" max="10499" width="14.5703125" customWidth="1"/>
    <col min="10500" max="10500" width="15.85546875" customWidth="1"/>
    <col min="10501" max="10501" width="15.28515625" customWidth="1"/>
    <col min="10502" max="10502" width="17" bestFit="1" customWidth="1"/>
    <col min="10503" max="10503" width="15.7109375" bestFit="1" customWidth="1"/>
    <col min="10504" max="10504" width="15.140625" customWidth="1"/>
    <col min="10505" max="10505" width="6.5703125" customWidth="1"/>
    <col min="10506" max="10506" width="12.85546875" customWidth="1"/>
    <col min="10508" max="10508" width="0" hidden="1" customWidth="1"/>
    <col min="10753" max="10753" width="5.140625" customWidth="1"/>
    <col min="10754" max="10754" width="5" customWidth="1"/>
    <col min="10755" max="10755" width="14.5703125" customWidth="1"/>
    <col min="10756" max="10756" width="15.85546875" customWidth="1"/>
    <col min="10757" max="10757" width="15.28515625" customWidth="1"/>
    <col min="10758" max="10758" width="17" bestFit="1" customWidth="1"/>
    <col min="10759" max="10759" width="15.7109375" bestFit="1" customWidth="1"/>
    <col min="10760" max="10760" width="15.140625" customWidth="1"/>
    <col min="10761" max="10761" width="6.5703125" customWidth="1"/>
    <col min="10762" max="10762" width="12.85546875" customWidth="1"/>
    <col min="10764" max="10764" width="0" hidden="1" customWidth="1"/>
    <col min="11009" max="11009" width="5.140625" customWidth="1"/>
    <col min="11010" max="11010" width="5" customWidth="1"/>
    <col min="11011" max="11011" width="14.5703125" customWidth="1"/>
    <col min="11012" max="11012" width="15.85546875" customWidth="1"/>
    <col min="11013" max="11013" width="15.28515625" customWidth="1"/>
    <col min="11014" max="11014" width="17" bestFit="1" customWidth="1"/>
    <col min="11015" max="11015" width="15.7109375" bestFit="1" customWidth="1"/>
    <col min="11016" max="11016" width="15.140625" customWidth="1"/>
    <col min="11017" max="11017" width="6.5703125" customWidth="1"/>
    <col min="11018" max="11018" width="12.85546875" customWidth="1"/>
    <col min="11020" max="11020" width="0" hidden="1" customWidth="1"/>
    <col min="11265" max="11265" width="5.140625" customWidth="1"/>
    <col min="11266" max="11266" width="5" customWidth="1"/>
    <col min="11267" max="11267" width="14.5703125" customWidth="1"/>
    <col min="11268" max="11268" width="15.85546875" customWidth="1"/>
    <col min="11269" max="11269" width="15.28515625" customWidth="1"/>
    <col min="11270" max="11270" width="17" bestFit="1" customWidth="1"/>
    <col min="11271" max="11271" width="15.7109375" bestFit="1" customWidth="1"/>
    <col min="11272" max="11272" width="15.140625" customWidth="1"/>
    <col min="11273" max="11273" width="6.5703125" customWidth="1"/>
    <col min="11274" max="11274" width="12.85546875" customWidth="1"/>
    <col min="11276" max="11276" width="0" hidden="1" customWidth="1"/>
    <col min="11521" max="11521" width="5.140625" customWidth="1"/>
    <col min="11522" max="11522" width="5" customWidth="1"/>
    <col min="11523" max="11523" width="14.5703125" customWidth="1"/>
    <col min="11524" max="11524" width="15.85546875" customWidth="1"/>
    <col min="11525" max="11525" width="15.28515625" customWidth="1"/>
    <col min="11526" max="11526" width="17" bestFit="1" customWidth="1"/>
    <col min="11527" max="11527" width="15.7109375" bestFit="1" customWidth="1"/>
    <col min="11528" max="11528" width="15.140625" customWidth="1"/>
    <col min="11529" max="11529" width="6.5703125" customWidth="1"/>
    <col min="11530" max="11530" width="12.85546875" customWidth="1"/>
    <col min="11532" max="11532" width="0" hidden="1" customWidth="1"/>
    <col min="11777" max="11777" width="5.140625" customWidth="1"/>
    <col min="11778" max="11778" width="5" customWidth="1"/>
    <col min="11779" max="11779" width="14.5703125" customWidth="1"/>
    <col min="11780" max="11780" width="15.85546875" customWidth="1"/>
    <col min="11781" max="11781" width="15.28515625" customWidth="1"/>
    <col min="11782" max="11782" width="17" bestFit="1" customWidth="1"/>
    <col min="11783" max="11783" width="15.7109375" bestFit="1" customWidth="1"/>
    <col min="11784" max="11784" width="15.140625" customWidth="1"/>
    <col min="11785" max="11785" width="6.5703125" customWidth="1"/>
    <col min="11786" max="11786" width="12.85546875" customWidth="1"/>
    <col min="11788" max="11788" width="0" hidden="1" customWidth="1"/>
    <col min="12033" max="12033" width="5.140625" customWidth="1"/>
    <col min="12034" max="12034" width="5" customWidth="1"/>
    <col min="12035" max="12035" width="14.5703125" customWidth="1"/>
    <col min="12036" max="12036" width="15.85546875" customWidth="1"/>
    <col min="12037" max="12037" width="15.28515625" customWidth="1"/>
    <col min="12038" max="12038" width="17" bestFit="1" customWidth="1"/>
    <col min="12039" max="12039" width="15.7109375" bestFit="1" customWidth="1"/>
    <col min="12040" max="12040" width="15.140625" customWidth="1"/>
    <col min="12041" max="12041" width="6.5703125" customWidth="1"/>
    <col min="12042" max="12042" width="12.85546875" customWidth="1"/>
    <col min="12044" max="12044" width="0" hidden="1" customWidth="1"/>
    <col min="12289" max="12289" width="5.140625" customWidth="1"/>
    <col min="12290" max="12290" width="5" customWidth="1"/>
    <col min="12291" max="12291" width="14.5703125" customWidth="1"/>
    <col min="12292" max="12292" width="15.85546875" customWidth="1"/>
    <col min="12293" max="12293" width="15.28515625" customWidth="1"/>
    <col min="12294" max="12294" width="17" bestFit="1" customWidth="1"/>
    <col min="12295" max="12295" width="15.7109375" bestFit="1" customWidth="1"/>
    <col min="12296" max="12296" width="15.140625" customWidth="1"/>
    <col min="12297" max="12297" width="6.5703125" customWidth="1"/>
    <col min="12298" max="12298" width="12.85546875" customWidth="1"/>
    <col min="12300" max="12300" width="0" hidden="1" customWidth="1"/>
    <col min="12545" max="12545" width="5.140625" customWidth="1"/>
    <col min="12546" max="12546" width="5" customWidth="1"/>
    <col min="12547" max="12547" width="14.5703125" customWidth="1"/>
    <col min="12548" max="12548" width="15.85546875" customWidth="1"/>
    <col min="12549" max="12549" width="15.28515625" customWidth="1"/>
    <col min="12550" max="12550" width="17" bestFit="1" customWidth="1"/>
    <col min="12551" max="12551" width="15.7109375" bestFit="1" customWidth="1"/>
    <col min="12552" max="12552" width="15.140625" customWidth="1"/>
    <col min="12553" max="12553" width="6.5703125" customWidth="1"/>
    <col min="12554" max="12554" width="12.85546875" customWidth="1"/>
    <col min="12556" max="12556" width="0" hidden="1" customWidth="1"/>
    <col min="12801" max="12801" width="5.140625" customWidth="1"/>
    <col min="12802" max="12802" width="5" customWidth="1"/>
    <col min="12803" max="12803" width="14.5703125" customWidth="1"/>
    <col min="12804" max="12804" width="15.85546875" customWidth="1"/>
    <col min="12805" max="12805" width="15.28515625" customWidth="1"/>
    <col min="12806" max="12806" width="17" bestFit="1" customWidth="1"/>
    <col min="12807" max="12807" width="15.7109375" bestFit="1" customWidth="1"/>
    <col min="12808" max="12808" width="15.140625" customWidth="1"/>
    <col min="12809" max="12809" width="6.5703125" customWidth="1"/>
    <col min="12810" max="12810" width="12.85546875" customWidth="1"/>
    <col min="12812" max="12812" width="0" hidden="1" customWidth="1"/>
    <col min="13057" max="13057" width="5.140625" customWidth="1"/>
    <col min="13058" max="13058" width="5" customWidth="1"/>
    <col min="13059" max="13059" width="14.5703125" customWidth="1"/>
    <col min="13060" max="13060" width="15.85546875" customWidth="1"/>
    <col min="13061" max="13061" width="15.28515625" customWidth="1"/>
    <col min="13062" max="13062" width="17" bestFit="1" customWidth="1"/>
    <col min="13063" max="13063" width="15.7109375" bestFit="1" customWidth="1"/>
    <col min="13064" max="13064" width="15.140625" customWidth="1"/>
    <col min="13065" max="13065" width="6.5703125" customWidth="1"/>
    <col min="13066" max="13066" width="12.85546875" customWidth="1"/>
    <col min="13068" max="13068" width="0" hidden="1" customWidth="1"/>
    <col min="13313" max="13313" width="5.140625" customWidth="1"/>
    <col min="13314" max="13314" width="5" customWidth="1"/>
    <col min="13315" max="13315" width="14.5703125" customWidth="1"/>
    <col min="13316" max="13316" width="15.85546875" customWidth="1"/>
    <col min="13317" max="13317" width="15.28515625" customWidth="1"/>
    <col min="13318" max="13318" width="17" bestFit="1" customWidth="1"/>
    <col min="13319" max="13319" width="15.7109375" bestFit="1" customWidth="1"/>
    <col min="13320" max="13320" width="15.140625" customWidth="1"/>
    <col min="13321" max="13321" width="6.5703125" customWidth="1"/>
    <col min="13322" max="13322" width="12.85546875" customWidth="1"/>
    <col min="13324" max="13324" width="0" hidden="1" customWidth="1"/>
    <col min="13569" max="13569" width="5.140625" customWidth="1"/>
    <col min="13570" max="13570" width="5" customWidth="1"/>
    <col min="13571" max="13571" width="14.5703125" customWidth="1"/>
    <col min="13572" max="13572" width="15.85546875" customWidth="1"/>
    <col min="13573" max="13573" width="15.28515625" customWidth="1"/>
    <col min="13574" max="13574" width="17" bestFit="1" customWidth="1"/>
    <col min="13575" max="13575" width="15.7109375" bestFit="1" customWidth="1"/>
    <col min="13576" max="13576" width="15.140625" customWidth="1"/>
    <col min="13577" max="13577" width="6.5703125" customWidth="1"/>
    <col min="13578" max="13578" width="12.85546875" customWidth="1"/>
    <col min="13580" max="13580" width="0" hidden="1" customWidth="1"/>
    <col min="13825" max="13825" width="5.140625" customWidth="1"/>
    <col min="13826" max="13826" width="5" customWidth="1"/>
    <col min="13827" max="13827" width="14.5703125" customWidth="1"/>
    <col min="13828" max="13828" width="15.85546875" customWidth="1"/>
    <col min="13829" max="13829" width="15.28515625" customWidth="1"/>
    <col min="13830" max="13830" width="17" bestFit="1" customWidth="1"/>
    <col min="13831" max="13831" width="15.7109375" bestFit="1" customWidth="1"/>
    <col min="13832" max="13832" width="15.140625" customWidth="1"/>
    <col min="13833" max="13833" width="6.5703125" customWidth="1"/>
    <col min="13834" max="13834" width="12.85546875" customWidth="1"/>
    <col min="13836" max="13836" width="0" hidden="1" customWidth="1"/>
    <col min="14081" max="14081" width="5.140625" customWidth="1"/>
    <col min="14082" max="14082" width="5" customWidth="1"/>
    <col min="14083" max="14083" width="14.5703125" customWidth="1"/>
    <col min="14084" max="14084" width="15.85546875" customWidth="1"/>
    <col min="14085" max="14085" width="15.28515625" customWidth="1"/>
    <col min="14086" max="14086" width="17" bestFit="1" customWidth="1"/>
    <col min="14087" max="14087" width="15.7109375" bestFit="1" customWidth="1"/>
    <col min="14088" max="14088" width="15.140625" customWidth="1"/>
    <col min="14089" max="14089" width="6.5703125" customWidth="1"/>
    <col min="14090" max="14090" width="12.85546875" customWidth="1"/>
    <col min="14092" max="14092" width="0" hidden="1" customWidth="1"/>
    <col min="14337" max="14337" width="5.140625" customWidth="1"/>
    <col min="14338" max="14338" width="5" customWidth="1"/>
    <col min="14339" max="14339" width="14.5703125" customWidth="1"/>
    <col min="14340" max="14340" width="15.85546875" customWidth="1"/>
    <col min="14341" max="14341" width="15.28515625" customWidth="1"/>
    <col min="14342" max="14342" width="17" bestFit="1" customWidth="1"/>
    <col min="14343" max="14343" width="15.7109375" bestFit="1" customWidth="1"/>
    <col min="14344" max="14344" width="15.140625" customWidth="1"/>
    <col min="14345" max="14345" width="6.5703125" customWidth="1"/>
    <col min="14346" max="14346" width="12.85546875" customWidth="1"/>
    <col min="14348" max="14348" width="0" hidden="1" customWidth="1"/>
    <col min="14593" max="14593" width="5.140625" customWidth="1"/>
    <col min="14594" max="14594" width="5" customWidth="1"/>
    <col min="14595" max="14595" width="14.5703125" customWidth="1"/>
    <col min="14596" max="14596" width="15.85546875" customWidth="1"/>
    <col min="14597" max="14597" width="15.28515625" customWidth="1"/>
    <col min="14598" max="14598" width="17" bestFit="1" customWidth="1"/>
    <col min="14599" max="14599" width="15.7109375" bestFit="1" customWidth="1"/>
    <col min="14600" max="14600" width="15.140625" customWidth="1"/>
    <col min="14601" max="14601" width="6.5703125" customWidth="1"/>
    <col min="14602" max="14602" width="12.85546875" customWidth="1"/>
    <col min="14604" max="14604" width="0" hidden="1" customWidth="1"/>
    <col min="14849" max="14849" width="5.140625" customWidth="1"/>
    <col min="14850" max="14850" width="5" customWidth="1"/>
    <col min="14851" max="14851" width="14.5703125" customWidth="1"/>
    <col min="14852" max="14852" width="15.85546875" customWidth="1"/>
    <col min="14853" max="14853" width="15.28515625" customWidth="1"/>
    <col min="14854" max="14854" width="17" bestFit="1" customWidth="1"/>
    <col min="14855" max="14855" width="15.7109375" bestFit="1" customWidth="1"/>
    <col min="14856" max="14856" width="15.140625" customWidth="1"/>
    <col min="14857" max="14857" width="6.5703125" customWidth="1"/>
    <col min="14858" max="14858" width="12.85546875" customWidth="1"/>
    <col min="14860" max="14860" width="0" hidden="1" customWidth="1"/>
    <col min="15105" max="15105" width="5.140625" customWidth="1"/>
    <col min="15106" max="15106" width="5" customWidth="1"/>
    <col min="15107" max="15107" width="14.5703125" customWidth="1"/>
    <col min="15108" max="15108" width="15.85546875" customWidth="1"/>
    <col min="15109" max="15109" width="15.28515625" customWidth="1"/>
    <col min="15110" max="15110" width="17" bestFit="1" customWidth="1"/>
    <col min="15111" max="15111" width="15.7109375" bestFit="1" customWidth="1"/>
    <col min="15112" max="15112" width="15.140625" customWidth="1"/>
    <col min="15113" max="15113" width="6.5703125" customWidth="1"/>
    <col min="15114" max="15114" width="12.85546875" customWidth="1"/>
    <col min="15116" max="15116" width="0" hidden="1" customWidth="1"/>
    <col min="15361" max="15361" width="5.140625" customWidth="1"/>
    <col min="15362" max="15362" width="5" customWidth="1"/>
    <col min="15363" max="15363" width="14.5703125" customWidth="1"/>
    <col min="15364" max="15364" width="15.85546875" customWidth="1"/>
    <col min="15365" max="15365" width="15.28515625" customWidth="1"/>
    <col min="15366" max="15366" width="17" bestFit="1" customWidth="1"/>
    <col min="15367" max="15367" width="15.7109375" bestFit="1" customWidth="1"/>
    <col min="15368" max="15368" width="15.140625" customWidth="1"/>
    <col min="15369" max="15369" width="6.5703125" customWidth="1"/>
    <col min="15370" max="15370" width="12.85546875" customWidth="1"/>
    <col min="15372" max="15372" width="0" hidden="1" customWidth="1"/>
    <col min="15617" max="15617" width="5.140625" customWidth="1"/>
    <col min="15618" max="15618" width="5" customWidth="1"/>
    <col min="15619" max="15619" width="14.5703125" customWidth="1"/>
    <col min="15620" max="15620" width="15.85546875" customWidth="1"/>
    <col min="15621" max="15621" width="15.28515625" customWidth="1"/>
    <col min="15622" max="15622" width="17" bestFit="1" customWidth="1"/>
    <col min="15623" max="15623" width="15.7109375" bestFit="1" customWidth="1"/>
    <col min="15624" max="15624" width="15.140625" customWidth="1"/>
    <col min="15625" max="15625" width="6.5703125" customWidth="1"/>
    <col min="15626" max="15626" width="12.85546875" customWidth="1"/>
    <col min="15628" max="15628" width="0" hidden="1" customWidth="1"/>
    <col min="15873" max="15873" width="5.140625" customWidth="1"/>
    <col min="15874" max="15874" width="5" customWidth="1"/>
    <col min="15875" max="15875" width="14.5703125" customWidth="1"/>
    <col min="15876" max="15876" width="15.85546875" customWidth="1"/>
    <col min="15877" max="15877" width="15.28515625" customWidth="1"/>
    <col min="15878" max="15878" width="17" bestFit="1" customWidth="1"/>
    <col min="15879" max="15879" width="15.7109375" bestFit="1" customWidth="1"/>
    <col min="15880" max="15880" width="15.140625" customWidth="1"/>
    <col min="15881" max="15881" width="6.5703125" customWidth="1"/>
    <col min="15882" max="15882" width="12.85546875" customWidth="1"/>
    <col min="15884" max="15884" width="0" hidden="1" customWidth="1"/>
    <col min="16129" max="16129" width="5.140625" customWidth="1"/>
    <col min="16130" max="16130" width="5" customWidth="1"/>
    <col min="16131" max="16131" width="14.5703125" customWidth="1"/>
    <col min="16132" max="16132" width="15.85546875" customWidth="1"/>
    <col min="16133" max="16133" width="15.28515625" customWidth="1"/>
    <col min="16134" max="16134" width="17" bestFit="1" customWidth="1"/>
    <col min="16135" max="16135" width="15.7109375" bestFit="1" customWidth="1"/>
    <col min="16136" max="16136" width="15.140625" customWidth="1"/>
    <col min="16137" max="16137" width="6.5703125" customWidth="1"/>
    <col min="16138" max="16138" width="12.85546875" customWidth="1"/>
    <col min="16140" max="16140" width="0" hidden="1" customWidth="1"/>
  </cols>
  <sheetData>
    <row r="1" spans="1:30" ht="18.75" thickBot="1" x14ac:dyDescent="0.3">
      <c r="A1" s="2" t="s">
        <v>458</v>
      </c>
      <c r="AC1" s="8"/>
      <c r="AD1" s="8">
        <f>AC1*1.1</f>
        <v>0</v>
      </c>
    </row>
    <row r="2" spans="1:30" ht="18" customHeight="1" thickBot="1" x14ac:dyDescent="0.3">
      <c r="F2" s="51" t="s">
        <v>344</v>
      </c>
      <c r="K2" s="825" t="s">
        <v>821</v>
      </c>
      <c r="L2" s="826"/>
      <c r="M2" s="827"/>
    </row>
    <row r="3" spans="1:30" ht="35.25" customHeight="1" x14ac:dyDescent="0.25">
      <c r="B3" s="691" t="s">
        <v>333</v>
      </c>
      <c r="C3" s="692"/>
      <c r="D3" s="692"/>
      <c r="E3" s="692"/>
      <c r="F3" s="692"/>
      <c r="G3" s="692"/>
      <c r="H3" s="692"/>
      <c r="I3" s="693"/>
      <c r="K3" s="813">
        <f>VLOOKUP($K$2,'FRC Motors'!$A$4:$Q$20,17,FALSE)</f>
        <v>0</v>
      </c>
      <c r="L3" s="813"/>
      <c r="M3" s="813"/>
      <c r="N3" s="813"/>
      <c r="O3" s="813"/>
    </row>
    <row r="4" spans="1:30" ht="21.75" customHeight="1" x14ac:dyDescent="0.25">
      <c r="A4" s="4"/>
      <c r="B4" s="151"/>
      <c r="C4" s="152" t="s">
        <v>298</v>
      </c>
      <c r="D4" s="4"/>
      <c r="E4" s="4"/>
      <c r="F4" s="4"/>
      <c r="G4" s="4"/>
      <c r="H4" s="4"/>
      <c r="I4" s="153"/>
      <c r="J4" s="4"/>
      <c r="K4" s="81" t="s">
        <v>180</v>
      </c>
      <c r="L4" s="77">
        <f>VLOOKUP($K$2,'FRC Motors'!$A$4:$Q$22,4,FALSE)</f>
        <v>179</v>
      </c>
      <c r="M4" s="78" t="s">
        <v>181</v>
      </c>
      <c r="N4" s="79">
        <f>L4*0.00134</f>
        <v>0.23986000000000002</v>
      </c>
      <c r="O4" s="80" t="s">
        <v>189</v>
      </c>
    </row>
    <row r="5" spans="1:30" s="158" customFormat="1" ht="42" customHeight="1" thickBot="1" x14ac:dyDescent="0.3">
      <c r="A5" s="154"/>
      <c r="B5" s="155"/>
      <c r="C5" s="156" t="s">
        <v>299</v>
      </c>
      <c r="D5" s="156" t="s">
        <v>300</v>
      </c>
      <c r="E5" s="156" t="s">
        <v>301</v>
      </c>
      <c r="F5" s="156" t="s">
        <v>302</v>
      </c>
      <c r="G5" s="156" t="s">
        <v>303</v>
      </c>
      <c r="H5" s="154"/>
      <c r="I5" s="157"/>
      <c r="J5" s="154"/>
      <c r="K5" s="82" t="s">
        <v>182</v>
      </c>
      <c r="L5" s="83">
        <f>VLOOKUP($K$2,'FRC Motors'!$A$4:$Q$22,9,FALSE)</f>
        <v>1.2</v>
      </c>
      <c r="M5" s="84" t="s">
        <v>329</v>
      </c>
      <c r="N5" s="83">
        <f>VLOOKUP($K$2,'FRC Motors'!$A$4:$Q$22,11,FALSE)</f>
        <v>12</v>
      </c>
      <c r="O5" s="85" t="s">
        <v>330</v>
      </c>
    </row>
    <row r="6" spans="1:30" s="163" customFormat="1" ht="22.5" customHeight="1" x14ac:dyDescent="0.25">
      <c r="A6" s="159"/>
      <c r="B6" s="160"/>
      <c r="C6" s="201">
        <f>N5</f>
        <v>12</v>
      </c>
      <c r="D6" s="202">
        <f>L6</f>
        <v>16000</v>
      </c>
      <c r="E6" s="203">
        <f>N10</f>
        <v>0.42863052083333331</v>
      </c>
      <c r="F6" s="201">
        <f>L9</f>
        <v>63.8</v>
      </c>
      <c r="G6" s="201">
        <f>L5</f>
        <v>1.2</v>
      </c>
      <c r="H6" s="161"/>
      <c r="I6" s="162"/>
      <c r="J6" s="161"/>
      <c r="K6" s="86" t="s">
        <v>183</v>
      </c>
      <c r="L6" s="87">
        <f>VLOOKUP($K$2,'FRC Motors'!$A$4:$Q$22,8,FALSE)</f>
        <v>16000</v>
      </c>
      <c r="M6" s="88" t="s">
        <v>91</v>
      </c>
      <c r="N6" s="87">
        <f>L6*2*PI()/60</f>
        <v>1675.5160819145563</v>
      </c>
      <c r="O6" s="89" t="s">
        <v>187</v>
      </c>
    </row>
    <row r="7" spans="1:30" s="163" customFormat="1" ht="20.25" hidden="1" customHeight="1" x14ac:dyDescent="0.2">
      <c r="A7" s="159"/>
      <c r="B7" s="160"/>
      <c r="C7" s="161"/>
      <c r="D7" s="164">
        <f>D6*(C20/C6)</f>
        <v>16000</v>
      </c>
      <c r="E7" s="164">
        <f>E6*(C20/C6)</f>
        <v>0.42863052083333331</v>
      </c>
      <c r="F7" s="164">
        <f>F6*(C20/C6)</f>
        <v>63.8</v>
      </c>
      <c r="G7" s="164">
        <f>G6*(C20/C6)</f>
        <v>1.2</v>
      </c>
      <c r="H7" s="161"/>
      <c r="I7" s="162"/>
      <c r="J7" s="161"/>
    </row>
    <row r="8" spans="1:30" s="163" customFormat="1" ht="9.75" customHeight="1" x14ac:dyDescent="0.2">
      <c r="A8" s="159"/>
      <c r="B8" s="160"/>
      <c r="C8" s="159"/>
      <c r="D8" s="159"/>
      <c r="E8" s="159"/>
      <c r="F8" s="159"/>
      <c r="G8" s="159"/>
      <c r="H8" s="161"/>
      <c r="I8" s="162"/>
      <c r="J8" s="161"/>
    </row>
    <row r="9" spans="1:30" ht="23.25" customHeight="1" x14ac:dyDescent="0.25">
      <c r="A9" s="4"/>
      <c r="B9" s="151"/>
      <c r="C9" s="152" t="s">
        <v>304</v>
      </c>
      <c r="D9" s="4"/>
      <c r="E9" s="4"/>
      <c r="F9" s="4"/>
      <c r="G9" s="165"/>
      <c r="H9" s="166"/>
      <c r="I9" s="167"/>
      <c r="J9" s="166"/>
      <c r="K9" s="73" t="s">
        <v>184</v>
      </c>
      <c r="L9" s="74">
        <f>VLOOKUP($K$2,'FRC Motors'!$A$4:$Q$22,10,FALSE)</f>
        <v>63.8</v>
      </c>
      <c r="M9" s="75"/>
      <c r="N9" s="75"/>
      <c r="O9" s="76"/>
    </row>
    <row r="10" spans="1:30" s="158" customFormat="1" ht="21.75" customHeight="1" thickBot="1" x14ac:dyDescent="0.3">
      <c r="A10" s="154"/>
      <c r="B10" s="155"/>
      <c r="C10" s="156" t="s">
        <v>305</v>
      </c>
      <c r="D10" s="156" t="s">
        <v>306</v>
      </c>
      <c r="E10" s="156" t="s">
        <v>49</v>
      </c>
      <c r="I10" s="168"/>
      <c r="J10" s="169"/>
      <c r="K10" s="86" t="s">
        <v>185</v>
      </c>
      <c r="L10" s="149">
        <f>VLOOKUP($K$2,'FRC Motors'!$A$4:$Q$22,6,FALSE)</f>
        <v>0.31614583333333335</v>
      </c>
      <c r="M10" s="150" t="s">
        <v>92</v>
      </c>
      <c r="N10" s="149">
        <f>VLOOKUP($K$2,'FRC Motors'!$A$4:$Q$22,7,FALSE)</f>
        <v>0.42863052083333331</v>
      </c>
      <c r="O10" s="91" t="s">
        <v>186</v>
      </c>
    </row>
    <row r="11" spans="1:30" s="163" customFormat="1" hidden="1" x14ac:dyDescent="0.2">
      <c r="A11" s="159"/>
      <c r="B11" s="170"/>
      <c r="C11" s="171">
        <v>1</v>
      </c>
      <c r="D11" s="171">
        <v>1</v>
      </c>
      <c r="E11" s="172">
        <f t="shared" ref="E11:E16" si="0">C11/D11</f>
        <v>1</v>
      </c>
      <c r="I11" s="173"/>
      <c r="J11" s="161"/>
      <c r="K11" s="161"/>
    </row>
    <row r="12" spans="1:30" ht="15.75" hidden="1" x14ac:dyDescent="0.25">
      <c r="A12" s="174"/>
      <c r="B12" s="175"/>
      <c r="C12" s="176">
        <v>1</v>
      </c>
      <c r="D12" s="176">
        <v>1</v>
      </c>
      <c r="E12" s="177">
        <f t="shared" si="0"/>
        <v>1</v>
      </c>
      <c r="I12" s="173"/>
      <c r="J12" s="166"/>
      <c r="K12" s="166"/>
    </row>
    <row r="13" spans="1:30" ht="15.75" x14ac:dyDescent="0.25">
      <c r="A13" s="174"/>
      <c r="B13" s="175"/>
      <c r="C13" s="176">
        <v>1</v>
      </c>
      <c r="D13" s="176">
        <v>1</v>
      </c>
      <c r="E13" s="177">
        <f t="shared" si="0"/>
        <v>1</v>
      </c>
      <c r="G13" s="814" t="s">
        <v>307</v>
      </c>
      <c r="H13" s="814"/>
      <c r="I13" s="173"/>
    </row>
    <row r="14" spans="1:30" ht="15.75" customHeight="1" thickBot="1" x14ac:dyDescent="0.3">
      <c r="A14" s="1"/>
      <c r="B14" s="175"/>
      <c r="C14" s="176">
        <v>1</v>
      </c>
      <c r="D14" s="176">
        <v>1</v>
      </c>
      <c r="E14" s="177">
        <f t="shared" si="0"/>
        <v>1</v>
      </c>
      <c r="G14" s="696"/>
      <c r="H14" s="696"/>
      <c r="I14" s="173"/>
    </row>
    <row r="15" spans="1:30" ht="15.75" x14ac:dyDescent="0.25">
      <c r="A15" s="1"/>
      <c r="B15" s="175"/>
      <c r="C15" s="176">
        <v>1</v>
      </c>
      <c r="D15" s="176">
        <v>1</v>
      </c>
      <c r="E15" s="177">
        <f t="shared" si="0"/>
        <v>1</v>
      </c>
      <c r="G15" s="815">
        <f>E11*E12*E13*E14*E15*E16</f>
        <v>1</v>
      </c>
      <c r="H15" s="817">
        <f>1/G15</f>
        <v>1</v>
      </c>
      <c r="I15" s="173"/>
    </row>
    <row r="16" spans="1:30" ht="15.75" x14ac:dyDescent="0.25">
      <c r="A16" s="1"/>
      <c r="B16" s="175"/>
      <c r="C16" s="176">
        <v>1</v>
      </c>
      <c r="D16" s="176">
        <v>1</v>
      </c>
      <c r="E16" s="177">
        <f t="shared" si="0"/>
        <v>1</v>
      </c>
      <c r="G16" s="816"/>
      <c r="H16" s="818"/>
      <c r="I16" s="173"/>
    </row>
    <row r="17" spans="1:12" s="181" customFormat="1" ht="15" customHeight="1" x14ac:dyDescent="0.25">
      <c r="A17" s="178"/>
      <c r="B17" s="179"/>
      <c r="C17" s="161"/>
      <c r="D17" s="161"/>
      <c r="E17" s="180"/>
      <c r="F17" s="180"/>
      <c r="G17" s="161"/>
      <c r="H17" s="161"/>
      <c r="I17" s="162"/>
    </row>
    <row r="18" spans="1:12" s="181" customFormat="1" ht="15" customHeight="1" x14ac:dyDescent="0.25">
      <c r="A18" s="178"/>
      <c r="B18" s="179"/>
      <c r="C18" s="152" t="s">
        <v>308</v>
      </c>
      <c r="D18" s="161"/>
      <c r="E18" s="180"/>
      <c r="F18" s="180"/>
      <c r="G18" s="161"/>
      <c r="H18" s="161"/>
      <c r="I18" s="162"/>
    </row>
    <row r="19" spans="1:12" ht="40.5" customHeight="1" thickBot="1" x14ac:dyDescent="0.3">
      <c r="B19" s="151"/>
      <c r="C19" s="156" t="s">
        <v>309</v>
      </c>
      <c r="D19" s="819" t="s">
        <v>334</v>
      </c>
      <c r="E19" s="820"/>
      <c r="F19" s="156" t="s">
        <v>311</v>
      </c>
      <c r="G19" s="156" t="s">
        <v>335</v>
      </c>
      <c r="H19" s="4"/>
      <c r="I19" s="153"/>
    </row>
    <row r="20" spans="1:12" ht="18" customHeight="1" x14ac:dyDescent="0.25">
      <c r="B20" s="151"/>
      <c r="C20" s="182">
        <v>12</v>
      </c>
      <c r="D20" s="821">
        <v>1.25</v>
      </c>
      <c r="E20" s="822"/>
      <c r="F20" s="183">
        <v>1</v>
      </c>
      <c r="G20" s="204">
        <v>32</v>
      </c>
      <c r="H20" s="4"/>
      <c r="I20" s="153"/>
    </row>
    <row r="21" spans="1:12" ht="15.75" x14ac:dyDescent="0.25">
      <c r="B21" s="151"/>
      <c r="C21" s="161"/>
      <c r="D21" s="161"/>
      <c r="E21" s="161"/>
      <c r="F21" s="184"/>
      <c r="G21" s="4"/>
      <c r="H21" s="4"/>
      <c r="I21" s="153"/>
    </row>
    <row r="22" spans="1:12" ht="27.75" customHeight="1" x14ac:dyDescent="0.25">
      <c r="B22" s="151"/>
      <c r="C22" s="685" t="s">
        <v>312</v>
      </c>
      <c r="D22" s="685"/>
      <c r="E22" s="685"/>
      <c r="F22" s="685"/>
      <c r="G22" s="685"/>
      <c r="H22" s="685"/>
      <c r="I22" s="153"/>
    </row>
    <row r="23" spans="1:12" ht="61.5" customHeight="1" thickBot="1" x14ac:dyDescent="0.3">
      <c r="B23" s="151"/>
      <c r="C23" s="156" t="s">
        <v>313</v>
      </c>
      <c r="D23" s="156" t="s">
        <v>314</v>
      </c>
      <c r="F23" s="156" t="s">
        <v>336</v>
      </c>
      <c r="G23" s="156" t="s">
        <v>337</v>
      </c>
      <c r="H23" s="156" t="s">
        <v>338</v>
      </c>
      <c r="I23" s="153"/>
      <c r="L23" s="156" t="s">
        <v>339</v>
      </c>
    </row>
    <row r="24" spans="1:12" s="185" customFormat="1" ht="18" customHeight="1" x14ac:dyDescent="0.25">
      <c r="B24" s="186"/>
      <c r="C24" s="187">
        <v>20</v>
      </c>
      <c r="D24" s="188">
        <f>((((F7)-(G7))/(E7))*E34)+(G7)</f>
        <v>413.74329049749304</v>
      </c>
      <c r="F24" s="188">
        <f>1/(G24/$G$20)</f>
        <v>-2.734565002800335E-3</v>
      </c>
      <c r="G24" s="188">
        <f>L24*(3.14*2*D20/360)</f>
        <v>-11702.044005986458</v>
      </c>
      <c r="H24" s="188">
        <f>G24/12</f>
        <v>-975.17033383220485</v>
      </c>
      <c r="I24" s="189"/>
      <c r="L24" s="188">
        <f>((-1)*(L28/(D28))*(C24))+(L28)</f>
        <v>-536654.2474082961</v>
      </c>
    </row>
    <row r="25" spans="1:12" s="185" customFormat="1" ht="18" customHeight="1" x14ac:dyDescent="0.25">
      <c r="B25" s="186"/>
      <c r="C25" s="190"/>
      <c r="D25" s="191"/>
      <c r="E25" s="191"/>
      <c r="F25" s="192"/>
      <c r="G25" s="191"/>
      <c r="H25" s="191"/>
      <c r="I25" s="189"/>
    </row>
    <row r="26" spans="1:12" ht="27" customHeight="1" x14ac:dyDescent="0.25">
      <c r="B26" s="151"/>
      <c r="D26" s="685" t="s">
        <v>319</v>
      </c>
      <c r="E26" s="685"/>
      <c r="F26" s="685"/>
      <c r="G26" s="685"/>
      <c r="H26" s="685"/>
      <c r="I26" s="153"/>
    </row>
    <row r="27" spans="1:12" ht="60.75" thickBot="1" x14ac:dyDescent="0.3">
      <c r="B27" s="151"/>
      <c r="C27" s="4"/>
      <c r="D27" s="156" t="s">
        <v>320</v>
      </c>
      <c r="F27" s="156" t="s">
        <v>340</v>
      </c>
      <c r="G27" s="156" t="s">
        <v>341</v>
      </c>
      <c r="H27" s="156" t="s">
        <v>342</v>
      </c>
      <c r="I27" s="153"/>
      <c r="L27" s="156" t="s">
        <v>321</v>
      </c>
    </row>
    <row r="28" spans="1:12" ht="15.75" x14ac:dyDescent="0.25">
      <c r="B28" s="151"/>
      <c r="C28" s="4"/>
      <c r="D28" s="193">
        <f>E7*(1/C34)*39.37*0.2248*F20/D20</f>
        <v>3.0348330195606663</v>
      </c>
      <c r="F28" s="188">
        <f>1/(G28/$G$20)</f>
        <v>1.5278874536821953E-2</v>
      </c>
      <c r="G28" s="193">
        <f>L28*PI()*2*D20/360</f>
        <v>2094.3951023931954</v>
      </c>
      <c r="H28" s="193">
        <f>G28/12</f>
        <v>174.53292519943295</v>
      </c>
      <c r="I28" s="153"/>
      <c r="L28" s="193">
        <f>D7*C34*(360/60)</f>
        <v>96000</v>
      </c>
    </row>
    <row r="29" spans="1:12" ht="15.75" thickBot="1" x14ac:dyDescent="0.3">
      <c r="B29" s="194"/>
      <c r="C29" s="195"/>
      <c r="D29" s="195"/>
      <c r="E29" s="195"/>
      <c r="F29" s="195"/>
      <c r="G29" s="195"/>
      <c r="H29" s="195"/>
      <c r="I29" s="196"/>
    </row>
    <row r="32" spans="1:12" hidden="1" x14ac:dyDescent="0.25"/>
    <row r="33" spans="3:5" ht="30.75" hidden="1" thickBot="1" x14ac:dyDescent="0.3">
      <c r="C33" s="197" t="s">
        <v>324</v>
      </c>
      <c r="E33" s="197" t="s">
        <v>325</v>
      </c>
    </row>
    <row r="34" spans="3:5" ht="15.75" hidden="1" x14ac:dyDescent="0.25">
      <c r="C34" s="198">
        <f>C42</f>
        <v>1</v>
      </c>
      <c r="E34" s="199">
        <f>C24*C34*D20/(0.2248*39.37)</f>
        <v>2.8247387455629007</v>
      </c>
    </row>
    <row r="35" spans="3:5" hidden="1" x14ac:dyDescent="0.25"/>
    <row r="36" spans="3:5" ht="30.75" hidden="1" thickBot="1" x14ac:dyDescent="0.3">
      <c r="C36" s="200" t="s">
        <v>326</v>
      </c>
      <c r="D36" s="200" t="s">
        <v>327</v>
      </c>
    </row>
    <row r="37" spans="3:5" ht="15.75" hidden="1" x14ac:dyDescent="0.25">
      <c r="C37" s="172">
        <f>E11</f>
        <v>1</v>
      </c>
      <c r="D37" s="172">
        <f t="shared" ref="D37:D42" si="1">$D$7*C37</f>
        <v>16000</v>
      </c>
    </row>
    <row r="38" spans="3:5" ht="15.75" hidden="1" x14ac:dyDescent="0.25">
      <c r="C38" s="177">
        <f>C37*E12</f>
        <v>1</v>
      </c>
      <c r="D38" s="177">
        <f t="shared" si="1"/>
        <v>16000</v>
      </c>
    </row>
    <row r="39" spans="3:5" ht="15.75" hidden="1" x14ac:dyDescent="0.25">
      <c r="C39" s="177">
        <f>C38*E13</f>
        <v>1</v>
      </c>
      <c r="D39" s="177">
        <f t="shared" si="1"/>
        <v>16000</v>
      </c>
    </row>
    <row r="40" spans="3:5" ht="15.75" hidden="1" x14ac:dyDescent="0.25">
      <c r="C40" s="177">
        <f>C39*E14</f>
        <v>1</v>
      </c>
      <c r="D40" s="177">
        <f t="shared" si="1"/>
        <v>16000</v>
      </c>
    </row>
    <row r="41" spans="3:5" ht="15.75" hidden="1" x14ac:dyDescent="0.25">
      <c r="C41" s="177">
        <f>C40*E15</f>
        <v>1</v>
      </c>
      <c r="D41" s="177">
        <f t="shared" si="1"/>
        <v>16000</v>
      </c>
    </row>
    <row r="42" spans="3:5" ht="15.75" hidden="1" x14ac:dyDescent="0.25">
      <c r="C42" s="177">
        <f>C41*E16</f>
        <v>1</v>
      </c>
      <c r="D42" s="177">
        <f t="shared" si="1"/>
        <v>16000</v>
      </c>
    </row>
    <row r="43" spans="3:5" hidden="1" x14ac:dyDescent="0.25"/>
  </sheetData>
  <mergeCells count="10">
    <mergeCell ref="K2:M2"/>
    <mergeCell ref="K3:O3"/>
    <mergeCell ref="C22:H22"/>
    <mergeCell ref="D26:H26"/>
    <mergeCell ref="B3:I3"/>
    <mergeCell ref="G13:H14"/>
    <mergeCell ref="G15:G16"/>
    <mergeCell ref="H15:H16"/>
    <mergeCell ref="D19:E19"/>
    <mergeCell ref="D20:E20"/>
  </mergeCells>
  <dataValidations count="1">
    <dataValidation type="list" allowBlank="1" showInputMessage="1" showErrorMessage="1" sqref="K2">
      <formula1>motor_list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TOC">
                <anchor moveWithCells="1" sizeWithCells="1">
                  <from>
                    <xdr:col>7</xdr:col>
                    <xdr:colOff>161925</xdr:colOff>
                    <xdr:row>0</xdr:row>
                    <xdr:rowOff>47625</xdr:rowOff>
                  </from>
                  <to>
                    <xdr:col>8</xdr:col>
                    <xdr:colOff>200025</xdr:colOff>
                    <xdr:row>1</xdr:row>
                    <xdr:rowOff>38100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AD45"/>
  <sheetViews>
    <sheetView showGridLines="0" zoomScaleNormal="100" workbookViewId="0">
      <pane ySplit="3" topLeftCell="A4" activePane="bottomLeft" state="frozen"/>
      <selection pane="bottomLeft" activeCell="L14" sqref="L14"/>
    </sheetView>
  </sheetViews>
  <sheetFormatPr defaultRowHeight="15" x14ac:dyDescent="0.25"/>
  <cols>
    <col min="1" max="1" width="5.140625" customWidth="1"/>
    <col min="2" max="2" width="5" customWidth="1"/>
    <col min="3" max="3" width="14.5703125" customWidth="1"/>
    <col min="4" max="4" width="15.85546875" customWidth="1"/>
    <col min="5" max="5" width="15.28515625" customWidth="1"/>
    <col min="6" max="6" width="12.85546875" customWidth="1"/>
    <col min="7" max="7" width="15.7109375" bestFit="1" customWidth="1"/>
    <col min="8" max="8" width="15.140625" customWidth="1"/>
    <col min="9" max="9" width="6.5703125" customWidth="1"/>
    <col min="10" max="10" width="6.42578125" customWidth="1"/>
    <col min="11" max="11" width="13.28515625" customWidth="1"/>
    <col min="13" max="13" width="12.140625" bestFit="1" customWidth="1"/>
    <col min="257" max="257" width="5.140625" customWidth="1"/>
    <col min="258" max="258" width="5" customWidth="1"/>
    <col min="259" max="259" width="14.5703125" customWidth="1"/>
    <col min="260" max="260" width="15.85546875" customWidth="1"/>
    <col min="261" max="261" width="15.28515625" customWidth="1"/>
    <col min="262" max="262" width="12.85546875" customWidth="1"/>
    <col min="263" max="263" width="15.7109375" bestFit="1" customWidth="1"/>
    <col min="264" max="264" width="15.140625" customWidth="1"/>
    <col min="265" max="265" width="6.5703125" customWidth="1"/>
    <col min="266" max="266" width="6.42578125" customWidth="1"/>
    <col min="513" max="513" width="5.140625" customWidth="1"/>
    <col min="514" max="514" width="5" customWidth="1"/>
    <col min="515" max="515" width="14.5703125" customWidth="1"/>
    <col min="516" max="516" width="15.85546875" customWidth="1"/>
    <col min="517" max="517" width="15.28515625" customWidth="1"/>
    <col min="518" max="518" width="12.85546875" customWidth="1"/>
    <col min="519" max="519" width="15.7109375" bestFit="1" customWidth="1"/>
    <col min="520" max="520" width="15.140625" customWidth="1"/>
    <col min="521" max="521" width="6.5703125" customWidth="1"/>
    <col min="522" max="522" width="6.42578125" customWidth="1"/>
    <col min="769" max="769" width="5.140625" customWidth="1"/>
    <col min="770" max="770" width="5" customWidth="1"/>
    <col min="771" max="771" width="14.5703125" customWidth="1"/>
    <col min="772" max="772" width="15.85546875" customWidth="1"/>
    <col min="773" max="773" width="15.28515625" customWidth="1"/>
    <col min="774" max="774" width="12.85546875" customWidth="1"/>
    <col min="775" max="775" width="15.7109375" bestFit="1" customWidth="1"/>
    <col min="776" max="776" width="15.140625" customWidth="1"/>
    <col min="777" max="777" width="6.5703125" customWidth="1"/>
    <col min="778" max="778" width="6.42578125" customWidth="1"/>
    <col min="1025" max="1025" width="5.140625" customWidth="1"/>
    <col min="1026" max="1026" width="5" customWidth="1"/>
    <col min="1027" max="1027" width="14.5703125" customWidth="1"/>
    <col min="1028" max="1028" width="15.85546875" customWidth="1"/>
    <col min="1029" max="1029" width="15.28515625" customWidth="1"/>
    <col min="1030" max="1030" width="12.85546875" customWidth="1"/>
    <col min="1031" max="1031" width="15.7109375" bestFit="1" customWidth="1"/>
    <col min="1032" max="1032" width="15.140625" customWidth="1"/>
    <col min="1033" max="1033" width="6.5703125" customWidth="1"/>
    <col min="1034" max="1034" width="6.42578125" customWidth="1"/>
    <col min="1281" max="1281" width="5.140625" customWidth="1"/>
    <col min="1282" max="1282" width="5" customWidth="1"/>
    <col min="1283" max="1283" width="14.5703125" customWidth="1"/>
    <col min="1284" max="1284" width="15.85546875" customWidth="1"/>
    <col min="1285" max="1285" width="15.28515625" customWidth="1"/>
    <col min="1286" max="1286" width="12.85546875" customWidth="1"/>
    <col min="1287" max="1287" width="15.7109375" bestFit="1" customWidth="1"/>
    <col min="1288" max="1288" width="15.140625" customWidth="1"/>
    <col min="1289" max="1289" width="6.5703125" customWidth="1"/>
    <col min="1290" max="1290" width="6.42578125" customWidth="1"/>
    <col min="1537" max="1537" width="5.140625" customWidth="1"/>
    <col min="1538" max="1538" width="5" customWidth="1"/>
    <col min="1539" max="1539" width="14.5703125" customWidth="1"/>
    <col min="1540" max="1540" width="15.85546875" customWidth="1"/>
    <col min="1541" max="1541" width="15.28515625" customWidth="1"/>
    <col min="1542" max="1542" width="12.85546875" customWidth="1"/>
    <col min="1543" max="1543" width="15.7109375" bestFit="1" customWidth="1"/>
    <col min="1544" max="1544" width="15.140625" customWidth="1"/>
    <col min="1545" max="1545" width="6.5703125" customWidth="1"/>
    <col min="1546" max="1546" width="6.42578125" customWidth="1"/>
    <col min="1793" max="1793" width="5.140625" customWidth="1"/>
    <col min="1794" max="1794" width="5" customWidth="1"/>
    <col min="1795" max="1795" width="14.5703125" customWidth="1"/>
    <col min="1796" max="1796" width="15.85546875" customWidth="1"/>
    <col min="1797" max="1797" width="15.28515625" customWidth="1"/>
    <col min="1798" max="1798" width="12.85546875" customWidth="1"/>
    <col min="1799" max="1799" width="15.7109375" bestFit="1" customWidth="1"/>
    <col min="1800" max="1800" width="15.140625" customWidth="1"/>
    <col min="1801" max="1801" width="6.5703125" customWidth="1"/>
    <col min="1802" max="1802" width="6.42578125" customWidth="1"/>
    <col min="2049" max="2049" width="5.140625" customWidth="1"/>
    <col min="2050" max="2050" width="5" customWidth="1"/>
    <col min="2051" max="2051" width="14.5703125" customWidth="1"/>
    <col min="2052" max="2052" width="15.85546875" customWidth="1"/>
    <col min="2053" max="2053" width="15.28515625" customWidth="1"/>
    <col min="2054" max="2054" width="12.85546875" customWidth="1"/>
    <col min="2055" max="2055" width="15.7109375" bestFit="1" customWidth="1"/>
    <col min="2056" max="2056" width="15.140625" customWidth="1"/>
    <col min="2057" max="2057" width="6.5703125" customWidth="1"/>
    <col min="2058" max="2058" width="6.42578125" customWidth="1"/>
    <col min="2305" max="2305" width="5.140625" customWidth="1"/>
    <col min="2306" max="2306" width="5" customWidth="1"/>
    <col min="2307" max="2307" width="14.5703125" customWidth="1"/>
    <col min="2308" max="2308" width="15.85546875" customWidth="1"/>
    <col min="2309" max="2309" width="15.28515625" customWidth="1"/>
    <col min="2310" max="2310" width="12.85546875" customWidth="1"/>
    <col min="2311" max="2311" width="15.7109375" bestFit="1" customWidth="1"/>
    <col min="2312" max="2312" width="15.140625" customWidth="1"/>
    <col min="2313" max="2313" width="6.5703125" customWidth="1"/>
    <col min="2314" max="2314" width="6.42578125" customWidth="1"/>
    <col min="2561" max="2561" width="5.140625" customWidth="1"/>
    <col min="2562" max="2562" width="5" customWidth="1"/>
    <col min="2563" max="2563" width="14.5703125" customWidth="1"/>
    <col min="2564" max="2564" width="15.85546875" customWidth="1"/>
    <col min="2565" max="2565" width="15.28515625" customWidth="1"/>
    <col min="2566" max="2566" width="12.85546875" customWidth="1"/>
    <col min="2567" max="2567" width="15.7109375" bestFit="1" customWidth="1"/>
    <col min="2568" max="2568" width="15.140625" customWidth="1"/>
    <col min="2569" max="2569" width="6.5703125" customWidth="1"/>
    <col min="2570" max="2570" width="6.42578125" customWidth="1"/>
    <col min="2817" max="2817" width="5.140625" customWidth="1"/>
    <col min="2818" max="2818" width="5" customWidth="1"/>
    <col min="2819" max="2819" width="14.5703125" customWidth="1"/>
    <col min="2820" max="2820" width="15.85546875" customWidth="1"/>
    <col min="2821" max="2821" width="15.28515625" customWidth="1"/>
    <col min="2822" max="2822" width="12.85546875" customWidth="1"/>
    <col min="2823" max="2823" width="15.7109375" bestFit="1" customWidth="1"/>
    <col min="2824" max="2824" width="15.140625" customWidth="1"/>
    <col min="2825" max="2825" width="6.5703125" customWidth="1"/>
    <col min="2826" max="2826" width="6.42578125" customWidth="1"/>
    <col min="3073" max="3073" width="5.140625" customWidth="1"/>
    <col min="3074" max="3074" width="5" customWidth="1"/>
    <col min="3075" max="3075" width="14.5703125" customWidth="1"/>
    <col min="3076" max="3076" width="15.85546875" customWidth="1"/>
    <col min="3077" max="3077" width="15.28515625" customWidth="1"/>
    <col min="3078" max="3078" width="12.85546875" customWidth="1"/>
    <col min="3079" max="3079" width="15.7109375" bestFit="1" customWidth="1"/>
    <col min="3080" max="3080" width="15.140625" customWidth="1"/>
    <col min="3081" max="3081" width="6.5703125" customWidth="1"/>
    <col min="3082" max="3082" width="6.42578125" customWidth="1"/>
    <col min="3329" max="3329" width="5.140625" customWidth="1"/>
    <col min="3330" max="3330" width="5" customWidth="1"/>
    <col min="3331" max="3331" width="14.5703125" customWidth="1"/>
    <col min="3332" max="3332" width="15.85546875" customWidth="1"/>
    <col min="3333" max="3333" width="15.28515625" customWidth="1"/>
    <col min="3334" max="3334" width="12.85546875" customWidth="1"/>
    <col min="3335" max="3335" width="15.7109375" bestFit="1" customWidth="1"/>
    <col min="3336" max="3336" width="15.140625" customWidth="1"/>
    <col min="3337" max="3337" width="6.5703125" customWidth="1"/>
    <col min="3338" max="3338" width="6.42578125" customWidth="1"/>
    <col min="3585" max="3585" width="5.140625" customWidth="1"/>
    <col min="3586" max="3586" width="5" customWidth="1"/>
    <col min="3587" max="3587" width="14.5703125" customWidth="1"/>
    <col min="3588" max="3588" width="15.85546875" customWidth="1"/>
    <col min="3589" max="3589" width="15.28515625" customWidth="1"/>
    <col min="3590" max="3590" width="12.85546875" customWidth="1"/>
    <col min="3591" max="3591" width="15.7109375" bestFit="1" customWidth="1"/>
    <col min="3592" max="3592" width="15.140625" customWidth="1"/>
    <col min="3593" max="3593" width="6.5703125" customWidth="1"/>
    <col min="3594" max="3594" width="6.42578125" customWidth="1"/>
    <col min="3841" max="3841" width="5.140625" customWidth="1"/>
    <col min="3842" max="3842" width="5" customWidth="1"/>
    <col min="3843" max="3843" width="14.5703125" customWidth="1"/>
    <col min="3844" max="3844" width="15.85546875" customWidth="1"/>
    <col min="3845" max="3845" width="15.28515625" customWidth="1"/>
    <col min="3846" max="3846" width="12.85546875" customWidth="1"/>
    <col min="3847" max="3847" width="15.7109375" bestFit="1" customWidth="1"/>
    <col min="3848" max="3848" width="15.140625" customWidth="1"/>
    <col min="3849" max="3849" width="6.5703125" customWidth="1"/>
    <col min="3850" max="3850" width="6.42578125" customWidth="1"/>
    <col min="4097" max="4097" width="5.140625" customWidth="1"/>
    <col min="4098" max="4098" width="5" customWidth="1"/>
    <col min="4099" max="4099" width="14.5703125" customWidth="1"/>
    <col min="4100" max="4100" width="15.85546875" customWidth="1"/>
    <col min="4101" max="4101" width="15.28515625" customWidth="1"/>
    <col min="4102" max="4102" width="12.85546875" customWidth="1"/>
    <col min="4103" max="4103" width="15.7109375" bestFit="1" customWidth="1"/>
    <col min="4104" max="4104" width="15.140625" customWidth="1"/>
    <col min="4105" max="4105" width="6.5703125" customWidth="1"/>
    <col min="4106" max="4106" width="6.42578125" customWidth="1"/>
    <col min="4353" max="4353" width="5.140625" customWidth="1"/>
    <col min="4354" max="4354" width="5" customWidth="1"/>
    <col min="4355" max="4355" width="14.5703125" customWidth="1"/>
    <col min="4356" max="4356" width="15.85546875" customWidth="1"/>
    <col min="4357" max="4357" width="15.28515625" customWidth="1"/>
    <col min="4358" max="4358" width="12.85546875" customWidth="1"/>
    <col min="4359" max="4359" width="15.7109375" bestFit="1" customWidth="1"/>
    <col min="4360" max="4360" width="15.140625" customWidth="1"/>
    <col min="4361" max="4361" width="6.5703125" customWidth="1"/>
    <col min="4362" max="4362" width="6.42578125" customWidth="1"/>
    <col min="4609" max="4609" width="5.140625" customWidth="1"/>
    <col min="4610" max="4610" width="5" customWidth="1"/>
    <col min="4611" max="4611" width="14.5703125" customWidth="1"/>
    <col min="4612" max="4612" width="15.85546875" customWidth="1"/>
    <col min="4613" max="4613" width="15.28515625" customWidth="1"/>
    <col min="4614" max="4614" width="12.85546875" customWidth="1"/>
    <col min="4615" max="4615" width="15.7109375" bestFit="1" customWidth="1"/>
    <col min="4616" max="4616" width="15.140625" customWidth="1"/>
    <col min="4617" max="4617" width="6.5703125" customWidth="1"/>
    <col min="4618" max="4618" width="6.42578125" customWidth="1"/>
    <col min="4865" max="4865" width="5.140625" customWidth="1"/>
    <col min="4866" max="4866" width="5" customWidth="1"/>
    <col min="4867" max="4867" width="14.5703125" customWidth="1"/>
    <col min="4868" max="4868" width="15.85546875" customWidth="1"/>
    <col min="4869" max="4869" width="15.28515625" customWidth="1"/>
    <col min="4870" max="4870" width="12.85546875" customWidth="1"/>
    <col min="4871" max="4871" width="15.7109375" bestFit="1" customWidth="1"/>
    <col min="4872" max="4872" width="15.140625" customWidth="1"/>
    <col min="4873" max="4873" width="6.5703125" customWidth="1"/>
    <col min="4874" max="4874" width="6.42578125" customWidth="1"/>
    <col min="5121" max="5121" width="5.140625" customWidth="1"/>
    <col min="5122" max="5122" width="5" customWidth="1"/>
    <col min="5123" max="5123" width="14.5703125" customWidth="1"/>
    <col min="5124" max="5124" width="15.85546875" customWidth="1"/>
    <col min="5125" max="5125" width="15.28515625" customWidth="1"/>
    <col min="5126" max="5126" width="12.85546875" customWidth="1"/>
    <col min="5127" max="5127" width="15.7109375" bestFit="1" customWidth="1"/>
    <col min="5128" max="5128" width="15.140625" customWidth="1"/>
    <col min="5129" max="5129" width="6.5703125" customWidth="1"/>
    <col min="5130" max="5130" width="6.42578125" customWidth="1"/>
    <col min="5377" max="5377" width="5.140625" customWidth="1"/>
    <col min="5378" max="5378" width="5" customWidth="1"/>
    <col min="5379" max="5379" width="14.5703125" customWidth="1"/>
    <col min="5380" max="5380" width="15.85546875" customWidth="1"/>
    <col min="5381" max="5381" width="15.28515625" customWidth="1"/>
    <col min="5382" max="5382" width="12.85546875" customWidth="1"/>
    <col min="5383" max="5383" width="15.7109375" bestFit="1" customWidth="1"/>
    <col min="5384" max="5384" width="15.140625" customWidth="1"/>
    <col min="5385" max="5385" width="6.5703125" customWidth="1"/>
    <col min="5386" max="5386" width="6.42578125" customWidth="1"/>
    <col min="5633" max="5633" width="5.140625" customWidth="1"/>
    <col min="5634" max="5634" width="5" customWidth="1"/>
    <col min="5635" max="5635" width="14.5703125" customWidth="1"/>
    <col min="5636" max="5636" width="15.85546875" customWidth="1"/>
    <col min="5637" max="5637" width="15.28515625" customWidth="1"/>
    <col min="5638" max="5638" width="12.85546875" customWidth="1"/>
    <col min="5639" max="5639" width="15.7109375" bestFit="1" customWidth="1"/>
    <col min="5640" max="5640" width="15.140625" customWidth="1"/>
    <col min="5641" max="5641" width="6.5703125" customWidth="1"/>
    <col min="5642" max="5642" width="6.42578125" customWidth="1"/>
    <col min="5889" max="5889" width="5.140625" customWidth="1"/>
    <col min="5890" max="5890" width="5" customWidth="1"/>
    <col min="5891" max="5891" width="14.5703125" customWidth="1"/>
    <col min="5892" max="5892" width="15.85546875" customWidth="1"/>
    <col min="5893" max="5893" width="15.28515625" customWidth="1"/>
    <col min="5894" max="5894" width="12.85546875" customWidth="1"/>
    <col min="5895" max="5895" width="15.7109375" bestFit="1" customWidth="1"/>
    <col min="5896" max="5896" width="15.140625" customWidth="1"/>
    <col min="5897" max="5897" width="6.5703125" customWidth="1"/>
    <col min="5898" max="5898" width="6.42578125" customWidth="1"/>
    <col min="6145" max="6145" width="5.140625" customWidth="1"/>
    <col min="6146" max="6146" width="5" customWidth="1"/>
    <col min="6147" max="6147" width="14.5703125" customWidth="1"/>
    <col min="6148" max="6148" width="15.85546875" customWidth="1"/>
    <col min="6149" max="6149" width="15.28515625" customWidth="1"/>
    <col min="6150" max="6150" width="12.85546875" customWidth="1"/>
    <col min="6151" max="6151" width="15.7109375" bestFit="1" customWidth="1"/>
    <col min="6152" max="6152" width="15.140625" customWidth="1"/>
    <col min="6153" max="6153" width="6.5703125" customWidth="1"/>
    <col min="6154" max="6154" width="6.42578125" customWidth="1"/>
    <col min="6401" max="6401" width="5.140625" customWidth="1"/>
    <col min="6402" max="6402" width="5" customWidth="1"/>
    <col min="6403" max="6403" width="14.5703125" customWidth="1"/>
    <col min="6404" max="6404" width="15.85546875" customWidth="1"/>
    <col min="6405" max="6405" width="15.28515625" customWidth="1"/>
    <col min="6406" max="6406" width="12.85546875" customWidth="1"/>
    <col min="6407" max="6407" width="15.7109375" bestFit="1" customWidth="1"/>
    <col min="6408" max="6408" width="15.140625" customWidth="1"/>
    <col min="6409" max="6409" width="6.5703125" customWidth="1"/>
    <col min="6410" max="6410" width="6.42578125" customWidth="1"/>
    <col min="6657" max="6657" width="5.140625" customWidth="1"/>
    <col min="6658" max="6658" width="5" customWidth="1"/>
    <col min="6659" max="6659" width="14.5703125" customWidth="1"/>
    <col min="6660" max="6660" width="15.85546875" customWidth="1"/>
    <col min="6661" max="6661" width="15.28515625" customWidth="1"/>
    <col min="6662" max="6662" width="12.85546875" customWidth="1"/>
    <col min="6663" max="6663" width="15.7109375" bestFit="1" customWidth="1"/>
    <col min="6664" max="6664" width="15.140625" customWidth="1"/>
    <col min="6665" max="6665" width="6.5703125" customWidth="1"/>
    <col min="6666" max="6666" width="6.42578125" customWidth="1"/>
    <col min="6913" max="6913" width="5.140625" customWidth="1"/>
    <col min="6914" max="6914" width="5" customWidth="1"/>
    <col min="6915" max="6915" width="14.5703125" customWidth="1"/>
    <col min="6916" max="6916" width="15.85546875" customWidth="1"/>
    <col min="6917" max="6917" width="15.28515625" customWidth="1"/>
    <col min="6918" max="6918" width="12.85546875" customWidth="1"/>
    <col min="6919" max="6919" width="15.7109375" bestFit="1" customWidth="1"/>
    <col min="6920" max="6920" width="15.140625" customWidth="1"/>
    <col min="6921" max="6921" width="6.5703125" customWidth="1"/>
    <col min="6922" max="6922" width="6.42578125" customWidth="1"/>
    <col min="7169" max="7169" width="5.140625" customWidth="1"/>
    <col min="7170" max="7170" width="5" customWidth="1"/>
    <col min="7171" max="7171" width="14.5703125" customWidth="1"/>
    <col min="7172" max="7172" width="15.85546875" customWidth="1"/>
    <col min="7173" max="7173" width="15.28515625" customWidth="1"/>
    <col min="7174" max="7174" width="12.85546875" customWidth="1"/>
    <col min="7175" max="7175" width="15.7109375" bestFit="1" customWidth="1"/>
    <col min="7176" max="7176" width="15.140625" customWidth="1"/>
    <col min="7177" max="7177" width="6.5703125" customWidth="1"/>
    <col min="7178" max="7178" width="6.42578125" customWidth="1"/>
    <col min="7425" max="7425" width="5.140625" customWidth="1"/>
    <col min="7426" max="7426" width="5" customWidth="1"/>
    <col min="7427" max="7427" width="14.5703125" customWidth="1"/>
    <col min="7428" max="7428" width="15.85546875" customWidth="1"/>
    <col min="7429" max="7429" width="15.28515625" customWidth="1"/>
    <col min="7430" max="7430" width="12.85546875" customWidth="1"/>
    <col min="7431" max="7431" width="15.7109375" bestFit="1" customWidth="1"/>
    <col min="7432" max="7432" width="15.140625" customWidth="1"/>
    <col min="7433" max="7433" width="6.5703125" customWidth="1"/>
    <col min="7434" max="7434" width="6.42578125" customWidth="1"/>
    <col min="7681" max="7681" width="5.140625" customWidth="1"/>
    <col min="7682" max="7682" width="5" customWidth="1"/>
    <col min="7683" max="7683" width="14.5703125" customWidth="1"/>
    <col min="7684" max="7684" width="15.85546875" customWidth="1"/>
    <col min="7685" max="7685" width="15.28515625" customWidth="1"/>
    <col min="7686" max="7686" width="12.85546875" customWidth="1"/>
    <col min="7687" max="7687" width="15.7109375" bestFit="1" customWidth="1"/>
    <col min="7688" max="7688" width="15.140625" customWidth="1"/>
    <col min="7689" max="7689" width="6.5703125" customWidth="1"/>
    <col min="7690" max="7690" width="6.42578125" customWidth="1"/>
    <col min="7937" max="7937" width="5.140625" customWidth="1"/>
    <col min="7938" max="7938" width="5" customWidth="1"/>
    <col min="7939" max="7939" width="14.5703125" customWidth="1"/>
    <col min="7940" max="7940" width="15.85546875" customWidth="1"/>
    <col min="7941" max="7941" width="15.28515625" customWidth="1"/>
    <col min="7942" max="7942" width="12.85546875" customWidth="1"/>
    <col min="7943" max="7943" width="15.7109375" bestFit="1" customWidth="1"/>
    <col min="7944" max="7944" width="15.140625" customWidth="1"/>
    <col min="7945" max="7945" width="6.5703125" customWidth="1"/>
    <col min="7946" max="7946" width="6.42578125" customWidth="1"/>
    <col min="8193" max="8193" width="5.140625" customWidth="1"/>
    <col min="8194" max="8194" width="5" customWidth="1"/>
    <col min="8195" max="8195" width="14.5703125" customWidth="1"/>
    <col min="8196" max="8196" width="15.85546875" customWidth="1"/>
    <col min="8197" max="8197" width="15.28515625" customWidth="1"/>
    <col min="8198" max="8198" width="12.85546875" customWidth="1"/>
    <col min="8199" max="8199" width="15.7109375" bestFit="1" customWidth="1"/>
    <col min="8200" max="8200" width="15.140625" customWidth="1"/>
    <col min="8201" max="8201" width="6.5703125" customWidth="1"/>
    <col min="8202" max="8202" width="6.42578125" customWidth="1"/>
    <col min="8449" max="8449" width="5.140625" customWidth="1"/>
    <col min="8450" max="8450" width="5" customWidth="1"/>
    <col min="8451" max="8451" width="14.5703125" customWidth="1"/>
    <col min="8452" max="8452" width="15.85546875" customWidth="1"/>
    <col min="8453" max="8453" width="15.28515625" customWidth="1"/>
    <col min="8454" max="8454" width="12.85546875" customWidth="1"/>
    <col min="8455" max="8455" width="15.7109375" bestFit="1" customWidth="1"/>
    <col min="8456" max="8456" width="15.140625" customWidth="1"/>
    <col min="8457" max="8457" width="6.5703125" customWidth="1"/>
    <col min="8458" max="8458" width="6.42578125" customWidth="1"/>
    <col min="8705" max="8705" width="5.140625" customWidth="1"/>
    <col min="8706" max="8706" width="5" customWidth="1"/>
    <col min="8707" max="8707" width="14.5703125" customWidth="1"/>
    <col min="8708" max="8708" width="15.85546875" customWidth="1"/>
    <col min="8709" max="8709" width="15.28515625" customWidth="1"/>
    <col min="8710" max="8710" width="12.85546875" customWidth="1"/>
    <col min="8711" max="8711" width="15.7109375" bestFit="1" customWidth="1"/>
    <col min="8712" max="8712" width="15.140625" customWidth="1"/>
    <col min="8713" max="8713" width="6.5703125" customWidth="1"/>
    <col min="8714" max="8714" width="6.42578125" customWidth="1"/>
    <col min="8961" max="8961" width="5.140625" customWidth="1"/>
    <col min="8962" max="8962" width="5" customWidth="1"/>
    <col min="8963" max="8963" width="14.5703125" customWidth="1"/>
    <col min="8964" max="8964" width="15.85546875" customWidth="1"/>
    <col min="8965" max="8965" width="15.28515625" customWidth="1"/>
    <col min="8966" max="8966" width="12.85546875" customWidth="1"/>
    <col min="8967" max="8967" width="15.7109375" bestFit="1" customWidth="1"/>
    <col min="8968" max="8968" width="15.140625" customWidth="1"/>
    <col min="8969" max="8969" width="6.5703125" customWidth="1"/>
    <col min="8970" max="8970" width="6.42578125" customWidth="1"/>
    <col min="9217" max="9217" width="5.140625" customWidth="1"/>
    <col min="9218" max="9218" width="5" customWidth="1"/>
    <col min="9219" max="9219" width="14.5703125" customWidth="1"/>
    <col min="9220" max="9220" width="15.85546875" customWidth="1"/>
    <col min="9221" max="9221" width="15.28515625" customWidth="1"/>
    <col min="9222" max="9222" width="12.85546875" customWidth="1"/>
    <col min="9223" max="9223" width="15.7109375" bestFit="1" customWidth="1"/>
    <col min="9224" max="9224" width="15.140625" customWidth="1"/>
    <col min="9225" max="9225" width="6.5703125" customWidth="1"/>
    <col min="9226" max="9226" width="6.42578125" customWidth="1"/>
    <col min="9473" max="9473" width="5.140625" customWidth="1"/>
    <col min="9474" max="9474" width="5" customWidth="1"/>
    <col min="9475" max="9475" width="14.5703125" customWidth="1"/>
    <col min="9476" max="9476" width="15.85546875" customWidth="1"/>
    <col min="9477" max="9477" width="15.28515625" customWidth="1"/>
    <col min="9478" max="9478" width="12.85546875" customWidth="1"/>
    <col min="9479" max="9479" width="15.7109375" bestFit="1" customWidth="1"/>
    <col min="9480" max="9480" width="15.140625" customWidth="1"/>
    <col min="9481" max="9481" width="6.5703125" customWidth="1"/>
    <col min="9482" max="9482" width="6.42578125" customWidth="1"/>
    <col min="9729" max="9729" width="5.140625" customWidth="1"/>
    <col min="9730" max="9730" width="5" customWidth="1"/>
    <col min="9731" max="9731" width="14.5703125" customWidth="1"/>
    <col min="9732" max="9732" width="15.85546875" customWidth="1"/>
    <col min="9733" max="9733" width="15.28515625" customWidth="1"/>
    <col min="9734" max="9734" width="12.85546875" customWidth="1"/>
    <col min="9735" max="9735" width="15.7109375" bestFit="1" customWidth="1"/>
    <col min="9736" max="9736" width="15.140625" customWidth="1"/>
    <col min="9737" max="9737" width="6.5703125" customWidth="1"/>
    <col min="9738" max="9738" width="6.42578125" customWidth="1"/>
    <col min="9985" max="9985" width="5.140625" customWidth="1"/>
    <col min="9986" max="9986" width="5" customWidth="1"/>
    <col min="9987" max="9987" width="14.5703125" customWidth="1"/>
    <col min="9988" max="9988" width="15.85546875" customWidth="1"/>
    <col min="9989" max="9989" width="15.28515625" customWidth="1"/>
    <col min="9990" max="9990" width="12.85546875" customWidth="1"/>
    <col min="9991" max="9991" width="15.7109375" bestFit="1" customWidth="1"/>
    <col min="9992" max="9992" width="15.140625" customWidth="1"/>
    <col min="9993" max="9993" width="6.5703125" customWidth="1"/>
    <col min="9994" max="9994" width="6.42578125" customWidth="1"/>
    <col min="10241" max="10241" width="5.140625" customWidth="1"/>
    <col min="10242" max="10242" width="5" customWidth="1"/>
    <col min="10243" max="10243" width="14.5703125" customWidth="1"/>
    <col min="10244" max="10244" width="15.85546875" customWidth="1"/>
    <col min="10245" max="10245" width="15.28515625" customWidth="1"/>
    <col min="10246" max="10246" width="12.85546875" customWidth="1"/>
    <col min="10247" max="10247" width="15.7109375" bestFit="1" customWidth="1"/>
    <col min="10248" max="10248" width="15.140625" customWidth="1"/>
    <col min="10249" max="10249" width="6.5703125" customWidth="1"/>
    <col min="10250" max="10250" width="6.42578125" customWidth="1"/>
    <col min="10497" max="10497" width="5.140625" customWidth="1"/>
    <col min="10498" max="10498" width="5" customWidth="1"/>
    <col min="10499" max="10499" width="14.5703125" customWidth="1"/>
    <col min="10500" max="10500" width="15.85546875" customWidth="1"/>
    <col min="10501" max="10501" width="15.28515625" customWidth="1"/>
    <col min="10502" max="10502" width="12.85546875" customWidth="1"/>
    <col min="10503" max="10503" width="15.7109375" bestFit="1" customWidth="1"/>
    <col min="10504" max="10504" width="15.140625" customWidth="1"/>
    <col min="10505" max="10505" width="6.5703125" customWidth="1"/>
    <col min="10506" max="10506" width="6.42578125" customWidth="1"/>
    <col min="10753" max="10753" width="5.140625" customWidth="1"/>
    <col min="10754" max="10754" width="5" customWidth="1"/>
    <col min="10755" max="10755" width="14.5703125" customWidth="1"/>
    <col min="10756" max="10756" width="15.85546875" customWidth="1"/>
    <col min="10757" max="10757" width="15.28515625" customWidth="1"/>
    <col min="10758" max="10758" width="12.85546875" customWidth="1"/>
    <col min="10759" max="10759" width="15.7109375" bestFit="1" customWidth="1"/>
    <col min="10760" max="10760" width="15.140625" customWidth="1"/>
    <col min="10761" max="10761" width="6.5703125" customWidth="1"/>
    <col min="10762" max="10762" width="6.42578125" customWidth="1"/>
    <col min="11009" max="11009" width="5.140625" customWidth="1"/>
    <col min="11010" max="11010" width="5" customWidth="1"/>
    <col min="11011" max="11011" width="14.5703125" customWidth="1"/>
    <col min="11012" max="11012" width="15.85546875" customWidth="1"/>
    <col min="11013" max="11013" width="15.28515625" customWidth="1"/>
    <col min="11014" max="11014" width="12.85546875" customWidth="1"/>
    <col min="11015" max="11015" width="15.7109375" bestFit="1" customWidth="1"/>
    <col min="11016" max="11016" width="15.140625" customWidth="1"/>
    <col min="11017" max="11017" width="6.5703125" customWidth="1"/>
    <col min="11018" max="11018" width="6.42578125" customWidth="1"/>
    <col min="11265" max="11265" width="5.140625" customWidth="1"/>
    <col min="11266" max="11266" width="5" customWidth="1"/>
    <col min="11267" max="11267" width="14.5703125" customWidth="1"/>
    <col min="11268" max="11268" width="15.85546875" customWidth="1"/>
    <col min="11269" max="11269" width="15.28515625" customWidth="1"/>
    <col min="11270" max="11270" width="12.85546875" customWidth="1"/>
    <col min="11271" max="11271" width="15.7109375" bestFit="1" customWidth="1"/>
    <col min="11272" max="11272" width="15.140625" customWidth="1"/>
    <col min="11273" max="11273" width="6.5703125" customWidth="1"/>
    <col min="11274" max="11274" width="6.42578125" customWidth="1"/>
    <col min="11521" max="11521" width="5.140625" customWidth="1"/>
    <col min="11522" max="11522" width="5" customWidth="1"/>
    <col min="11523" max="11523" width="14.5703125" customWidth="1"/>
    <col min="11524" max="11524" width="15.85546875" customWidth="1"/>
    <col min="11525" max="11525" width="15.28515625" customWidth="1"/>
    <col min="11526" max="11526" width="12.85546875" customWidth="1"/>
    <col min="11527" max="11527" width="15.7109375" bestFit="1" customWidth="1"/>
    <col min="11528" max="11528" width="15.140625" customWidth="1"/>
    <col min="11529" max="11529" width="6.5703125" customWidth="1"/>
    <col min="11530" max="11530" width="6.42578125" customWidth="1"/>
    <col min="11777" max="11777" width="5.140625" customWidth="1"/>
    <col min="11778" max="11778" width="5" customWidth="1"/>
    <col min="11779" max="11779" width="14.5703125" customWidth="1"/>
    <col min="11780" max="11780" width="15.85546875" customWidth="1"/>
    <col min="11781" max="11781" width="15.28515625" customWidth="1"/>
    <col min="11782" max="11782" width="12.85546875" customWidth="1"/>
    <col min="11783" max="11783" width="15.7109375" bestFit="1" customWidth="1"/>
    <col min="11784" max="11784" width="15.140625" customWidth="1"/>
    <col min="11785" max="11785" width="6.5703125" customWidth="1"/>
    <col min="11786" max="11786" width="6.42578125" customWidth="1"/>
    <col min="12033" max="12033" width="5.140625" customWidth="1"/>
    <col min="12034" max="12034" width="5" customWidth="1"/>
    <col min="12035" max="12035" width="14.5703125" customWidth="1"/>
    <col min="12036" max="12036" width="15.85546875" customWidth="1"/>
    <col min="12037" max="12037" width="15.28515625" customWidth="1"/>
    <col min="12038" max="12038" width="12.85546875" customWidth="1"/>
    <col min="12039" max="12039" width="15.7109375" bestFit="1" customWidth="1"/>
    <col min="12040" max="12040" width="15.140625" customWidth="1"/>
    <col min="12041" max="12041" width="6.5703125" customWidth="1"/>
    <col min="12042" max="12042" width="6.42578125" customWidth="1"/>
    <col min="12289" max="12289" width="5.140625" customWidth="1"/>
    <col min="12290" max="12290" width="5" customWidth="1"/>
    <col min="12291" max="12291" width="14.5703125" customWidth="1"/>
    <col min="12292" max="12292" width="15.85546875" customWidth="1"/>
    <col min="12293" max="12293" width="15.28515625" customWidth="1"/>
    <col min="12294" max="12294" width="12.85546875" customWidth="1"/>
    <col min="12295" max="12295" width="15.7109375" bestFit="1" customWidth="1"/>
    <col min="12296" max="12296" width="15.140625" customWidth="1"/>
    <col min="12297" max="12297" width="6.5703125" customWidth="1"/>
    <col min="12298" max="12298" width="6.42578125" customWidth="1"/>
    <col min="12545" max="12545" width="5.140625" customWidth="1"/>
    <col min="12546" max="12546" width="5" customWidth="1"/>
    <col min="12547" max="12547" width="14.5703125" customWidth="1"/>
    <col min="12548" max="12548" width="15.85546875" customWidth="1"/>
    <col min="12549" max="12549" width="15.28515625" customWidth="1"/>
    <col min="12550" max="12550" width="12.85546875" customWidth="1"/>
    <col min="12551" max="12551" width="15.7109375" bestFit="1" customWidth="1"/>
    <col min="12552" max="12552" width="15.140625" customWidth="1"/>
    <col min="12553" max="12553" width="6.5703125" customWidth="1"/>
    <col min="12554" max="12554" width="6.42578125" customWidth="1"/>
    <col min="12801" max="12801" width="5.140625" customWidth="1"/>
    <col min="12802" max="12802" width="5" customWidth="1"/>
    <col min="12803" max="12803" width="14.5703125" customWidth="1"/>
    <col min="12804" max="12804" width="15.85546875" customWidth="1"/>
    <col min="12805" max="12805" width="15.28515625" customWidth="1"/>
    <col min="12806" max="12806" width="12.85546875" customWidth="1"/>
    <col min="12807" max="12807" width="15.7109375" bestFit="1" customWidth="1"/>
    <col min="12808" max="12808" width="15.140625" customWidth="1"/>
    <col min="12809" max="12809" width="6.5703125" customWidth="1"/>
    <col min="12810" max="12810" width="6.42578125" customWidth="1"/>
    <col min="13057" max="13057" width="5.140625" customWidth="1"/>
    <col min="13058" max="13058" width="5" customWidth="1"/>
    <col min="13059" max="13059" width="14.5703125" customWidth="1"/>
    <col min="13060" max="13060" width="15.85546875" customWidth="1"/>
    <col min="13061" max="13061" width="15.28515625" customWidth="1"/>
    <col min="13062" max="13062" width="12.85546875" customWidth="1"/>
    <col min="13063" max="13063" width="15.7109375" bestFit="1" customWidth="1"/>
    <col min="13064" max="13064" width="15.140625" customWidth="1"/>
    <col min="13065" max="13065" width="6.5703125" customWidth="1"/>
    <col min="13066" max="13066" width="6.42578125" customWidth="1"/>
    <col min="13313" max="13313" width="5.140625" customWidth="1"/>
    <col min="13314" max="13314" width="5" customWidth="1"/>
    <col min="13315" max="13315" width="14.5703125" customWidth="1"/>
    <col min="13316" max="13316" width="15.85546875" customWidth="1"/>
    <col min="13317" max="13317" width="15.28515625" customWidth="1"/>
    <col min="13318" max="13318" width="12.85546875" customWidth="1"/>
    <col min="13319" max="13319" width="15.7109375" bestFit="1" customWidth="1"/>
    <col min="13320" max="13320" width="15.140625" customWidth="1"/>
    <col min="13321" max="13321" width="6.5703125" customWidth="1"/>
    <col min="13322" max="13322" width="6.42578125" customWidth="1"/>
    <col min="13569" max="13569" width="5.140625" customWidth="1"/>
    <col min="13570" max="13570" width="5" customWidth="1"/>
    <col min="13571" max="13571" width="14.5703125" customWidth="1"/>
    <col min="13572" max="13572" width="15.85546875" customWidth="1"/>
    <col min="13573" max="13573" width="15.28515625" customWidth="1"/>
    <col min="13574" max="13574" width="12.85546875" customWidth="1"/>
    <col min="13575" max="13575" width="15.7109375" bestFit="1" customWidth="1"/>
    <col min="13576" max="13576" width="15.140625" customWidth="1"/>
    <col min="13577" max="13577" width="6.5703125" customWidth="1"/>
    <col min="13578" max="13578" width="6.42578125" customWidth="1"/>
    <col min="13825" max="13825" width="5.140625" customWidth="1"/>
    <col min="13826" max="13826" width="5" customWidth="1"/>
    <col min="13827" max="13827" width="14.5703125" customWidth="1"/>
    <col min="13828" max="13828" width="15.85546875" customWidth="1"/>
    <col min="13829" max="13829" width="15.28515625" customWidth="1"/>
    <col min="13830" max="13830" width="12.85546875" customWidth="1"/>
    <col min="13831" max="13831" width="15.7109375" bestFit="1" customWidth="1"/>
    <col min="13832" max="13832" width="15.140625" customWidth="1"/>
    <col min="13833" max="13833" width="6.5703125" customWidth="1"/>
    <col min="13834" max="13834" width="6.42578125" customWidth="1"/>
    <col min="14081" max="14081" width="5.140625" customWidth="1"/>
    <col min="14082" max="14082" width="5" customWidth="1"/>
    <col min="14083" max="14083" width="14.5703125" customWidth="1"/>
    <col min="14084" max="14084" width="15.85546875" customWidth="1"/>
    <col min="14085" max="14085" width="15.28515625" customWidth="1"/>
    <col min="14086" max="14086" width="12.85546875" customWidth="1"/>
    <col min="14087" max="14087" width="15.7109375" bestFit="1" customWidth="1"/>
    <col min="14088" max="14088" width="15.140625" customWidth="1"/>
    <col min="14089" max="14089" width="6.5703125" customWidth="1"/>
    <col min="14090" max="14090" width="6.42578125" customWidth="1"/>
    <col min="14337" max="14337" width="5.140625" customWidth="1"/>
    <col min="14338" max="14338" width="5" customWidth="1"/>
    <col min="14339" max="14339" width="14.5703125" customWidth="1"/>
    <col min="14340" max="14340" width="15.85546875" customWidth="1"/>
    <col min="14341" max="14341" width="15.28515625" customWidth="1"/>
    <col min="14342" max="14342" width="12.85546875" customWidth="1"/>
    <col min="14343" max="14343" width="15.7109375" bestFit="1" customWidth="1"/>
    <col min="14344" max="14344" width="15.140625" customWidth="1"/>
    <col min="14345" max="14345" width="6.5703125" customWidth="1"/>
    <col min="14346" max="14346" width="6.42578125" customWidth="1"/>
    <col min="14593" max="14593" width="5.140625" customWidth="1"/>
    <col min="14594" max="14594" width="5" customWidth="1"/>
    <col min="14595" max="14595" width="14.5703125" customWidth="1"/>
    <col min="14596" max="14596" width="15.85546875" customWidth="1"/>
    <col min="14597" max="14597" width="15.28515625" customWidth="1"/>
    <col min="14598" max="14598" width="12.85546875" customWidth="1"/>
    <col min="14599" max="14599" width="15.7109375" bestFit="1" customWidth="1"/>
    <col min="14600" max="14600" width="15.140625" customWidth="1"/>
    <col min="14601" max="14601" width="6.5703125" customWidth="1"/>
    <col min="14602" max="14602" width="6.42578125" customWidth="1"/>
    <col min="14849" max="14849" width="5.140625" customWidth="1"/>
    <col min="14850" max="14850" width="5" customWidth="1"/>
    <col min="14851" max="14851" width="14.5703125" customWidth="1"/>
    <col min="14852" max="14852" width="15.85546875" customWidth="1"/>
    <col min="14853" max="14853" width="15.28515625" customWidth="1"/>
    <col min="14854" max="14854" width="12.85546875" customWidth="1"/>
    <col min="14855" max="14855" width="15.7109375" bestFit="1" customWidth="1"/>
    <col min="14856" max="14856" width="15.140625" customWidth="1"/>
    <col min="14857" max="14857" width="6.5703125" customWidth="1"/>
    <col min="14858" max="14858" width="6.42578125" customWidth="1"/>
    <col min="15105" max="15105" width="5.140625" customWidth="1"/>
    <col min="15106" max="15106" width="5" customWidth="1"/>
    <col min="15107" max="15107" width="14.5703125" customWidth="1"/>
    <col min="15108" max="15108" width="15.85546875" customWidth="1"/>
    <col min="15109" max="15109" width="15.28515625" customWidth="1"/>
    <col min="15110" max="15110" width="12.85546875" customWidth="1"/>
    <col min="15111" max="15111" width="15.7109375" bestFit="1" customWidth="1"/>
    <col min="15112" max="15112" width="15.140625" customWidth="1"/>
    <col min="15113" max="15113" width="6.5703125" customWidth="1"/>
    <col min="15114" max="15114" width="6.42578125" customWidth="1"/>
    <col min="15361" max="15361" width="5.140625" customWidth="1"/>
    <col min="15362" max="15362" width="5" customWidth="1"/>
    <col min="15363" max="15363" width="14.5703125" customWidth="1"/>
    <col min="15364" max="15364" width="15.85546875" customWidth="1"/>
    <col min="15365" max="15365" width="15.28515625" customWidth="1"/>
    <col min="15366" max="15366" width="12.85546875" customWidth="1"/>
    <col min="15367" max="15367" width="15.7109375" bestFit="1" customWidth="1"/>
    <col min="15368" max="15368" width="15.140625" customWidth="1"/>
    <col min="15369" max="15369" width="6.5703125" customWidth="1"/>
    <col min="15370" max="15370" width="6.42578125" customWidth="1"/>
    <col min="15617" max="15617" width="5.140625" customWidth="1"/>
    <col min="15618" max="15618" width="5" customWidth="1"/>
    <col min="15619" max="15619" width="14.5703125" customWidth="1"/>
    <col min="15620" max="15620" width="15.85546875" customWidth="1"/>
    <col min="15621" max="15621" width="15.28515625" customWidth="1"/>
    <col min="15622" max="15622" width="12.85546875" customWidth="1"/>
    <col min="15623" max="15623" width="15.7109375" bestFit="1" customWidth="1"/>
    <col min="15624" max="15624" width="15.140625" customWidth="1"/>
    <col min="15625" max="15625" width="6.5703125" customWidth="1"/>
    <col min="15626" max="15626" width="6.42578125" customWidth="1"/>
    <col min="15873" max="15873" width="5.140625" customWidth="1"/>
    <col min="15874" max="15874" width="5" customWidth="1"/>
    <col min="15875" max="15875" width="14.5703125" customWidth="1"/>
    <col min="15876" max="15876" width="15.85546875" customWidth="1"/>
    <col min="15877" max="15877" width="15.28515625" customWidth="1"/>
    <col min="15878" max="15878" width="12.85546875" customWidth="1"/>
    <col min="15879" max="15879" width="15.7109375" bestFit="1" customWidth="1"/>
    <col min="15880" max="15880" width="15.140625" customWidth="1"/>
    <col min="15881" max="15881" width="6.5703125" customWidth="1"/>
    <col min="15882" max="15882" width="6.42578125" customWidth="1"/>
    <col min="16129" max="16129" width="5.140625" customWidth="1"/>
    <col min="16130" max="16130" width="5" customWidth="1"/>
    <col min="16131" max="16131" width="14.5703125" customWidth="1"/>
    <col min="16132" max="16132" width="15.85546875" customWidth="1"/>
    <col min="16133" max="16133" width="15.28515625" customWidth="1"/>
    <col min="16134" max="16134" width="12.85546875" customWidth="1"/>
    <col min="16135" max="16135" width="15.7109375" bestFit="1" customWidth="1"/>
    <col min="16136" max="16136" width="15.140625" customWidth="1"/>
    <col min="16137" max="16137" width="6.5703125" customWidth="1"/>
    <col min="16138" max="16138" width="6.42578125" customWidth="1"/>
  </cols>
  <sheetData>
    <row r="1" spans="1:30" ht="18" x14ac:dyDescent="0.25">
      <c r="A1" s="2" t="s">
        <v>343</v>
      </c>
      <c r="F1" s="51"/>
      <c r="K1" t="s">
        <v>345</v>
      </c>
      <c r="AC1" s="8"/>
      <c r="AD1" s="8">
        <f>AC1*1.1</f>
        <v>0</v>
      </c>
    </row>
    <row r="2" spans="1:30" ht="17.25" customHeight="1" thickBot="1" x14ac:dyDescent="0.3">
      <c r="E2" s="51" t="s">
        <v>344</v>
      </c>
      <c r="K2" s="699" t="s">
        <v>821</v>
      </c>
      <c r="L2" s="699"/>
      <c r="M2" s="699"/>
      <c r="N2" s="699"/>
      <c r="O2" s="699"/>
    </row>
    <row r="3" spans="1:30" ht="35.25" customHeight="1" x14ac:dyDescent="0.25">
      <c r="B3" s="691" t="s">
        <v>297</v>
      </c>
      <c r="C3" s="692"/>
      <c r="D3" s="692"/>
      <c r="E3" s="692"/>
      <c r="F3" s="692"/>
      <c r="G3" s="692"/>
      <c r="H3" s="692"/>
      <c r="I3" s="693"/>
      <c r="K3" s="813">
        <f>VLOOKUP($K$2,'FRC Motors'!$A$4:$Q$20,17,FALSE)</f>
        <v>0</v>
      </c>
      <c r="L3" s="813"/>
      <c r="M3" s="813"/>
      <c r="N3" s="813"/>
      <c r="O3" s="813"/>
    </row>
    <row r="4" spans="1:30" ht="18" customHeight="1" x14ac:dyDescent="0.25">
      <c r="A4" s="4"/>
      <c r="B4" s="151"/>
      <c r="C4" s="152" t="s">
        <v>298</v>
      </c>
      <c r="D4" s="4"/>
      <c r="E4" s="4"/>
      <c r="F4" s="4"/>
      <c r="G4" s="4"/>
      <c r="H4" s="4"/>
      <c r="I4" s="153"/>
      <c r="J4" s="4"/>
      <c r="K4" s="81" t="s">
        <v>180</v>
      </c>
      <c r="L4" s="77">
        <f>VLOOKUP($K$2,'FRC Motors'!$A$4:$Q$22,4,FALSE)</f>
        <v>179</v>
      </c>
      <c r="M4" s="78" t="s">
        <v>181</v>
      </c>
      <c r="N4" s="79">
        <f>L4*0.00134</f>
        <v>0.23986000000000002</v>
      </c>
      <c r="O4" s="80" t="s">
        <v>189</v>
      </c>
    </row>
    <row r="5" spans="1:30" s="158" customFormat="1" ht="42" customHeight="1" thickBot="1" x14ac:dyDescent="0.3">
      <c r="A5" s="154"/>
      <c r="B5" s="155"/>
      <c r="C5" s="156" t="s">
        <v>299</v>
      </c>
      <c r="D5" s="156" t="s">
        <v>300</v>
      </c>
      <c r="E5" s="156" t="s">
        <v>301</v>
      </c>
      <c r="F5" s="156" t="s">
        <v>302</v>
      </c>
      <c r="G5" s="156" t="s">
        <v>303</v>
      </c>
      <c r="H5" s="154"/>
      <c r="I5" s="157"/>
      <c r="J5" s="154"/>
      <c r="K5" s="82" t="s">
        <v>182</v>
      </c>
      <c r="L5" s="83">
        <f>VLOOKUP($K$2,'FRC Motors'!$A$4:$Q$22,9,FALSE)</f>
        <v>1.2</v>
      </c>
      <c r="M5" s="84" t="s">
        <v>329</v>
      </c>
      <c r="N5" s="83">
        <f>VLOOKUP($K$2,'FRC Motors'!$A$4:$Q$22,11,FALSE)</f>
        <v>12</v>
      </c>
      <c r="O5" s="85" t="s">
        <v>330</v>
      </c>
    </row>
    <row r="6" spans="1:30" s="163" customFormat="1" ht="15.75" x14ac:dyDescent="0.25">
      <c r="A6" s="159"/>
      <c r="B6" s="160"/>
      <c r="C6" s="201">
        <f>N5</f>
        <v>12</v>
      </c>
      <c r="D6" s="202">
        <f>L6</f>
        <v>16000</v>
      </c>
      <c r="E6" s="203">
        <f>N10</f>
        <v>0.42863052083333331</v>
      </c>
      <c r="F6" s="201">
        <f>L9</f>
        <v>63.8</v>
      </c>
      <c r="G6" s="201">
        <f>L5</f>
        <v>1.2</v>
      </c>
      <c r="H6" s="161"/>
      <c r="I6" s="162"/>
      <c r="J6" s="161"/>
      <c r="K6" s="86" t="s">
        <v>183</v>
      </c>
      <c r="L6" s="87">
        <f>VLOOKUP($K$2,'FRC Motors'!$A$4:$Q$22,8,FALSE)</f>
        <v>16000</v>
      </c>
      <c r="M6" s="88" t="s">
        <v>91</v>
      </c>
      <c r="N6" s="87">
        <f>L6*2*PI()/60</f>
        <v>1675.5160819145563</v>
      </c>
      <c r="O6" s="89" t="s">
        <v>187</v>
      </c>
    </row>
    <row r="7" spans="1:30" s="163" customFormat="1" ht="18" customHeight="1" x14ac:dyDescent="0.2">
      <c r="A7" s="159"/>
      <c r="B7" s="160"/>
      <c r="C7" s="161"/>
      <c r="D7" s="164">
        <f>D6*(C20/C6)</f>
        <v>16000</v>
      </c>
      <c r="E7" s="164">
        <f>E6*(C20/C6)</f>
        <v>0.42863052083333331</v>
      </c>
      <c r="F7" s="164">
        <f>F6*(C20/C6)</f>
        <v>63.8</v>
      </c>
      <c r="G7" s="164">
        <f>G6*(C20/C6)</f>
        <v>1.2</v>
      </c>
      <c r="H7" s="161"/>
      <c r="I7" s="162"/>
      <c r="J7" s="161"/>
    </row>
    <row r="8" spans="1:30" s="163" customFormat="1" ht="9.75" customHeight="1" x14ac:dyDescent="0.2">
      <c r="A8" s="159"/>
      <c r="B8" s="160"/>
      <c r="C8" s="159"/>
      <c r="D8" s="159"/>
      <c r="E8" s="159"/>
      <c r="F8" s="159"/>
      <c r="G8" s="159"/>
      <c r="H8" s="161"/>
      <c r="I8" s="162"/>
      <c r="J8" s="161"/>
    </row>
    <row r="9" spans="1:30" ht="23.25" customHeight="1" x14ac:dyDescent="0.25">
      <c r="A9" s="4"/>
      <c r="B9" s="151"/>
      <c r="C9" s="152" t="s">
        <v>304</v>
      </c>
      <c r="D9" s="4"/>
      <c r="E9" s="4"/>
      <c r="F9" s="4"/>
      <c r="G9" s="165"/>
      <c r="H9" s="166"/>
      <c r="I9" s="167"/>
      <c r="J9" s="166"/>
      <c r="K9" s="73" t="s">
        <v>184</v>
      </c>
      <c r="L9" s="74">
        <f>VLOOKUP($K$2,'FRC Motors'!$A$4:$Q$22,10,FALSE)</f>
        <v>63.8</v>
      </c>
      <c r="M9" s="75"/>
      <c r="N9" s="75"/>
      <c r="O9" s="76"/>
    </row>
    <row r="10" spans="1:30" s="158" customFormat="1" ht="21.75" customHeight="1" thickBot="1" x14ac:dyDescent="0.3">
      <c r="A10" s="154"/>
      <c r="B10" s="155"/>
      <c r="C10" s="156" t="s">
        <v>305</v>
      </c>
      <c r="D10" s="156" t="s">
        <v>306</v>
      </c>
      <c r="E10" s="156" t="s">
        <v>49</v>
      </c>
      <c r="I10" s="168"/>
      <c r="J10" s="169"/>
      <c r="K10" s="86" t="s">
        <v>185</v>
      </c>
      <c r="L10" s="149">
        <f>VLOOKUP($K$2,'FRC Motors'!$A$4:$Q$22,6,FALSE)</f>
        <v>0.31614583333333335</v>
      </c>
      <c r="M10" s="150" t="s">
        <v>92</v>
      </c>
      <c r="N10" s="149">
        <f>VLOOKUP($K$2,'FRC Motors'!$A$4:$Q$22,7,FALSE)</f>
        <v>0.42863052083333331</v>
      </c>
      <c r="O10" s="91" t="s">
        <v>186</v>
      </c>
    </row>
    <row r="11" spans="1:30" s="163" customFormat="1" hidden="1" x14ac:dyDescent="0.2">
      <c r="A11" s="159"/>
      <c r="B11" s="170"/>
      <c r="C11" s="171">
        <v>1</v>
      </c>
      <c r="D11" s="171">
        <v>1</v>
      </c>
      <c r="E11" s="172">
        <f t="shared" ref="E11:E16" si="0">C11/D11</f>
        <v>1</v>
      </c>
      <c r="I11" s="173"/>
      <c r="J11" s="161"/>
    </row>
    <row r="12" spans="1:30" ht="15.75" hidden="1" x14ac:dyDescent="0.25">
      <c r="A12" s="174"/>
      <c r="B12" s="175"/>
      <c r="C12" s="176">
        <v>1</v>
      </c>
      <c r="D12" s="176">
        <v>1</v>
      </c>
      <c r="E12" s="177">
        <f t="shared" si="0"/>
        <v>1</v>
      </c>
      <c r="I12" s="173"/>
      <c r="J12" s="166"/>
    </row>
    <row r="13" spans="1:30" ht="15" customHeight="1" x14ac:dyDescent="0.25">
      <c r="A13" s="174"/>
      <c r="B13" s="175"/>
      <c r="C13" s="176">
        <v>22</v>
      </c>
      <c r="D13" s="176">
        <v>42</v>
      </c>
      <c r="E13" s="177">
        <f t="shared" si="0"/>
        <v>0.52380952380952384</v>
      </c>
      <c r="G13" s="814" t="s">
        <v>307</v>
      </c>
      <c r="H13" s="814"/>
      <c r="I13" s="173"/>
    </row>
    <row r="14" spans="1:30" ht="15.75" customHeight="1" thickBot="1" x14ac:dyDescent="0.3">
      <c r="A14" s="1"/>
      <c r="B14" s="175"/>
      <c r="C14" s="176">
        <v>1</v>
      </c>
      <c r="D14" s="176">
        <v>1</v>
      </c>
      <c r="E14" s="177">
        <f t="shared" si="0"/>
        <v>1</v>
      </c>
      <c r="G14" s="696"/>
      <c r="H14" s="696"/>
      <c r="I14" s="173"/>
    </row>
    <row r="15" spans="1:30" ht="15" customHeight="1" x14ac:dyDescent="0.25">
      <c r="A15" s="1"/>
      <c r="B15" s="175"/>
      <c r="C15" s="176">
        <v>1</v>
      </c>
      <c r="D15" s="176">
        <v>1</v>
      </c>
      <c r="E15" s="177">
        <f t="shared" si="0"/>
        <v>1</v>
      </c>
      <c r="G15" s="815">
        <f>E11*E12*E13*E14*E15*E16</f>
        <v>0.52380952380952384</v>
      </c>
      <c r="H15" s="817">
        <f>1/G15</f>
        <v>1.9090909090909089</v>
      </c>
      <c r="I15" s="173"/>
    </row>
    <row r="16" spans="1:30" ht="15" customHeight="1" x14ac:dyDescent="0.25">
      <c r="A16" s="1"/>
      <c r="B16" s="175"/>
      <c r="C16" s="176">
        <v>1</v>
      </c>
      <c r="D16" s="176">
        <v>1</v>
      </c>
      <c r="E16" s="177">
        <f t="shared" si="0"/>
        <v>1</v>
      </c>
      <c r="G16" s="816"/>
      <c r="H16" s="818"/>
      <c r="I16" s="173"/>
    </row>
    <row r="17" spans="1:9" s="181" customFormat="1" ht="15" customHeight="1" x14ac:dyDescent="0.25">
      <c r="A17" s="178"/>
      <c r="B17" s="179"/>
      <c r="C17" s="161"/>
      <c r="D17" s="161"/>
      <c r="E17" s="180"/>
      <c r="F17" s="180"/>
      <c r="G17" s="161"/>
      <c r="H17" s="161"/>
      <c r="I17" s="162"/>
    </row>
    <row r="18" spans="1:9" s="181" customFormat="1" ht="15" customHeight="1" x14ac:dyDescent="0.25">
      <c r="A18" s="178"/>
      <c r="B18" s="179"/>
      <c r="C18" s="152" t="s">
        <v>308</v>
      </c>
      <c r="D18" s="161"/>
      <c r="E18" s="180"/>
      <c r="F18" s="180"/>
      <c r="G18" s="161"/>
      <c r="H18" s="161"/>
      <c r="I18" s="162"/>
    </row>
    <row r="19" spans="1:9" ht="40.5" customHeight="1" thickBot="1" x14ac:dyDescent="0.3">
      <c r="B19" s="151"/>
      <c r="C19" s="156" t="s">
        <v>309</v>
      </c>
      <c r="D19" s="819" t="s">
        <v>310</v>
      </c>
      <c r="E19" s="820"/>
      <c r="F19" s="156" t="s">
        <v>311</v>
      </c>
      <c r="G19" s="4"/>
      <c r="H19" s="4"/>
      <c r="I19" s="153"/>
    </row>
    <row r="20" spans="1:9" ht="18" customHeight="1" x14ac:dyDescent="0.25">
      <c r="B20" s="151"/>
      <c r="C20" s="182">
        <v>12</v>
      </c>
      <c r="D20" s="821">
        <v>12</v>
      </c>
      <c r="E20" s="822"/>
      <c r="F20" s="183">
        <v>1</v>
      </c>
      <c r="G20" s="4"/>
      <c r="H20" s="4"/>
      <c r="I20" s="153"/>
    </row>
    <row r="21" spans="1:9" ht="15.75" x14ac:dyDescent="0.25">
      <c r="B21" s="151"/>
      <c r="C21" s="161"/>
      <c r="D21" s="161"/>
      <c r="E21" s="161"/>
      <c r="F21" s="184"/>
      <c r="G21" s="4"/>
      <c r="H21" s="4"/>
      <c r="I21" s="153"/>
    </row>
    <row r="22" spans="1:9" ht="27.75" customHeight="1" x14ac:dyDescent="0.25">
      <c r="B22" s="151"/>
      <c r="C22" s="685" t="s">
        <v>312</v>
      </c>
      <c r="D22" s="685"/>
      <c r="E22" s="685"/>
      <c r="F22" s="685"/>
      <c r="G22" s="685"/>
      <c r="H22" s="685"/>
      <c r="I22" s="153"/>
    </row>
    <row r="23" spans="1:9" ht="60.75" thickBot="1" x14ac:dyDescent="0.3">
      <c r="B23" s="151"/>
      <c r="C23" s="156" t="s">
        <v>313</v>
      </c>
      <c r="D23" s="156" t="s">
        <v>314</v>
      </c>
      <c r="E23" s="156" t="s">
        <v>315</v>
      </c>
      <c r="F23" s="156" t="s">
        <v>316</v>
      </c>
      <c r="G23" s="156" t="s">
        <v>317</v>
      </c>
      <c r="H23" s="156" t="s">
        <v>318</v>
      </c>
      <c r="I23" s="153"/>
    </row>
    <row r="24" spans="1:9" s="185" customFormat="1" ht="18" customHeight="1" x14ac:dyDescent="0.25">
      <c r="B24" s="186"/>
      <c r="C24" s="187">
        <v>16</v>
      </c>
      <c r="D24" s="188">
        <f>((((F7)-(G7))/(E7))*E34)+(G7)</f>
        <v>1660.8027229156296</v>
      </c>
      <c r="E24" s="188">
        <f>((-1)*(E28/(D28))*(C24))+(E28)</f>
        <v>-1282850.2018856723</v>
      </c>
      <c r="F24" s="188">
        <f>90/E24</f>
        <v>-7.015628158900256E-5</v>
      </c>
      <c r="G24" s="188">
        <f>E24*(3.14*2*D20/360)</f>
        <v>-268543.30892806739</v>
      </c>
      <c r="H24" s="188">
        <f>G24/12</f>
        <v>-22378.609077338948</v>
      </c>
      <c r="I24" s="189"/>
    </row>
    <row r="25" spans="1:9" s="185" customFormat="1" ht="18" customHeight="1" x14ac:dyDescent="0.25">
      <c r="B25" s="186"/>
      <c r="C25" s="190"/>
      <c r="D25" s="191"/>
      <c r="E25" s="191"/>
      <c r="F25" s="192"/>
      <c r="G25" s="191"/>
      <c r="H25" s="191"/>
      <c r="I25" s="189"/>
    </row>
    <row r="26" spans="1:9" ht="27" customHeight="1" x14ac:dyDescent="0.25">
      <c r="B26" s="151"/>
      <c r="D26" s="685" t="s">
        <v>319</v>
      </c>
      <c r="E26" s="685"/>
      <c r="F26" s="685"/>
      <c r="G26" s="685"/>
      <c r="H26" s="685"/>
      <c r="I26" s="153"/>
    </row>
    <row r="27" spans="1:9" ht="60.75" thickBot="1" x14ac:dyDescent="0.3">
      <c r="B27" s="151"/>
      <c r="C27" s="4"/>
      <c r="D27" s="156" t="s">
        <v>320</v>
      </c>
      <c r="E27" s="156" t="s">
        <v>321</v>
      </c>
      <c r="F27" s="156" t="s">
        <v>316</v>
      </c>
      <c r="G27" s="156" t="s">
        <v>322</v>
      </c>
      <c r="H27" s="156" t="s">
        <v>323</v>
      </c>
      <c r="I27" s="153"/>
    </row>
    <row r="28" spans="1:9" ht="15.75" x14ac:dyDescent="0.25">
      <c r="B28" s="151"/>
      <c r="C28" s="4"/>
      <c r="D28" s="193">
        <f>E7*(1/C34)*39.37*0.2248*F20/D20</f>
        <v>0.60351793002626875</v>
      </c>
      <c r="E28" s="193">
        <f>D7*C34*(360/60)</f>
        <v>50285.71428571429</v>
      </c>
      <c r="F28" s="188">
        <f>90/E28</f>
        <v>1.7897727272727271E-3</v>
      </c>
      <c r="G28" s="193">
        <f>E28*PI()*2*D20/360</f>
        <v>10531.815372034354</v>
      </c>
      <c r="H28" s="193">
        <f>G28/12</f>
        <v>877.6512810028629</v>
      </c>
      <c r="I28" s="153"/>
    </row>
    <row r="29" spans="1:9" ht="15.75" thickBot="1" x14ac:dyDescent="0.3">
      <c r="B29" s="194"/>
      <c r="C29" s="195"/>
      <c r="D29" s="195"/>
      <c r="E29" s="195"/>
      <c r="F29" s="195"/>
      <c r="G29" s="195"/>
      <c r="H29" s="195"/>
      <c r="I29" s="196"/>
    </row>
    <row r="31" spans="1:9" hidden="1" x14ac:dyDescent="0.25"/>
    <row r="32" spans="1:9" hidden="1" x14ac:dyDescent="0.25"/>
    <row r="33" spans="3:5" ht="30.75" hidden="1" thickBot="1" x14ac:dyDescent="0.3">
      <c r="C33" s="197" t="s">
        <v>324</v>
      </c>
      <c r="E33" s="197" t="s">
        <v>325</v>
      </c>
    </row>
    <row r="34" spans="3:5" ht="15.75" hidden="1" x14ac:dyDescent="0.25">
      <c r="C34" s="198">
        <f>C42</f>
        <v>0.52380952380952384</v>
      </c>
      <c r="E34" s="199">
        <f>C24*C34*D20/(0.2248*39.37)</f>
        <v>11.363520439293042</v>
      </c>
    </row>
    <row r="35" spans="3:5" hidden="1" x14ac:dyDescent="0.25"/>
    <row r="36" spans="3:5" ht="30.75" hidden="1" thickBot="1" x14ac:dyDescent="0.3">
      <c r="C36" s="200" t="s">
        <v>326</v>
      </c>
      <c r="D36" s="200" t="s">
        <v>327</v>
      </c>
    </row>
    <row r="37" spans="3:5" ht="15.75" hidden="1" x14ac:dyDescent="0.25">
      <c r="C37" s="172">
        <f>E11</f>
        <v>1</v>
      </c>
      <c r="D37" s="172">
        <f t="shared" ref="D37:D42" si="1">$D$7*C37</f>
        <v>16000</v>
      </c>
    </row>
    <row r="38" spans="3:5" ht="15.75" hidden="1" x14ac:dyDescent="0.25">
      <c r="C38" s="177">
        <f>C37*E12</f>
        <v>1</v>
      </c>
      <c r="D38" s="177">
        <f t="shared" si="1"/>
        <v>16000</v>
      </c>
    </row>
    <row r="39" spans="3:5" ht="15.75" hidden="1" x14ac:dyDescent="0.25">
      <c r="C39" s="177">
        <f>C38*E13</f>
        <v>0.52380952380952384</v>
      </c>
      <c r="D39" s="177">
        <f t="shared" si="1"/>
        <v>8380.9523809523816</v>
      </c>
    </row>
    <row r="40" spans="3:5" ht="15.75" hidden="1" x14ac:dyDescent="0.25">
      <c r="C40" s="177">
        <f>C39*E14</f>
        <v>0.52380952380952384</v>
      </c>
      <c r="D40" s="177">
        <f t="shared" si="1"/>
        <v>8380.9523809523816</v>
      </c>
    </row>
    <row r="41" spans="3:5" ht="15.75" hidden="1" x14ac:dyDescent="0.25">
      <c r="C41" s="177">
        <f>C40*E15</f>
        <v>0.52380952380952384</v>
      </c>
      <c r="D41" s="177">
        <f t="shared" si="1"/>
        <v>8380.9523809523816</v>
      </c>
    </row>
    <row r="42" spans="3:5" ht="15.75" hidden="1" x14ac:dyDescent="0.25">
      <c r="C42" s="177">
        <f>C41*E16</f>
        <v>0.52380952380952384</v>
      </c>
      <c r="D42" s="177">
        <f t="shared" si="1"/>
        <v>8380.9523809523816</v>
      </c>
    </row>
    <row r="43" spans="3:5" hidden="1" x14ac:dyDescent="0.25"/>
    <row r="44" spans="3:5" hidden="1" x14ac:dyDescent="0.25"/>
    <row r="45" spans="3:5" hidden="1" x14ac:dyDescent="0.25"/>
  </sheetData>
  <mergeCells count="10">
    <mergeCell ref="K2:O2"/>
    <mergeCell ref="C22:H22"/>
    <mergeCell ref="D26:H26"/>
    <mergeCell ref="K3:O3"/>
    <mergeCell ref="B3:I3"/>
    <mergeCell ref="G13:H14"/>
    <mergeCell ref="G15:G16"/>
    <mergeCell ref="H15:H16"/>
    <mergeCell ref="D19:E19"/>
    <mergeCell ref="D20:E20"/>
  </mergeCells>
  <dataValidations count="1">
    <dataValidation type="list" allowBlank="1" showInputMessage="1" showErrorMessage="1" sqref="K2">
      <formula1>motor_list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TOC">
                <anchor moveWithCells="1" sizeWithCells="1">
                  <from>
                    <xdr:col>7</xdr:col>
                    <xdr:colOff>161925</xdr:colOff>
                    <xdr:row>0</xdr:row>
                    <xdr:rowOff>47625</xdr:rowOff>
                  </from>
                  <to>
                    <xdr:col>8</xdr:col>
                    <xdr:colOff>200025</xdr:colOff>
                    <xdr:row>1</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Notes</vt:lpstr>
      <vt:lpstr>TOC</vt:lpstr>
      <vt:lpstr>Units</vt:lpstr>
      <vt:lpstr>Resource Links</vt:lpstr>
      <vt:lpstr>FRC Motors</vt:lpstr>
      <vt:lpstr>Motor Performance</vt:lpstr>
      <vt:lpstr>Motor Equations</vt:lpstr>
      <vt:lpstr>Bimba</vt:lpstr>
      <vt:lpstr>Sprocket Sizes</vt:lpstr>
      <vt:lpstr>Sprocket Distance Calculator</vt:lpstr>
      <vt:lpstr>Gear Calculations</vt:lpstr>
      <vt:lpstr>Drive train forces</vt:lpstr>
      <vt:lpstr>JVN - DT</vt:lpstr>
      <vt:lpstr>JVN - DT 2 speed</vt:lpstr>
      <vt:lpstr>JeeseK_DT_Model</vt:lpstr>
      <vt:lpstr>JesseK_Conversions</vt:lpstr>
      <vt:lpstr>Linear Device Motor Selector</vt:lpstr>
      <vt:lpstr>Cascade Elevator Motor Selector</vt:lpstr>
      <vt:lpstr>Cascade Elevator</vt:lpstr>
      <vt:lpstr>Rotating Device Motor Selector</vt:lpstr>
      <vt:lpstr>validation</vt:lpstr>
      <vt:lpstr>variable gear efficiency</vt:lpstr>
      <vt:lpstr>Rotating Arm</vt:lpstr>
      <vt:lpstr>Toggle Linkage</vt:lpstr>
      <vt:lpstr>COG Tool</vt:lpstr>
      <vt:lpstr>JVN - Linear</vt:lpstr>
      <vt:lpstr>JVN - Rotary</vt:lpstr>
      <vt:lpstr>distance_list</vt:lpstr>
      <vt:lpstr>dX</vt:lpstr>
      <vt:lpstr>dY</vt:lpstr>
      <vt:lpstr>dZ</vt:lpstr>
      <vt:lpstr>energy_list</vt:lpstr>
      <vt:lpstr>'Resource Links'!Example</vt:lpstr>
      <vt:lpstr>force_list</vt:lpstr>
      <vt:lpstr>motor_list</vt:lpstr>
      <vt:lpstr>power_list</vt:lpstr>
      <vt:lpstr>System_Name</vt:lpstr>
      <vt:lpstr>teeth25</vt:lpstr>
      <vt:lpstr>teeth35</vt:lpstr>
      <vt:lpstr>torque_list</vt:lpstr>
      <vt:lpstr>Weight</vt:lpstr>
      <vt:lpstr>X</vt:lpstr>
      <vt:lpstr>Y</vt:lpstr>
      <vt:lpstr>Z</vt:lpstr>
    </vt:vector>
  </TitlesOfParts>
  <Company>Fluor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Allred</dc:creator>
  <cp:lastModifiedBy>David Allred</cp:lastModifiedBy>
  <cp:lastPrinted>2012-08-25T21:00:03Z</cp:lastPrinted>
  <dcterms:created xsi:type="dcterms:W3CDTF">2012-08-18T01:27:31Z</dcterms:created>
  <dcterms:modified xsi:type="dcterms:W3CDTF">2016-01-08T23:54:58Z</dcterms:modified>
</cp:coreProperties>
</file>